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lippig\Downloads\Datasets\Datasets\"/>
    </mc:Choice>
  </mc:AlternateContent>
  <xr:revisionPtr revIDLastSave="0" documentId="8_{E4912D30-AE21-486F-A683-BD319E42F7B1}" xr6:coauthVersionLast="47" xr6:coauthVersionMax="47" xr10:uidLastSave="{00000000-0000-0000-0000-000000000000}"/>
  <bookViews>
    <workbookView xWindow="-28920" yWindow="-120" windowWidth="29040" windowHeight="15720" tabRatio="875" xr2:uid="{00000000-000D-0000-FFFF-FFFF00000000}"/>
  </bookViews>
  <sheets>
    <sheet name="Cover_page" sheetId="39" r:id="rId1"/>
    <sheet name="Notes" sheetId="42" r:id="rId2"/>
    <sheet name="CONTRIBUTIONS" sheetId="4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0" i="40" l="1"/>
  <c r="A44" i="40"/>
  <c r="A95" i="40"/>
  <c r="A60" i="40" l="1"/>
  <c r="A57" i="40"/>
  <c r="A45" i="40"/>
  <c r="A59" i="40"/>
  <c r="A76" i="40"/>
  <c r="A68" i="40"/>
  <c r="A105" i="40"/>
  <c r="A97" i="40"/>
  <c r="A89" i="40"/>
  <c r="A53" i="40"/>
  <c r="A83" i="40"/>
  <c r="A75" i="40"/>
  <c r="A67" i="40"/>
  <c r="A85" i="40"/>
  <c r="A102" i="40"/>
  <c r="A94" i="40"/>
  <c r="A86" i="40"/>
  <c r="A52" i="40"/>
  <c r="A41" i="40"/>
  <c r="A80" i="40"/>
  <c r="A72" i="40"/>
  <c r="A64" i="40"/>
  <c r="A109" i="40"/>
  <c r="A101" i="40"/>
  <c r="A93" i="40"/>
  <c r="A49" i="40"/>
  <c r="A37" i="40"/>
  <c r="A79" i="40"/>
  <c r="A71" i="40"/>
  <c r="A63" i="40"/>
  <c r="A106" i="40"/>
  <c r="A98" i="40"/>
  <c r="A81" i="40"/>
  <c r="A55" i="40"/>
  <c r="A51" i="40"/>
  <c r="A77" i="40"/>
  <c r="A73" i="40"/>
  <c r="A47" i="40"/>
  <c r="A43" i="40"/>
  <c r="A69" i="40"/>
  <c r="A65" i="40"/>
  <c r="A39" i="40"/>
  <c r="A35" i="40"/>
  <c r="A61" i="40"/>
  <c r="A99" i="40"/>
  <c r="A108" i="40"/>
  <c r="A82" i="40"/>
  <c r="A78" i="40"/>
  <c r="A104" i="40"/>
  <c r="A74" i="40"/>
  <c r="A100" i="40"/>
  <c r="A96" i="40"/>
  <c r="A70" i="40"/>
  <c r="A66" i="40"/>
  <c r="A92" i="40"/>
  <c r="A62" i="40"/>
  <c r="A36" i="40"/>
  <c r="A88" i="40"/>
  <c r="A56" i="40"/>
  <c r="A48" i="40"/>
  <c r="A40" i="40"/>
  <c r="A103" i="40"/>
  <c r="A87" i="40"/>
  <c r="A107" i="40"/>
  <c r="A91" i="40"/>
  <c r="A33" i="40"/>
  <c r="A54" i="40"/>
  <c r="A50" i="40"/>
  <c r="A46" i="40"/>
  <c r="A42" i="40"/>
  <c r="A38" i="40"/>
  <c r="A34" i="40"/>
</calcChain>
</file>

<file path=xl/sharedStrings.xml><?xml version="1.0" encoding="utf-8"?>
<sst xmlns="http://schemas.openxmlformats.org/spreadsheetml/2006/main" count="283" uniqueCount="179">
  <si>
    <t>Contributions to monthly GDP</t>
  </si>
  <si>
    <t xml:space="preserve">This spreadsheet contains the contributions to monthly gross domestic product (GDP) growth, published alongside the Office for National Statistics' Monthly GDP: July 2026. The contributions to monthly GDP table contain monthly (and three monthly) contributions as published within the monthly gross domestic product (GDP) statistical bulletin.
These figures are seasonally adjusted, with a reference year of 2023 (2023 = 100). Industry sections are defined using SIC2007 codes.
We have edited these data tables and the accompanying cover sheet, table of contents and notes worksheet to meet the legal accessibility regulations.  </t>
  </si>
  <si>
    <t>Publication dates</t>
  </si>
  <si>
    <t>The data tables in this spreadsheet were originally published at 07:00 11 September 2026</t>
  </si>
  <si>
    <t>The next publication will be published on 15 October 2026</t>
  </si>
  <si>
    <t xml:space="preserve">Units, notes and no data </t>
  </si>
  <si>
    <t xml:space="preserve">Some cells in the tables refer to notes which can be found in the notes worksheet. Note markers are presented in square brackets, for example: [note 1].
Some cells have no data, when this is the case the words 'no data' are presented in square brackets, for example: '[no data]'. An explanation of why there is no data is given in the notes worksheet, see the column headings for which notes you should refer to. 
Some column headings give units, when this is the case the units are presented in round brackets to differentiate them from note markers.  </t>
  </si>
  <si>
    <t>Dataset identifier codes</t>
  </si>
  <si>
    <t>The four-character identification codes appearing in the tables are the ONS' references for the data series.</t>
  </si>
  <si>
    <t>Contact details</t>
  </si>
  <si>
    <t xml:space="preserve">Gross Domestic Product team. </t>
  </si>
  <si>
    <t>Telephone: +441633 455284</t>
  </si>
  <si>
    <t>gdp@ons.gov.uk</t>
  </si>
  <si>
    <t xml:space="preserve">Notes </t>
  </si>
  <si>
    <t xml:space="preserve">This worksheet contains one table. </t>
  </si>
  <si>
    <t>Link to return to cover page</t>
  </si>
  <si>
    <t xml:space="preserve">Note number </t>
  </si>
  <si>
    <t xml:space="preserve">Note text </t>
  </si>
  <si>
    <t>note 1</t>
  </si>
  <si>
    <t>The GVA output is designated as an Accredited Official Statistic.</t>
  </si>
  <si>
    <t>note 2</t>
  </si>
  <si>
    <t>Estimates cannot be regarded as accurate to the last digit shown.</t>
  </si>
  <si>
    <t>note 3</t>
  </si>
  <si>
    <t xml:space="preserve">A complete run of data is available on the ONS website. </t>
  </si>
  <si>
    <t>note 4</t>
  </si>
  <si>
    <t>Contributions are based on output GVA growth</t>
  </si>
  <si>
    <t>note 5</t>
  </si>
  <si>
    <t>The construction growth rates calculated from this release may have small differences, because of rounding, to those in Construction Output in Great Britain releases.</t>
  </si>
  <si>
    <t>Contributions to monthly GDP growth based on GVA (Gross Value Added) at basic prices [note 1], [note 2], [note 3], [note 4]</t>
  </si>
  <si>
    <t xml:space="preserve">This worksheet contains one table. Some cells refer to notes which can be found on the notes worksheet.
</t>
  </si>
  <si>
    <t>Source: GDP monthly estimate, Office for National Statistics</t>
  </si>
  <si>
    <t>Time Period</t>
  </si>
  <si>
    <t>Category</t>
  </si>
  <si>
    <t>Total GVA at basic prices (A - T)</t>
  </si>
  <si>
    <t>Agriculture, forestry and fishing (A)</t>
  </si>
  <si>
    <t>Total production industries (B - E)</t>
  </si>
  <si>
    <t>Mining and Quarrying (B)</t>
  </si>
  <si>
    <t>Manufacturing (C)</t>
  </si>
  <si>
    <t>Electricity, gas, steam and air (D)</t>
  </si>
  <si>
    <t>Water supply, sewerage etc (E)</t>
  </si>
  <si>
    <t xml:space="preserve">Construction (F) [note 5] </t>
  </si>
  <si>
    <t>Total service industries (G-T)</t>
  </si>
  <si>
    <t>Wholesale and retail: repair of motor vehicles and motorcycles (G)</t>
  </si>
  <si>
    <t>Transport and storage (H)</t>
  </si>
  <si>
    <t>Accommodation and food service activities (I)</t>
  </si>
  <si>
    <t>Information and communication (J)</t>
  </si>
  <si>
    <t>Financial and insurance activities (K)</t>
  </si>
  <si>
    <t>Real estate activities (L)</t>
  </si>
  <si>
    <t>Professional, scientific and technical activities (M)</t>
  </si>
  <si>
    <t>Administrative and support service activities (N)</t>
  </si>
  <si>
    <t>Public administration and defence (O)</t>
  </si>
  <si>
    <t>Education (P)</t>
  </si>
  <si>
    <t>Human health and social work activities (Q)</t>
  </si>
  <si>
    <t>Arts, entertainment and recreation (R)</t>
  </si>
  <si>
    <t>Other service activities (S)</t>
  </si>
  <si>
    <t>Activities of households as employers, undifferentiated goods and services (T)</t>
  </si>
  <si>
    <t>[Not applicable]</t>
  </si>
  <si>
    <t>Contribution to growth, latest month on previous month</t>
  </si>
  <si>
    <t>EDKH</t>
  </si>
  <si>
    <t>EDKI</t>
  </si>
  <si>
    <t>EDKJ</t>
  </si>
  <si>
    <t>EDKK</t>
  </si>
  <si>
    <t>EDKL</t>
  </si>
  <si>
    <t>EDKM</t>
  </si>
  <si>
    <t>EDKN</t>
  </si>
  <si>
    <t>EDKO</t>
  </si>
  <si>
    <t>EDKP</t>
  </si>
  <si>
    <t>EDKQ</t>
  </si>
  <si>
    <t>EDKR</t>
  </si>
  <si>
    <t>EDKS</t>
  </si>
  <si>
    <t>EDKT</t>
  </si>
  <si>
    <t>EDKU</t>
  </si>
  <si>
    <t>EDKV</t>
  </si>
  <si>
    <t>EDKW</t>
  </si>
  <si>
    <t>EDKX</t>
  </si>
  <si>
    <t>EDKY</t>
  </si>
  <si>
    <t>EDKZ</t>
  </si>
  <si>
    <t>EDLA</t>
  </si>
  <si>
    <t>EDLB</t>
  </si>
  <si>
    <t>EDLC</t>
  </si>
  <si>
    <t>EDLD</t>
  </si>
  <si>
    <t>2024 Jul</t>
  </si>
  <si>
    <t>2024 Aug</t>
  </si>
  <si>
    <t>2024 Sep</t>
  </si>
  <si>
    <t>2024 Oct</t>
  </si>
  <si>
    <t>2024 Nov</t>
  </si>
  <si>
    <t>2024 Dec</t>
  </si>
  <si>
    <t>2025 Jan</t>
  </si>
  <si>
    <t>2025 Feb</t>
  </si>
  <si>
    <t>2025 Mar</t>
  </si>
  <si>
    <t>2025 Apr</t>
  </si>
  <si>
    <t>2025 May</t>
  </si>
  <si>
    <t>2025 Jun</t>
  </si>
  <si>
    <t>2025 Jul</t>
  </si>
  <si>
    <t>2025 Aug</t>
  </si>
  <si>
    <t>2025 Sep</t>
  </si>
  <si>
    <t>2025 Oct</t>
  </si>
  <si>
    <t>2025 Nov</t>
  </si>
  <si>
    <t>2025 Dec</t>
  </si>
  <si>
    <t>2026 Jan</t>
  </si>
  <si>
    <t>2026 Feb</t>
  </si>
  <si>
    <t>2026 Mar</t>
  </si>
  <si>
    <t>2026 Apr</t>
  </si>
  <si>
    <t>2026 May</t>
  </si>
  <si>
    <t>2026 Jun</t>
  </si>
  <si>
    <t>2026 Jul</t>
  </si>
  <si>
    <t>Contribution to growth, latest month on same month a year ago</t>
  </si>
  <si>
    <t>EDLE</t>
  </si>
  <si>
    <t>EDLF</t>
  </si>
  <si>
    <t>EDLG</t>
  </si>
  <si>
    <t>EDLH</t>
  </si>
  <si>
    <t>EDLI</t>
  </si>
  <si>
    <t>EDLJ</t>
  </si>
  <si>
    <t>EDLK</t>
  </si>
  <si>
    <t>EDLL</t>
  </si>
  <si>
    <t>EDLM</t>
  </si>
  <si>
    <t>EDLN</t>
  </si>
  <si>
    <t>EDLO</t>
  </si>
  <si>
    <t>EDLP</t>
  </si>
  <si>
    <t>EDLQ</t>
  </si>
  <si>
    <t>EDLR</t>
  </si>
  <si>
    <t>EDLS</t>
  </si>
  <si>
    <t>EDLT</t>
  </si>
  <si>
    <t>EDLU</t>
  </si>
  <si>
    <t>EDLV</t>
  </si>
  <si>
    <t>EDLW</t>
  </si>
  <si>
    <t>EDLX</t>
  </si>
  <si>
    <t>EDLY</t>
  </si>
  <si>
    <t>EDLZ</t>
  </si>
  <si>
    <t>EDMA</t>
  </si>
  <si>
    <t>Contribution to growth, latest 3 months on previous 3 months</t>
  </si>
  <si>
    <t>EDMB</t>
  </si>
  <si>
    <t>EDMC</t>
  </si>
  <si>
    <t>EDMD</t>
  </si>
  <si>
    <t>EDME</t>
  </si>
  <si>
    <t>EDMF</t>
  </si>
  <si>
    <t>EDMG</t>
  </si>
  <si>
    <t>EDMH</t>
  </si>
  <si>
    <t>EDMI</t>
  </si>
  <si>
    <t>EDMJ</t>
  </si>
  <si>
    <t>EDMK</t>
  </si>
  <si>
    <t>EDML</t>
  </si>
  <si>
    <t>EDMM</t>
  </si>
  <si>
    <t>EDMN</t>
  </si>
  <si>
    <t>EDMO</t>
  </si>
  <si>
    <t>EDMP</t>
  </si>
  <si>
    <t>EDMQ</t>
  </si>
  <si>
    <t>EDMR</t>
  </si>
  <si>
    <t>EDMS</t>
  </si>
  <si>
    <t>EDMT</t>
  </si>
  <si>
    <t>EDMU</t>
  </si>
  <si>
    <t>EDMV</t>
  </si>
  <si>
    <t>EDMW</t>
  </si>
  <si>
    <t>EDMX</t>
  </si>
  <si>
    <t>Contribution to growth, latest 3 months on same 3 months a year ago</t>
  </si>
  <si>
    <t>EDMY</t>
  </si>
  <si>
    <t>EDMZ</t>
  </si>
  <si>
    <t>EDNA</t>
  </si>
  <si>
    <t>EDNB</t>
  </si>
  <si>
    <t>EDNC</t>
  </si>
  <si>
    <t>EDND</t>
  </si>
  <si>
    <t>EDNE</t>
  </si>
  <si>
    <t>EDNF</t>
  </si>
  <si>
    <t>EDNG</t>
  </si>
  <si>
    <t>EDNH</t>
  </si>
  <si>
    <t>EDNI</t>
  </si>
  <si>
    <t>EDNJ</t>
  </si>
  <si>
    <t>EDNK</t>
  </si>
  <si>
    <t>EDNL</t>
  </si>
  <si>
    <t>EDNM</t>
  </si>
  <si>
    <t>EDNN</t>
  </si>
  <si>
    <t>EDNO</t>
  </si>
  <si>
    <t>EDNP</t>
  </si>
  <si>
    <t>EDNQ</t>
  </si>
  <si>
    <t>EDNR</t>
  </si>
  <si>
    <t>EDNS</t>
  </si>
  <si>
    <t>EDNT</t>
  </si>
  <si>
    <t>EDNU</t>
  </si>
  <si>
    <t>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</si>
</sst>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12" x14ac:knownFonts="1">
    <font>
      <sz val="12"/>
      <name val="Arial"/>
      <family val="2"/>
    </font>
    <font>
      <sz val="11"/>
      <color theme="1"/>
      <name val="Calibri"/>
      <family val="2"/>
      <scheme val="minor"/>
    </font>
    <font>
      <b/>
      <sz val="16"/>
      <name val="Arial"/>
      <family val="2"/>
    </font>
    <font>
      <b/>
      <sz val="14"/>
      <name val="Arial"/>
      <family val="2"/>
    </font>
    <font>
      <sz val="10"/>
      <color rgb="FF000000"/>
      <name val="Arial"/>
      <family val="2"/>
    </font>
    <font>
      <sz val="10"/>
      <name val="System"/>
      <family val="2"/>
    </font>
    <font>
      <u/>
      <sz val="11"/>
      <color theme="10"/>
      <name val="Calibri"/>
      <family val="2"/>
      <scheme val="minor"/>
    </font>
    <font>
      <sz val="11"/>
      <color rgb="FF000000"/>
      <name val="Arial"/>
      <family val="2"/>
    </font>
    <font>
      <u/>
      <sz val="12"/>
      <color indexed="12"/>
      <name val="Arial"/>
      <family val="2"/>
    </font>
    <font>
      <sz val="8"/>
      <name val="Arial"/>
      <family val="2"/>
    </font>
    <font>
      <sz val="12"/>
      <name val="Arial"/>
      <family val="2"/>
    </font>
    <font>
      <u/>
      <sz val="12"/>
      <color theme="10"/>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ck">
        <color theme="4"/>
      </bottom>
      <diagonal/>
    </border>
    <border>
      <left/>
      <right/>
      <top/>
      <bottom style="thick">
        <color theme="4" tint="0.499984740745262"/>
      </bottom>
      <diagonal/>
    </border>
  </borders>
  <cellStyleXfs count="9">
    <xf numFmtId="0" fontId="0" fillId="0" borderId="0"/>
    <xf numFmtId="0" fontId="2" fillId="0" borderId="2" applyNumberFormat="0" applyFill="0" applyAlignment="0" applyProtection="0"/>
    <xf numFmtId="0" fontId="8" fillId="0" borderId="0" applyNumberFormat="0" applyFill="0" applyBorder="0" applyAlignment="0" applyProtection="0">
      <alignment vertical="top"/>
      <protection locked="0"/>
    </xf>
    <xf numFmtId="0" fontId="4" fillId="0" borderId="0" applyNumberFormat="0" applyFill="0" applyBorder="0" applyAlignment="0" applyProtection="0"/>
    <xf numFmtId="0" fontId="3" fillId="0" borderId="3" applyNumberFormat="0" applyFill="0" applyBorder="0" applyAlignment="0" applyProtection="0"/>
    <xf numFmtId="0" fontId="1" fillId="0" borderId="0"/>
    <xf numFmtId="164" fontId="5" fillId="0" borderId="0"/>
    <xf numFmtId="0" fontId="6" fillId="0" borderId="0" applyNumberFormat="0" applyFill="0" applyBorder="0" applyAlignment="0" applyProtection="0"/>
    <xf numFmtId="0" fontId="2" fillId="0" borderId="2" applyNumberFormat="0" applyFill="0" applyBorder="0" applyAlignment="0" applyProtection="0"/>
  </cellStyleXfs>
  <cellXfs count="24">
    <xf numFmtId="0" fontId="0" fillId="0" borderId="0" xfId="0"/>
    <xf numFmtId="0" fontId="0" fillId="0" borderId="0" xfId="0" applyAlignment="1">
      <alignment wrapText="1"/>
    </xf>
    <xf numFmtId="0" fontId="2" fillId="0" borderId="0" xfId="8" applyBorder="1"/>
    <xf numFmtId="0" fontId="7" fillId="0" borderId="0" xfId="5" applyFont="1" applyAlignment="1">
      <alignment horizontal="left" vertical="top" wrapText="1"/>
    </xf>
    <xf numFmtId="0" fontId="8" fillId="0" borderId="0" xfId="2" applyAlignment="1" applyProtection="1"/>
    <xf numFmtId="0" fontId="2" fillId="0" borderId="0" xfId="8" applyFill="1" applyBorder="1" applyAlignment="1">
      <alignment horizontal="left"/>
    </xf>
    <xf numFmtId="0" fontId="0" fillId="0" borderId="0" xfId="0" applyAlignment="1">
      <alignment horizontal="left"/>
    </xf>
    <xf numFmtId="0" fontId="8" fillId="0" borderId="0" xfId="2" applyFill="1" applyAlignment="1" applyProtection="1"/>
    <xf numFmtId="0" fontId="3" fillId="0" borderId="0" xfId="4" applyBorder="1" applyAlignment="1">
      <alignment wrapText="1"/>
    </xf>
    <xf numFmtId="0" fontId="3" fillId="0" borderId="0" xfId="4" applyBorder="1"/>
    <xf numFmtId="0" fontId="0" fillId="0" borderId="0" xfId="0" applyAlignment="1">
      <alignment vertical="top"/>
    </xf>
    <xf numFmtId="0" fontId="0" fillId="0" borderId="1" xfId="0" applyBorder="1" applyAlignment="1">
      <alignment horizontal="left"/>
    </xf>
    <xf numFmtId="0" fontId="0" fillId="0" borderId="1" xfId="0" applyBorder="1"/>
    <xf numFmtId="0" fontId="3" fillId="0" borderId="0" xfId="0" applyFont="1" applyAlignment="1">
      <alignment horizontal="left"/>
    </xf>
    <xf numFmtId="0" fontId="3" fillId="0" borderId="0" xfId="0" applyFont="1" applyAlignment="1">
      <alignment horizontal="right" wrapText="1"/>
    </xf>
    <xf numFmtId="0" fontId="0" fillId="0" borderId="0" xfId="0" applyAlignment="1">
      <alignment horizontal="left" vertical="top" wrapText="1"/>
    </xf>
    <xf numFmtId="0" fontId="10" fillId="0" borderId="0" xfId="3" applyFont="1" applyFill="1" applyAlignment="1">
      <alignment wrapText="1"/>
    </xf>
    <xf numFmtId="164" fontId="10" fillId="0" borderId="0" xfId="6" quotePrefix="1" applyFont="1" applyAlignment="1">
      <alignment wrapText="1"/>
    </xf>
    <xf numFmtId="164" fontId="11" fillId="0" borderId="0" xfId="7" applyNumberFormat="1" applyFont="1" applyAlignment="1" applyProtection="1">
      <alignment wrapText="1"/>
    </xf>
    <xf numFmtId="0" fontId="0" fillId="0" borderId="0" xfId="3" applyFont="1" applyAlignment="1">
      <alignment wrapText="1"/>
    </xf>
    <xf numFmtId="0" fontId="8" fillId="0" borderId="0" xfId="2" applyAlignment="1" applyProtection="1">
      <alignment vertical="center" wrapText="1"/>
    </xf>
    <xf numFmtId="0" fontId="0" fillId="0" borderId="0" xfId="5" applyFont="1"/>
    <xf numFmtId="2" fontId="0" fillId="0" borderId="0" xfId="0" applyNumberFormat="1"/>
    <xf numFmtId="1" fontId="0" fillId="0" borderId="1" xfId="0" applyNumberFormat="1" applyBorder="1"/>
  </cellXfs>
  <cellStyles count="9">
    <cellStyle name="Heading 1" xfId="1" builtinId="16" customBuiltin="1"/>
    <cellStyle name="Heading 1 2" xfId="8" xr:uid="{00000000-0005-0000-0000-000001000000}"/>
    <cellStyle name="Heading 2 2" xfId="4" xr:uid="{00000000-0005-0000-0000-000003000000}"/>
    <cellStyle name="Hyperlink" xfId="2" builtinId="8" customBuiltin="1"/>
    <cellStyle name="Hyperlink 2" xfId="7" xr:uid="{00000000-0005-0000-0000-000005000000}"/>
    <cellStyle name="Normal" xfId="0" builtinId="0" customBuiltin="1"/>
    <cellStyle name="Normal 10" xfId="6" xr:uid="{00000000-0005-0000-0000-000007000000}"/>
    <cellStyle name="Normal 3" xfId="5" xr:uid="{00000000-0005-0000-0000-000008000000}"/>
    <cellStyle name="Paragraph Han" xfId="3" xr:uid="{00000000-0005-0000-0000-000009000000}"/>
  </cellStyles>
  <dxfs count="3">
    <dxf>
      <border outline="0">
        <bottom style="thin">
          <color indexed="64"/>
        </bottom>
      </border>
    </dxf>
    <dxf>
      <font>
        <b/>
        <i val="0"/>
        <strike val="0"/>
        <condense val="0"/>
        <extend val="0"/>
        <outline val="0"/>
        <shadow val="0"/>
        <u val="none"/>
        <vertAlign val="baseline"/>
        <sz val="14"/>
        <color auto="1"/>
        <name val="Arial"/>
        <family val="2"/>
        <scheme val="none"/>
      </font>
      <alignment horizontal="right" vertical="bottom" textRotation="0" wrapText="1" indent="0" justifyLastLine="0" shrinkToFit="0" readingOrder="0"/>
    </dxf>
    <dxf>
      <alignment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3A7EC4-AD47-4330-AE32-EE056F69754D}" name="Table1" displayName="Table1" ref="A4:B9" totalsRowShown="0">
  <autoFilter ref="A4:B9" xr:uid="{9B47CF42-68BE-417E-B1AA-FDC70DEC6C85}">
    <filterColumn colId="0" hiddenButton="1"/>
    <filterColumn colId="1" hiddenButton="1"/>
  </autoFilter>
  <tableColumns count="2">
    <tableColumn id="1" xr3:uid="{03C539AF-35F3-47BC-80B9-4AD18C8B4C78}" name="Note number "/>
    <tableColumn id="2" xr3:uid="{93CC19B2-9AC1-49A1-9C6B-7B6CA2AF4170}" name="Note text " dataDxfId="2"/>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9AF7A5-18B8-4963-A468-528AB2D39C6A}" name="Table2" displayName="Table2" ref="A5:Y110" totalsRowShown="0" headerRowDxfId="1" tableBorderDxfId="0">
  <autoFilter ref="A5:Y110" xr:uid="{86C2C830-BEAE-47AE-BB51-F5747BC06E9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DFC19098-8532-4E5B-B876-304F211846B0}" name="Time Period"/>
    <tableColumn id="2" xr3:uid="{B946C78D-F958-4856-ABCE-66B91B611209}" name="Category"/>
    <tableColumn id="3" xr3:uid="{1D9C3935-4331-42EB-9027-210CDD295DFE}" name="Total GVA at basic prices (A - T)"/>
    <tableColumn id="4" xr3:uid="{CCF51246-8851-4AF7-A3B8-6F59C58FEDD1}" name="Agriculture, forestry and fishing (A)"/>
    <tableColumn id="5" xr3:uid="{70EBBB50-A193-4398-A887-F5AFCF86A1C6}" name="Total production industries (B - E)"/>
    <tableColumn id="6" xr3:uid="{16A54495-36BE-4E74-A60A-08BBFBA25898}" name="Mining and Quarrying (B)"/>
    <tableColumn id="7" xr3:uid="{ABD94BFA-7971-488A-8D26-C9F1AB055213}" name="Manufacturing (C)"/>
    <tableColumn id="8" xr3:uid="{3A093B3D-BAB3-4AAE-9DB5-36FEE27F085C}" name="Electricity, gas, steam and air (D)"/>
    <tableColumn id="9" xr3:uid="{F6A3C9A0-EAB1-4A57-A2A5-5629F40EECA5}" name="Water supply, sewerage etc (E)"/>
    <tableColumn id="10" xr3:uid="{2E84FF30-BCBF-4F2C-88DB-32B9D8A1CC97}" name="Construction (F) [note 5] "/>
    <tableColumn id="11" xr3:uid="{BAE9E7E7-89BD-4046-BC20-BB066BAC2AB6}" name="Total service industries (G-T)"/>
    <tableColumn id="12" xr3:uid="{8CD7C00D-FAC0-423A-A8B5-81D5F9FE1787}" name="Wholesale and retail: repair of motor vehicles and motorcycles (G)"/>
    <tableColumn id="13" xr3:uid="{63373B16-D194-461A-897A-389A5B8EB252}" name="Transport and storage (H)"/>
    <tableColumn id="14" xr3:uid="{AFEEA685-A442-4178-A523-49C51D596E00}" name="Accommodation and food service activities (I)"/>
    <tableColumn id="15" xr3:uid="{8796318A-E465-4F51-860A-F57D1D6DE7DA}" name="Information and communication (J)"/>
    <tableColumn id="16" xr3:uid="{12A681D0-0B28-4C50-BE74-A3E954F8DE9D}" name="Financial and insurance activities (K)"/>
    <tableColumn id="17" xr3:uid="{7A92EBA7-CB4D-4B78-BFB3-6CED80424BCC}" name="Real estate activities (L)"/>
    <tableColumn id="18" xr3:uid="{9DC3E479-16F9-412F-9BC5-28884C1F6A1E}" name="Professional, scientific and technical activities (M)"/>
    <tableColumn id="19" xr3:uid="{7023DEAC-ED06-4F4D-A751-A90E6BB9CB34}" name="Administrative and support service activities (N)"/>
    <tableColumn id="20" xr3:uid="{8610CB30-7A36-4898-86CF-D928A882976C}" name="Public administration and defence (O)"/>
    <tableColumn id="21" xr3:uid="{8117E6F1-4538-4DB9-A8E9-BA64839E5A89}" name="Education (P)"/>
    <tableColumn id="22" xr3:uid="{B5D0E82C-7D82-4015-9BE1-CB017C209912}" name="Human health and social work activities (Q)"/>
    <tableColumn id="23" xr3:uid="{6329629F-EA12-4468-8CA9-61B968B28739}" name="Arts, entertainment and recreation (R)"/>
    <tableColumn id="24" xr3:uid="{0F5856FC-53AF-4ADB-A76F-1CCFBA171C53}" name="Other service activities (S)"/>
    <tableColumn id="25" xr3:uid="{E61DD980-CFF4-4905-BF1F-68F6B7B16EB3}" name="Activities of households as employers, undifferentiated goods and services (T)"/>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dp@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ons.gov.uk/businessindustryandtrade/constructionindustry/bulletins/constructionoutputingreatbritain/previousrelease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13"/>
  <sheetViews>
    <sheetView tabSelected="1" workbookViewId="0"/>
  </sheetViews>
  <sheetFormatPr defaultRowHeight="15" x14ac:dyDescent="0.25"/>
  <cols>
    <col min="1" max="1" width="100.81640625" customWidth="1"/>
  </cols>
  <sheetData>
    <row r="1" spans="1:1" ht="21" x14ac:dyDescent="0.4">
      <c r="A1" s="2" t="s">
        <v>0</v>
      </c>
    </row>
    <row r="2" spans="1:1" ht="135" x14ac:dyDescent="0.25">
      <c r="A2" s="1" t="s">
        <v>1</v>
      </c>
    </row>
    <row r="3" spans="1:1" ht="17.399999999999999" x14ac:dyDescent="0.3">
      <c r="A3" s="8" t="s">
        <v>2</v>
      </c>
    </row>
    <row r="4" spans="1:1" x14ac:dyDescent="0.25">
      <c r="A4" s="19" t="s">
        <v>3</v>
      </c>
    </row>
    <row r="5" spans="1:1" x14ac:dyDescent="0.25">
      <c r="A5" s="19" t="s">
        <v>4</v>
      </c>
    </row>
    <row r="6" spans="1:1" ht="17.399999999999999" x14ac:dyDescent="0.3">
      <c r="A6" s="8" t="s">
        <v>5</v>
      </c>
    </row>
    <row r="7" spans="1:1" ht="135.6" customHeight="1" x14ac:dyDescent="0.25">
      <c r="A7" s="15" t="s">
        <v>6</v>
      </c>
    </row>
    <row r="8" spans="1:1" ht="17.399999999999999" x14ac:dyDescent="0.3">
      <c r="A8" s="8" t="s">
        <v>7</v>
      </c>
    </row>
    <row r="9" spans="1:1" x14ac:dyDescent="0.25">
      <c r="A9" s="16" t="s">
        <v>8</v>
      </c>
    </row>
    <row r="10" spans="1:1" ht="17.399999999999999" x14ac:dyDescent="0.3">
      <c r="A10" s="9" t="s">
        <v>9</v>
      </c>
    </row>
    <row r="11" spans="1:1" x14ac:dyDescent="0.25">
      <c r="A11" s="21" t="s">
        <v>10</v>
      </c>
    </row>
    <row r="12" spans="1:1" x14ac:dyDescent="0.25">
      <c r="A12" s="17" t="s">
        <v>11</v>
      </c>
    </row>
    <row r="13" spans="1:1" x14ac:dyDescent="0.25">
      <c r="A13" s="18" t="s">
        <v>12</v>
      </c>
    </row>
  </sheetData>
  <hyperlinks>
    <hyperlink ref="A13" r:id="rId1" xr:uid="{00000000-0004-0000-12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B9"/>
  <sheetViews>
    <sheetView workbookViewId="0"/>
  </sheetViews>
  <sheetFormatPr defaultRowHeight="15" x14ac:dyDescent="0.25"/>
  <cols>
    <col min="1" max="1" width="34.6328125" customWidth="1"/>
    <col min="2" max="2" width="72.90625" style="1" customWidth="1"/>
  </cols>
  <sheetData>
    <row r="1" spans="1:2" ht="21" x14ac:dyDescent="0.4">
      <c r="A1" s="2" t="s">
        <v>13</v>
      </c>
      <c r="B1" s="3"/>
    </row>
    <row r="2" spans="1:2" x14ac:dyDescent="0.25">
      <c r="A2" t="s">
        <v>14</v>
      </c>
    </row>
    <row r="3" spans="1:2" x14ac:dyDescent="0.25">
      <c r="A3" s="4" t="s">
        <v>15</v>
      </c>
    </row>
    <row r="4" spans="1:2" ht="15.6" x14ac:dyDescent="0.3">
      <c r="A4" t="s">
        <v>16</v>
      </c>
      <c r="B4" s="1" t="s">
        <v>17</v>
      </c>
    </row>
    <row r="5" spans="1:2" x14ac:dyDescent="0.25">
      <c r="A5" t="s">
        <v>18</v>
      </c>
      <c r="B5" s="1" t="s">
        <v>19</v>
      </c>
    </row>
    <row r="6" spans="1:2" x14ac:dyDescent="0.25">
      <c r="A6" t="s">
        <v>20</v>
      </c>
      <c r="B6" s="1" t="s">
        <v>21</v>
      </c>
    </row>
    <row r="7" spans="1:2" x14ac:dyDescent="0.25">
      <c r="A7" t="s">
        <v>22</v>
      </c>
      <c r="B7" s="1" t="s">
        <v>23</v>
      </c>
    </row>
    <row r="8" spans="1:2" x14ac:dyDescent="0.25">
      <c r="A8" t="s">
        <v>24</v>
      </c>
      <c r="B8" s="1" t="s">
        <v>25</v>
      </c>
    </row>
    <row r="9" spans="1:2" ht="30" x14ac:dyDescent="0.25">
      <c r="A9" s="10" t="s">
        <v>26</v>
      </c>
      <c r="B9" s="20" t="s">
        <v>27</v>
      </c>
    </row>
  </sheetData>
  <phoneticPr fontId="9" type="noConversion"/>
  <hyperlinks>
    <hyperlink ref="A3" location="Cover_page!A1" display="To return to contents page" xr:uid="{00000000-0004-0000-1300-000000000000}"/>
    <hyperlink ref="B9" r:id="rId1" xr:uid="{F18AB1FF-4ED5-45C9-8B4C-5E19BB32D17F}"/>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Y110"/>
  <sheetViews>
    <sheetView zoomScale="80" zoomScaleNormal="80" workbookViewId="0"/>
  </sheetViews>
  <sheetFormatPr defaultRowHeight="15" x14ac:dyDescent="0.25"/>
  <cols>
    <col min="1" max="1" width="16.81640625" customWidth="1"/>
    <col min="2" max="2" width="60.08984375" customWidth="1"/>
    <col min="3" max="3" width="32.08984375" customWidth="1"/>
    <col min="4" max="4" width="35.1796875" customWidth="1"/>
    <col min="5" max="5" width="35.08984375" customWidth="1"/>
    <col min="6" max="8" width="30.6328125" customWidth="1"/>
    <col min="9" max="9" width="32.36328125" customWidth="1"/>
    <col min="10" max="25" width="30.6328125" customWidth="1"/>
  </cols>
  <sheetData>
    <row r="1" spans="1:25" ht="21" x14ac:dyDescent="0.4">
      <c r="A1" s="5" t="s">
        <v>28</v>
      </c>
      <c r="B1" s="5"/>
    </row>
    <row r="2" spans="1:25" x14ac:dyDescent="0.25">
      <c r="A2" s="6" t="s">
        <v>29</v>
      </c>
      <c r="B2" s="6"/>
    </row>
    <row r="3" spans="1:25" x14ac:dyDescent="0.25">
      <c r="A3" s="7" t="s">
        <v>15</v>
      </c>
      <c r="B3" s="4"/>
    </row>
    <row r="4" spans="1:25" x14ac:dyDescent="0.25">
      <c r="A4" s="6" t="s">
        <v>30</v>
      </c>
      <c r="B4" s="6"/>
    </row>
    <row r="5" spans="1:25" ht="52.2" x14ac:dyDescent="0.3">
      <c r="A5" s="13" t="s">
        <v>31</v>
      </c>
      <c r="B5" s="13" t="s">
        <v>32</v>
      </c>
      <c r="C5" s="14" t="s">
        <v>33</v>
      </c>
      <c r="D5" s="14" t="s">
        <v>34</v>
      </c>
      <c r="E5" s="14" t="s">
        <v>35</v>
      </c>
      <c r="F5" s="14" t="s">
        <v>36</v>
      </c>
      <c r="G5" s="14" t="s">
        <v>37</v>
      </c>
      <c r="H5" s="14" t="s">
        <v>38</v>
      </c>
      <c r="I5" s="14" t="s">
        <v>39</v>
      </c>
      <c r="J5" s="14" t="s">
        <v>40</v>
      </c>
      <c r="K5" s="14" t="s">
        <v>41</v>
      </c>
      <c r="L5" s="14" t="s">
        <v>42</v>
      </c>
      <c r="M5" s="14" t="s">
        <v>43</v>
      </c>
      <c r="N5" s="14" t="s">
        <v>44</v>
      </c>
      <c r="O5" s="14" t="s">
        <v>45</v>
      </c>
      <c r="P5" s="14" t="s">
        <v>46</v>
      </c>
      <c r="Q5" s="14" t="s">
        <v>47</v>
      </c>
      <c r="R5" s="14" t="s">
        <v>48</v>
      </c>
      <c r="S5" s="14" t="s">
        <v>49</v>
      </c>
      <c r="T5" s="14" t="s">
        <v>50</v>
      </c>
      <c r="U5" s="14" t="s">
        <v>51</v>
      </c>
      <c r="V5" s="14" t="s">
        <v>52</v>
      </c>
      <c r="W5" s="14" t="s">
        <v>53</v>
      </c>
      <c r="X5" s="14" t="s">
        <v>54</v>
      </c>
      <c r="Y5" s="14" t="s">
        <v>55</v>
      </c>
    </row>
    <row r="6" spans="1:25" x14ac:dyDescent="0.25">
      <c r="A6" t="s">
        <v>56</v>
      </c>
      <c r="B6" t="s">
        <v>57</v>
      </c>
      <c r="C6" t="s">
        <v>58</v>
      </c>
      <c r="D6" t="s">
        <v>59</v>
      </c>
      <c r="E6" t="s">
        <v>60</v>
      </c>
      <c r="F6" t="s">
        <v>61</v>
      </c>
      <c r="G6" t="s">
        <v>62</v>
      </c>
      <c r="H6" t="s">
        <v>63</v>
      </c>
      <c r="I6" t="s">
        <v>64</v>
      </c>
      <c r="J6" t="s">
        <v>65</v>
      </c>
      <c r="K6" t="s">
        <v>66</v>
      </c>
      <c r="L6" t="s">
        <v>67</v>
      </c>
      <c r="M6" t="s">
        <v>68</v>
      </c>
      <c r="N6" t="s">
        <v>69</v>
      </c>
      <c r="O6" t="s">
        <v>70</v>
      </c>
      <c r="P6" t="s">
        <v>71</v>
      </c>
      <c r="Q6" t="s">
        <v>72</v>
      </c>
      <c r="R6" t="s">
        <v>73</v>
      </c>
      <c r="S6" t="s">
        <v>74</v>
      </c>
      <c r="T6" t="s">
        <v>75</v>
      </c>
      <c r="U6" t="s">
        <v>76</v>
      </c>
      <c r="V6" t="s">
        <v>77</v>
      </c>
      <c r="W6" t="s">
        <v>78</v>
      </c>
      <c r="X6" t="s">
        <v>79</v>
      </c>
      <c r="Y6" t="s">
        <v>80</v>
      </c>
    </row>
    <row r="7" spans="1:25" x14ac:dyDescent="0.25">
      <c r="A7" t="s">
        <v>81</v>
      </c>
      <c r="B7" t="s">
        <v>57</v>
      </c>
      <c r="C7" s="22">
        <v>-0.04</v>
      </c>
      <c r="D7" s="22">
        <v>0</v>
      </c>
      <c r="E7" s="22">
        <v>-0.08</v>
      </c>
      <c r="F7" s="22">
        <v>0.05</v>
      </c>
      <c r="G7" s="22">
        <v>-0.1</v>
      </c>
      <c r="H7" s="22">
        <v>-0.01</v>
      </c>
      <c r="I7" s="22">
        <v>-0.02</v>
      </c>
      <c r="J7" s="22">
        <v>-0.09</v>
      </c>
      <c r="K7" s="22">
        <v>0.13</v>
      </c>
      <c r="L7" s="22">
        <v>7.0000000000000007E-2</v>
      </c>
      <c r="M7" s="22">
        <v>0</v>
      </c>
      <c r="N7" s="22">
        <v>-0.01</v>
      </c>
      <c r="O7" s="22">
        <v>0.05</v>
      </c>
      <c r="P7" s="22">
        <v>-0.01</v>
      </c>
      <c r="Q7" s="22">
        <v>0.02</v>
      </c>
      <c r="R7" s="22">
        <v>-0.09</v>
      </c>
      <c r="S7" s="22">
        <v>0.01</v>
      </c>
      <c r="T7" s="22">
        <v>0.01</v>
      </c>
      <c r="U7" s="22">
        <v>0.03</v>
      </c>
      <c r="V7" s="22">
        <v>0.08</v>
      </c>
      <c r="W7" s="22">
        <v>-0.01</v>
      </c>
      <c r="X7" s="22">
        <v>-0.02</v>
      </c>
      <c r="Y7" s="22">
        <v>0</v>
      </c>
    </row>
    <row r="8" spans="1:25" x14ac:dyDescent="0.25">
      <c r="A8" t="s">
        <v>82</v>
      </c>
      <c r="B8" t="s">
        <v>57</v>
      </c>
      <c r="C8" s="22">
        <v>0.28999999999999998</v>
      </c>
      <c r="D8" s="22">
        <v>0</v>
      </c>
      <c r="E8" s="22">
        <v>0.13</v>
      </c>
      <c r="F8" s="22">
        <v>-0.03</v>
      </c>
      <c r="G8" s="22">
        <v>0.12</v>
      </c>
      <c r="H8" s="22">
        <v>0.02</v>
      </c>
      <c r="I8" s="22">
        <v>0.02</v>
      </c>
      <c r="J8" s="22">
        <v>0.01</v>
      </c>
      <c r="K8" s="22">
        <v>0.14000000000000001</v>
      </c>
      <c r="L8" s="22">
        <v>-0.04</v>
      </c>
      <c r="M8" s="22">
        <v>-0.06</v>
      </c>
      <c r="N8" s="22">
        <v>-0.03</v>
      </c>
      <c r="O8" s="22">
        <v>0.05</v>
      </c>
      <c r="P8" s="22">
        <v>-0.01</v>
      </c>
      <c r="Q8" s="22">
        <v>-0.03</v>
      </c>
      <c r="R8" s="22">
        <v>0.19</v>
      </c>
      <c r="S8" s="22">
        <v>-0.01</v>
      </c>
      <c r="T8" s="22">
        <v>0.01</v>
      </c>
      <c r="U8" s="22">
        <v>0.02</v>
      </c>
      <c r="V8" s="22">
        <v>0.01</v>
      </c>
      <c r="W8" s="22">
        <v>0.02</v>
      </c>
      <c r="X8" s="22">
        <v>0.03</v>
      </c>
      <c r="Y8" s="22">
        <v>0</v>
      </c>
    </row>
    <row r="9" spans="1:25" x14ac:dyDescent="0.25">
      <c r="A9" t="s">
        <v>83</v>
      </c>
      <c r="B9" t="s">
        <v>57</v>
      </c>
      <c r="C9" s="22">
        <v>-0.04</v>
      </c>
      <c r="D9" s="22">
        <v>0</v>
      </c>
      <c r="E9" s="22">
        <v>-0.01</v>
      </c>
      <c r="F9" s="22">
        <v>0.03</v>
      </c>
      <c r="G9" s="22">
        <v>-0.03</v>
      </c>
      <c r="H9" s="22">
        <v>-0.01</v>
      </c>
      <c r="I9" s="22">
        <v>0</v>
      </c>
      <c r="J9" s="22">
        <v>-0.02</v>
      </c>
      <c r="K9" s="22">
        <v>-0.01</v>
      </c>
      <c r="L9" s="22">
        <v>-0.02</v>
      </c>
      <c r="M9" s="22">
        <v>-0.01</v>
      </c>
      <c r="N9" s="22">
        <v>-0.03</v>
      </c>
      <c r="O9" s="22">
        <v>-0.08</v>
      </c>
      <c r="P9" s="22">
        <v>0</v>
      </c>
      <c r="Q9" s="22">
        <v>0.01</v>
      </c>
      <c r="R9" s="22">
        <v>-0.01</v>
      </c>
      <c r="S9" s="22">
        <v>0.04</v>
      </c>
      <c r="T9" s="22">
        <v>0.02</v>
      </c>
      <c r="U9" s="22">
        <v>0.01</v>
      </c>
      <c r="V9" s="22">
        <v>7.0000000000000007E-2</v>
      </c>
      <c r="W9" s="22">
        <v>-0.03</v>
      </c>
      <c r="X9" s="22">
        <v>0.01</v>
      </c>
      <c r="Y9" s="22">
        <v>0</v>
      </c>
    </row>
    <row r="10" spans="1:25" x14ac:dyDescent="0.25">
      <c r="A10" t="s">
        <v>84</v>
      </c>
      <c r="B10" t="s">
        <v>57</v>
      </c>
      <c r="C10" s="22">
        <v>0.08</v>
      </c>
      <c r="D10" s="22">
        <v>0</v>
      </c>
      <c r="E10" s="22">
        <v>-7.0000000000000007E-2</v>
      </c>
      <c r="F10" s="22">
        <v>-0.02</v>
      </c>
      <c r="G10" s="22">
        <v>-7.0000000000000007E-2</v>
      </c>
      <c r="H10" s="22">
        <v>0.01</v>
      </c>
      <c r="I10" s="22">
        <v>0.02</v>
      </c>
      <c r="J10" s="22">
        <v>0</v>
      </c>
      <c r="K10" s="22">
        <v>0.15</v>
      </c>
      <c r="L10" s="22">
        <v>-0.01</v>
      </c>
      <c r="M10" s="22">
        <v>0.04</v>
      </c>
      <c r="N10" s="22">
        <v>0.06</v>
      </c>
      <c r="O10" s="22">
        <v>0.06</v>
      </c>
      <c r="P10" s="22">
        <v>-0.01</v>
      </c>
      <c r="Q10" s="22">
        <v>0.04</v>
      </c>
      <c r="R10" s="22">
        <v>0.04</v>
      </c>
      <c r="S10" s="22">
        <v>-0.05</v>
      </c>
      <c r="T10" s="22">
        <v>0.02</v>
      </c>
      <c r="U10" s="22">
        <v>-0.05</v>
      </c>
      <c r="V10" s="22">
        <v>0.03</v>
      </c>
      <c r="W10" s="22">
        <v>-0.01</v>
      </c>
      <c r="X10" s="22">
        <v>0</v>
      </c>
      <c r="Y10" s="22">
        <v>0</v>
      </c>
    </row>
    <row r="11" spans="1:25" x14ac:dyDescent="0.25">
      <c r="A11" t="s">
        <v>85</v>
      </c>
      <c r="B11" t="s">
        <v>57</v>
      </c>
      <c r="C11" s="22">
        <v>0.09</v>
      </c>
      <c r="D11" s="22">
        <v>0</v>
      </c>
      <c r="E11" s="22">
        <v>-0.14000000000000001</v>
      </c>
      <c r="F11" s="22">
        <v>-0.01</v>
      </c>
      <c r="G11" s="22">
        <v>-0.04</v>
      </c>
      <c r="H11" s="22">
        <v>-0.1</v>
      </c>
      <c r="I11" s="22">
        <v>0.02</v>
      </c>
      <c r="J11" s="22">
        <v>0.04</v>
      </c>
      <c r="K11" s="22">
        <v>0.19</v>
      </c>
      <c r="L11" s="22">
        <v>0.04</v>
      </c>
      <c r="M11" s="22">
        <v>0</v>
      </c>
      <c r="N11" s="22">
        <v>0.08</v>
      </c>
      <c r="O11" s="22">
        <v>0.04</v>
      </c>
      <c r="P11" s="22">
        <v>0</v>
      </c>
      <c r="Q11" s="22">
        <v>-0.01</v>
      </c>
      <c r="R11" s="22">
        <v>-0.01</v>
      </c>
      <c r="S11" s="22">
        <v>-0.02</v>
      </c>
      <c r="T11" s="22">
        <v>0.02</v>
      </c>
      <c r="U11" s="22">
        <v>-0.02</v>
      </c>
      <c r="V11" s="22">
        <v>0.02</v>
      </c>
      <c r="W11" s="22">
        <v>0.03</v>
      </c>
      <c r="X11" s="22">
        <v>0.02</v>
      </c>
      <c r="Y11" s="22">
        <v>0</v>
      </c>
    </row>
    <row r="12" spans="1:25" x14ac:dyDescent="0.25">
      <c r="A12" t="s">
        <v>86</v>
      </c>
      <c r="B12" t="s">
        <v>57</v>
      </c>
      <c r="C12" s="22">
        <v>0.41</v>
      </c>
      <c r="D12" s="22">
        <v>0</v>
      </c>
      <c r="E12" s="22">
        <v>7.0000000000000007E-2</v>
      </c>
      <c r="F12" s="22">
        <v>0.01</v>
      </c>
      <c r="G12" s="22">
        <v>0</v>
      </c>
      <c r="H12" s="22">
        <v>0.08</v>
      </c>
      <c r="I12" s="22">
        <v>-0.02</v>
      </c>
      <c r="J12" s="22">
        <v>-0.03</v>
      </c>
      <c r="K12" s="22">
        <v>0.36</v>
      </c>
      <c r="L12" s="22">
        <v>0.05</v>
      </c>
      <c r="M12" s="22">
        <v>0.03</v>
      </c>
      <c r="N12" s="22">
        <v>0.02</v>
      </c>
      <c r="O12" s="22">
        <v>0.02</v>
      </c>
      <c r="P12" s="22">
        <v>0.04</v>
      </c>
      <c r="Q12" s="22">
        <v>0.01</v>
      </c>
      <c r="R12" s="22">
        <v>0.12</v>
      </c>
      <c r="S12" s="22">
        <v>0.05</v>
      </c>
      <c r="T12" s="22">
        <v>0.01</v>
      </c>
      <c r="U12" s="22">
        <v>-0.03</v>
      </c>
      <c r="V12" s="22">
        <v>0.01</v>
      </c>
      <c r="W12" s="22">
        <v>0.04</v>
      </c>
      <c r="X12" s="22">
        <v>0.01</v>
      </c>
      <c r="Y12" s="22">
        <v>0</v>
      </c>
    </row>
    <row r="13" spans="1:25" x14ac:dyDescent="0.25">
      <c r="A13" t="s">
        <v>87</v>
      </c>
      <c r="B13" t="s">
        <v>57</v>
      </c>
      <c r="C13" s="22">
        <v>0.02</v>
      </c>
      <c r="D13" s="22">
        <v>0.01</v>
      </c>
      <c r="E13" s="22">
        <v>0.02</v>
      </c>
      <c r="F13" s="22">
        <v>0.03</v>
      </c>
      <c r="G13" s="22">
        <v>-0.06</v>
      </c>
      <c r="H13" s="22">
        <v>0.04</v>
      </c>
      <c r="I13" s="22">
        <v>0.02</v>
      </c>
      <c r="J13" s="22">
        <v>0</v>
      </c>
      <c r="K13" s="22">
        <v>-0.01</v>
      </c>
      <c r="L13" s="22">
        <v>-7.0000000000000007E-2</v>
      </c>
      <c r="M13" s="22">
        <v>0.01</v>
      </c>
      <c r="N13" s="22">
        <v>-0.04</v>
      </c>
      <c r="O13" s="22">
        <v>0.04</v>
      </c>
      <c r="P13" s="22">
        <v>0.01</v>
      </c>
      <c r="Q13" s="22">
        <v>-0.01</v>
      </c>
      <c r="R13" s="22">
        <v>-0.12</v>
      </c>
      <c r="S13" s="22">
        <v>0.1</v>
      </c>
      <c r="T13" s="22">
        <v>0.02</v>
      </c>
      <c r="U13" s="22">
        <v>0</v>
      </c>
      <c r="V13" s="22">
        <v>0.04</v>
      </c>
      <c r="W13" s="22">
        <v>-0.02</v>
      </c>
      <c r="X13" s="22">
        <v>0.02</v>
      </c>
      <c r="Y13" s="22">
        <v>0</v>
      </c>
    </row>
    <row r="14" spans="1:25" x14ac:dyDescent="0.25">
      <c r="A14" t="s">
        <v>88</v>
      </c>
      <c r="B14" t="s">
        <v>57</v>
      </c>
      <c r="C14" s="22">
        <v>0.3</v>
      </c>
      <c r="D14" s="22">
        <v>0</v>
      </c>
      <c r="E14" s="22">
        <v>0.18</v>
      </c>
      <c r="F14" s="22">
        <v>-0.04</v>
      </c>
      <c r="G14" s="22">
        <v>0.16</v>
      </c>
      <c r="H14" s="22">
        <v>0.06</v>
      </c>
      <c r="I14" s="22">
        <v>0.01</v>
      </c>
      <c r="J14" s="22">
        <v>0.02</v>
      </c>
      <c r="K14" s="22">
        <v>0.1</v>
      </c>
      <c r="L14" s="22">
        <v>0.1</v>
      </c>
      <c r="M14" s="22">
        <v>0</v>
      </c>
      <c r="N14" s="22">
        <v>-0.01</v>
      </c>
      <c r="O14" s="22">
        <v>0.08</v>
      </c>
      <c r="P14" s="22">
        <v>-0.02</v>
      </c>
      <c r="Q14" s="22">
        <v>0.02</v>
      </c>
      <c r="R14" s="22">
        <v>-0.01</v>
      </c>
      <c r="S14" s="22">
        <v>0.02</v>
      </c>
      <c r="T14" s="22">
        <v>0.02</v>
      </c>
      <c r="U14" s="22">
        <v>-0.02</v>
      </c>
      <c r="V14" s="22">
        <v>-0.05</v>
      </c>
      <c r="W14" s="22">
        <v>0.02</v>
      </c>
      <c r="X14" s="22">
        <v>-0.06</v>
      </c>
      <c r="Y14" s="22">
        <v>0</v>
      </c>
    </row>
    <row r="15" spans="1:25" x14ac:dyDescent="0.25">
      <c r="A15" t="s">
        <v>89</v>
      </c>
      <c r="B15" t="s">
        <v>57</v>
      </c>
      <c r="C15" s="22">
        <v>0.18</v>
      </c>
      <c r="D15" s="22">
        <v>0</v>
      </c>
      <c r="E15" s="22">
        <v>-0.1</v>
      </c>
      <c r="F15" s="22">
        <v>0.01</v>
      </c>
      <c r="G15" s="22">
        <v>-0.08</v>
      </c>
      <c r="H15" s="22">
        <v>-0.01</v>
      </c>
      <c r="I15" s="22">
        <v>-0.01</v>
      </c>
      <c r="J15" s="22">
        <v>0.02</v>
      </c>
      <c r="K15" s="22">
        <v>0.26</v>
      </c>
      <c r="L15" s="22">
        <v>0.12</v>
      </c>
      <c r="M15" s="22">
        <v>0.02</v>
      </c>
      <c r="N15" s="22">
        <v>0.05</v>
      </c>
      <c r="O15" s="22">
        <v>0.06</v>
      </c>
      <c r="P15" s="22">
        <v>-0.03</v>
      </c>
      <c r="Q15" s="22">
        <v>0</v>
      </c>
      <c r="R15" s="22">
        <v>0.11</v>
      </c>
      <c r="S15" s="22">
        <v>-0.13</v>
      </c>
      <c r="T15" s="22">
        <v>0.01</v>
      </c>
      <c r="U15" s="22">
        <v>0.01</v>
      </c>
      <c r="V15" s="22">
        <v>0.01</v>
      </c>
      <c r="W15" s="22">
        <v>0.02</v>
      </c>
      <c r="X15" s="22">
        <v>0.01</v>
      </c>
      <c r="Y15" s="22">
        <v>0</v>
      </c>
    </row>
    <row r="16" spans="1:25" x14ac:dyDescent="0.25">
      <c r="A16" t="s">
        <v>90</v>
      </c>
      <c r="B16" t="s">
        <v>57</v>
      </c>
      <c r="C16" s="22">
        <v>-0.14000000000000001</v>
      </c>
      <c r="D16" s="22">
        <v>0</v>
      </c>
      <c r="E16" s="22">
        <v>0.04</v>
      </c>
      <c r="F16" s="22">
        <v>0.03</v>
      </c>
      <c r="G16" s="22">
        <v>0.06</v>
      </c>
      <c r="H16" s="22">
        <v>-0.1</v>
      </c>
      <c r="I16" s="22">
        <v>0.04</v>
      </c>
      <c r="J16" s="22">
        <v>0.04</v>
      </c>
      <c r="K16" s="22">
        <v>-0.22</v>
      </c>
      <c r="L16" s="22">
        <v>-0.18</v>
      </c>
      <c r="M16" s="22">
        <v>0</v>
      </c>
      <c r="N16" s="22">
        <v>0.01</v>
      </c>
      <c r="O16" s="22">
        <v>-0.1</v>
      </c>
      <c r="P16" s="22">
        <v>-0.01</v>
      </c>
      <c r="Q16" s="22">
        <v>-0.03</v>
      </c>
      <c r="R16" s="22">
        <v>-0.08</v>
      </c>
      <c r="S16" s="22">
        <v>0.1</v>
      </c>
      <c r="T16" s="22">
        <v>-0.01</v>
      </c>
      <c r="U16" s="22">
        <v>0.02</v>
      </c>
      <c r="V16" s="22">
        <v>0.06</v>
      </c>
      <c r="W16" s="22">
        <v>-0.02</v>
      </c>
      <c r="X16" s="22">
        <v>0.03</v>
      </c>
      <c r="Y16" s="22">
        <v>0</v>
      </c>
    </row>
    <row r="17" spans="1:25" x14ac:dyDescent="0.25">
      <c r="A17" t="s">
        <v>91</v>
      </c>
      <c r="B17" t="s">
        <v>57</v>
      </c>
      <c r="C17" s="22">
        <v>-0.12</v>
      </c>
      <c r="D17" s="22">
        <v>0</v>
      </c>
      <c r="E17" s="22">
        <v>-0.2</v>
      </c>
      <c r="F17" s="22">
        <v>-0.03</v>
      </c>
      <c r="G17" s="22">
        <v>-0.11</v>
      </c>
      <c r="H17" s="22">
        <v>-0.05</v>
      </c>
      <c r="I17" s="22">
        <v>-0.02</v>
      </c>
      <c r="J17" s="22">
        <v>-0.03</v>
      </c>
      <c r="K17" s="22">
        <v>0.12</v>
      </c>
      <c r="L17" s="22">
        <v>-7.0000000000000007E-2</v>
      </c>
      <c r="M17" s="22">
        <v>0.02</v>
      </c>
      <c r="N17" s="22">
        <v>-0.01</v>
      </c>
      <c r="O17" s="22">
        <v>0.14000000000000001</v>
      </c>
      <c r="P17" s="22">
        <v>-0.03</v>
      </c>
      <c r="Q17" s="22">
        <v>-0.01</v>
      </c>
      <c r="R17" s="22">
        <v>0.06</v>
      </c>
      <c r="S17" s="22">
        <v>-0.01</v>
      </c>
      <c r="T17" s="22">
        <v>0.01</v>
      </c>
      <c r="U17" s="22">
        <v>0.01</v>
      </c>
      <c r="V17" s="22">
        <v>7.0000000000000007E-2</v>
      </c>
      <c r="W17" s="22">
        <v>-0.04</v>
      </c>
      <c r="X17" s="22">
        <v>-0.01</v>
      </c>
      <c r="Y17" s="22">
        <v>0</v>
      </c>
    </row>
    <row r="18" spans="1:25" x14ac:dyDescent="0.25">
      <c r="A18" t="s">
        <v>92</v>
      </c>
      <c r="B18" t="s">
        <v>57</v>
      </c>
      <c r="C18" s="22">
        <v>0.42</v>
      </c>
      <c r="D18" s="22">
        <v>0</v>
      </c>
      <c r="E18" s="22">
        <v>0.14000000000000001</v>
      </c>
      <c r="F18" s="22">
        <v>0</v>
      </c>
      <c r="G18" s="22">
        <v>0.09</v>
      </c>
      <c r="H18" s="22">
        <v>0.06</v>
      </c>
      <c r="I18" s="22">
        <v>-0.01</v>
      </c>
      <c r="J18" s="22">
        <v>0.01</v>
      </c>
      <c r="K18" s="22">
        <v>0.27</v>
      </c>
      <c r="L18" s="22">
        <v>0.03</v>
      </c>
      <c r="M18" s="22">
        <v>0.01</v>
      </c>
      <c r="N18" s="22">
        <v>-0.03</v>
      </c>
      <c r="O18" s="22">
        <v>0.03</v>
      </c>
      <c r="P18" s="22">
        <v>0.03</v>
      </c>
      <c r="Q18" s="22">
        <v>0.02</v>
      </c>
      <c r="R18" s="22">
        <v>0.08</v>
      </c>
      <c r="S18" s="22">
        <v>0.04</v>
      </c>
      <c r="T18" s="22">
        <v>0.01</v>
      </c>
      <c r="U18" s="22">
        <v>-0.03</v>
      </c>
      <c r="V18" s="22">
        <v>0.03</v>
      </c>
      <c r="W18" s="22">
        <v>0.06</v>
      </c>
      <c r="X18" s="22">
        <v>-0.01</v>
      </c>
      <c r="Y18" s="22">
        <v>0</v>
      </c>
    </row>
    <row r="19" spans="1:25" x14ac:dyDescent="0.25">
      <c r="A19" t="s">
        <v>93</v>
      </c>
      <c r="B19" t="s">
        <v>57</v>
      </c>
      <c r="C19" s="22">
        <v>-0.08</v>
      </c>
      <c r="D19" s="22">
        <v>0</v>
      </c>
      <c r="E19" s="22">
        <v>-0.08</v>
      </c>
      <c r="F19" s="22">
        <v>0.02</v>
      </c>
      <c r="G19" s="22">
        <v>-0.11</v>
      </c>
      <c r="H19" s="22">
        <v>0</v>
      </c>
      <c r="I19" s="22">
        <v>0.01</v>
      </c>
      <c r="J19" s="22">
        <v>0.02</v>
      </c>
      <c r="K19" s="22">
        <v>-0.02</v>
      </c>
      <c r="L19" s="22">
        <v>0.06</v>
      </c>
      <c r="M19" s="22">
        <v>0.05</v>
      </c>
      <c r="N19" s="22">
        <v>-0.01</v>
      </c>
      <c r="O19" s="22">
        <v>-7.0000000000000007E-2</v>
      </c>
      <c r="P19" s="22">
        <v>0.06</v>
      </c>
      <c r="Q19" s="22">
        <v>0.04</v>
      </c>
      <c r="R19" s="22">
        <v>-0.12</v>
      </c>
      <c r="S19" s="22">
        <v>-0.04</v>
      </c>
      <c r="T19" s="22">
        <v>0.01</v>
      </c>
      <c r="U19" s="22">
        <v>0.02</v>
      </c>
      <c r="V19" s="22">
        <v>-0.03</v>
      </c>
      <c r="W19" s="22">
        <v>0.02</v>
      </c>
      <c r="X19" s="22">
        <v>-0.01</v>
      </c>
      <c r="Y19" s="22">
        <v>0</v>
      </c>
    </row>
    <row r="20" spans="1:25" x14ac:dyDescent="0.25">
      <c r="A20" t="s">
        <v>94</v>
      </c>
      <c r="B20" t="s">
        <v>57</v>
      </c>
      <c r="C20" s="22">
        <v>-0.25</v>
      </c>
      <c r="D20" s="22">
        <v>0</v>
      </c>
      <c r="E20" s="22">
        <v>-0.02</v>
      </c>
      <c r="F20" s="22">
        <v>-0.02</v>
      </c>
      <c r="G20" s="22">
        <v>0.02</v>
      </c>
      <c r="H20" s="22">
        <v>-0.03</v>
      </c>
      <c r="I20" s="22">
        <v>0</v>
      </c>
      <c r="J20" s="22">
        <v>-0.03</v>
      </c>
      <c r="K20" s="22">
        <v>-0.2</v>
      </c>
      <c r="L20" s="22">
        <v>-0.13</v>
      </c>
      <c r="M20" s="22">
        <v>0</v>
      </c>
      <c r="N20" s="22">
        <v>0</v>
      </c>
      <c r="O20" s="22">
        <v>0.02</v>
      </c>
      <c r="P20" s="22">
        <v>0.03</v>
      </c>
      <c r="Q20" s="22">
        <v>0</v>
      </c>
      <c r="R20" s="22">
        <v>-0.09</v>
      </c>
      <c r="S20" s="22">
        <v>0</v>
      </c>
      <c r="T20" s="22">
        <v>0.01</v>
      </c>
      <c r="U20" s="22">
        <v>-0.01</v>
      </c>
      <c r="V20" s="22">
        <v>0.01</v>
      </c>
      <c r="W20" s="22">
        <v>-0.05</v>
      </c>
      <c r="X20" s="22">
        <v>0.01</v>
      </c>
      <c r="Y20" s="22">
        <v>0</v>
      </c>
    </row>
    <row r="21" spans="1:25" x14ac:dyDescent="0.25">
      <c r="A21" t="s">
        <v>95</v>
      </c>
      <c r="B21" t="s">
        <v>57</v>
      </c>
      <c r="C21" s="22">
        <v>0.1</v>
      </c>
      <c r="D21" s="22">
        <v>0</v>
      </c>
      <c r="E21" s="22">
        <v>-0.22</v>
      </c>
      <c r="F21" s="22">
        <v>-0.06</v>
      </c>
      <c r="G21" s="22">
        <v>-0.12</v>
      </c>
      <c r="H21" s="22">
        <v>-0.03</v>
      </c>
      <c r="I21" s="22">
        <v>-0.01</v>
      </c>
      <c r="J21" s="22">
        <v>0.02</v>
      </c>
      <c r="K21" s="22">
        <v>0.3</v>
      </c>
      <c r="L21" s="22">
        <v>0.17</v>
      </c>
      <c r="M21" s="22">
        <v>0.01</v>
      </c>
      <c r="N21" s="22">
        <v>0.01</v>
      </c>
      <c r="O21" s="22">
        <v>0.04</v>
      </c>
      <c r="P21" s="22">
        <v>0.01</v>
      </c>
      <c r="Q21" s="22">
        <v>0.04</v>
      </c>
      <c r="R21" s="22">
        <v>-0.01</v>
      </c>
      <c r="S21" s="22">
        <v>0.01</v>
      </c>
      <c r="T21" s="22">
        <v>0.01</v>
      </c>
      <c r="U21" s="22">
        <v>0.02</v>
      </c>
      <c r="V21" s="22">
        <v>-0.02</v>
      </c>
      <c r="W21" s="22">
        <v>0.03</v>
      </c>
      <c r="X21" s="22">
        <v>-0.04</v>
      </c>
      <c r="Y21" s="22">
        <v>0</v>
      </c>
    </row>
    <row r="22" spans="1:25" x14ac:dyDescent="0.25">
      <c r="A22" t="s">
        <v>96</v>
      </c>
      <c r="B22" t="s">
        <v>57</v>
      </c>
      <c r="C22" s="22">
        <v>-0.09</v>
      </c>
      <c r="D22" s="22">
        <v>0</v>
      </c>
      <c r="E22" s="22">
        <v>0.21</v>
      </c>
      <c r="F22" s="22">
        <v>0.06</v>
      </c>
      <c r="G22" s="22">
        <v>0.04</v>
      </c>
      <c r="H22" s="22">
        <v>0.08</v>
      </c>
      <c r="I22" s="22">
        <v>0.03</v>
      </c>
      <c r="J22" s="22">
        <v>-0.09</v>
      </c>
      <c r="K22" s="22">
        <v>-0.22</v>
      </c>
      <c r="L22" s="22">
        <v>-0.12</v>
      </c>
      <c r="M22" s="22">
        <v>-0.01</v>
      </c>
      <c r="N22" s="22">
        <v>-0.02</v>
      </c>
      <c r="O22" s="22">
        <v>-0.02</v>
      </c>
      <c r="P22" s="22">
        <v>-0.01</v>
      </c>
      <c r="Q22" s="22">
        <v>0.03</v>
      </c>
      <c r="R22" s="22">
        <v>-0.13</v>
      </c>
      <c r="S22" s="22">
        <v>0.01</v>
      </c>
      <c r="T22" s="22">
        <v>0.01</v>
      </c>
      <c r="U22" s="22">
        <v>-0.02</v>
      </c>
      <c r="V22" s="22">
        <v>0.05</v>
      </c>
      <c r="W22" s="22">
        <v>0</v>
      </c>
      <c r="X22" s="22">
        <v>0.02</v>
      </c>
      <c r="Y22" s="22">
        <v>0</v>
      </c>
    </row>
    <row r="23" spans="1:25" x14ac:dyDescent="0.25">
      <c r="A23" t="s">
        <v>97</v>
      </c>
      <c r="B23" t="s">
        <v>57</v>
      </c>
      <c r="C23" s="22">
        <v>0.15</v>
      </c>
      <c r="D23" s="22">
        <v>0</v>
      </c>
      <c r="E23" s="22">
        <v>0.18</v>
      </c>
      <c r="F23" s="22">
        <v>-0.01</v>
      </c>
      <c r="G23" s="22">
        <v>0.18</v>
      </c>
      <c r="H23" s="22">
        <v>0.03</v>
      </c>
      <c r="I23" s="22">
        <v>-0.01</v>
      </c>
      <c r="J23" s="22">
        <v>-7.0000000000000007E-2</v>
      </c>
      <c r="K23" s="22">
        <v>0.04</v>
      </c>
      <c r="L23" s="22">
        <v>0.06</v>
      </c>
      <c r="M23" s="22">
        <v>0.02</v>
      </c>
      <c r="N23" s="22">
        <v>-0.04</v>
      </c>
      <c r="O23" s="22">
        <v>0.04</v>
      </c>
      <c r="P23" s="22">
        <v>0.01</v>
      </c>
      <c r="Q23" s="22">
        <v>-0.05</v>
      </c>
      <c r="R23" s="22">
        <v>0.11</v>
      </c>
      <c r="S23" s="22">
        <v>-0.08</v>
      </c>
      <c r="T23" s="22">
        <v>0.01</v>
      </c>
      <c r="U23" s="22">
        <v>0</v>
      </c>
      <c r="V23" s="22">
        <v>0</v>
      </c>
      <c r="W23" s="22">
        <v>0.02</v>
      </c>
      <c r="X23" s="22">
        <v>-0.04</v>
      </c>
      <c r="Y23" s="22">
        <v>0</v>
      </c>
    </row>
    <row r="24" spans="1:25" x14ac:dyDescent="0.25">
      <c r="A24" t="s">
        <v>98</v>
      </c>
      <c r="B24" t="s">
        <v>57</v>
      </c>
      <c r="C24" s="22">
        <v>0.19</v>
      </c>
      <c r="D24" s="22">
        <v>-0.01</v>
      </c>
      <c r="E24" s="22">
        <v>-7.0000000000000007E-2</v>
      </c>
      <c r="F24" s="22">
        <v>-0.01</v>
      </c>
      <c r="G24" s="22">
        <v>-0.05</v>
      </c>
      <c r="H24" s="22">
        <v>0.01</v>
      </c>
      <c r="I24" s="22">
        <v>-0.02</v>
      </c>
      <c r="J24" s="22">
        <v>-0.06</v>
      </c>
      <c r="K24" s="22">
        <v>0.33</v>
      </c>
      <c r="L24" s="22">
        <v>0.05</v>
      </c>
      <c r="M24" s="22">
        <v>0.09</v>
      </c>
      <c r="N24" s="22">
        <v>0.09</v>
      </c>
      <c r="O24" s="22">
        <v>0.01</v>
      </c>
      <c r="P24" s="22">
        <v>0</v>
      </c>
      <c r="Q24" s="22">
        <v>0.02</v>
      </c>
      <c r="R24" s="22">
        <v>0.04</v>
      </c>
      <c r="S24" s="22">
        <v>0.05</v>
      </c>
      <c r="T24" s="22">
        <v>0</v>
      </c>
      <c r="U24" s="22">
        <v>0.03</v>
      </c>
      <c r="V24" s="22">
        <v>-0.02</v>
      </c>
      <c r="W24" s="22">
        <v>-0.04</v>
      </c>
      <c r="X24" s="22">
        <v>0.01</v>
      </c>
      <c r="Y24" s="22">
        <v>0</v>
      </c>
    </row>
    <row r="25" spans="1:25" x14ac:dyDescent="0.25">
      <c r="A25" t="s">
        <v>99</v>
      </c>
      <c r="B25" t="s">
        <v>57</v>
      </c>
      <c r="C25" s="22">
        <v>0.04</v>
      </c>
      <c r="D25" s="22">
        <v>-0.01</v>
      </c>
      <c r="E25" s="22">
        <v>-0.02</v>
      </c>
      <c r="F25" s="22">
        <v>-0.05</v>
      </c>
      <c r="G25" s="22">
        <v>0.01</v>
      </c>
      <c r="H25" s="22">
        <v>0.01</v>
      </c>
      <c r="I25" s="22">
        <v>0.02</v>
      </c>
      <c r="J25" s="22">
        <v>0.04</v>
      </c>
      <c r="K25" s="22">
        <v>0.03</v>
      </c>
      <c r="L25" s="22">
        <v>0.08</v>
      </c>
      <c r="M25" s="22">
        <v>-0.03</v>
      </c>
      <c r="N25" s="22">
        <v>-0.02</v>
      </c>
      <c r="O25" s="22">
        <v>0.03</v>
      </c>
      <c r="P25" s="22">
        <v>-0.01</v>
      </c>
      <c r="Q25" s="22">
        <v>0</v>
      </c>
      <c r="R25" s="22">
        <v>0.04</v>
      </c>
      <c r="S25" s="22">
        <v>-0.13</v>
      </c>
      <c r="T25" s="22">
        <v>0</v>
      </c>
      <c r="U25" s="22">
        <v>0.01</v>
      </c>
      <c r="V25" s="22">
        <v>0.06</v>
      </c>
      <c r="W25" s="22">
        <v>-0.01</v>
      </c>
      <c r="X25" s="22">
        <v>0.01</v>
      </c>
      <c r="Y25" s="22">
        <v>0</v>
      </c>
    </row>
    <row r="26" spans="1:25" x14ac:dyDescent="0.25">
      <c r="A26" t="s">
        <v>100</v>
      </c>
      <c r="B26" t="s">
        <v>57</v>
      </c>
      <c r="C26" s="22">
        <v>0.46</v>
      </c>
      <c r="D26" s="22">
        <v>-0.01</v>
      </c>
      <c r="E26" s="22">
        <v>0.04</v>
      </c>
      <c r="F26" s="22">
        <v>0.04</v>
      </c>
      <c r="G26" s="22">
        <v>-0.03</v>
      </c>
      <c r="H26" s="22">
        <v>0.03</v>
      </c>
      <c r="I26" s="22">
        <v>0</v>
      </c>
      <c r="J26" s="22">
        <v>0.02</v>
      </c>
      <c r="K26" s="22">
        <v>0.4</v>
      </c>
      <c r="L26" s="22">
        <v>0.08</v>
      </c>
      <c r="M26" s="22">
        <v>0.02</v>
      </c>
      <c r="N26" s="22">
        <v>-0.02</v>
      </c>
      <c r="O26" s="22">
        <v>0.02</v>
      </c>
      <c r="P26" s="22">
        <v>0.01</v>
      </c>
      <c r="Q26" s="22">
        <v>0.03</v>
      </c>
      <c r="R26" s="22">
        <v>0.12</v>
      </c>
      <c r="S26" s="22">
        <v>0.11</v>
      </c>
      <c r="T26" s="22">
        <v>0</v>
      </c>
      <c r="U26" s="22">
        <v>0.02</v>
      </c>
      <c r="V26" s="22">
        <v>-0.02</v>
      </c>
      <c r="W26" s="22">
        <v>0.02</v>
      </c>
      <c r="X26" s="22">
        <v>0.01</v>
      </c>
      <c r="Y26" s="22">
        <v>0</v>
      </c>
    </row>
    <row r="27" spans="1:25" x14ac:dyDescent="0.25">
      <c r="A27" t="s">
        <v>101</v>
      </c>
      <c r="B27" t="s">
        <v>57</v>
      </c>
      <c r="C27" s="22">
        <v>0.34</v>
      </c>
      <c r="D27" s="22">
        <v>-0.01</v>
      </c>
      <c r="E27" s="22">
        <v>0</v>
      </c>
      <c r="F27" s="22">
        <v>-0.02</v>
      </c>
      <c r="G27" s="22">
        <v>0.12</v>
      </c>
      <c r="H27" s="22">
        <v>-0.08</v>
      </c>
      <c r="I27" s="22">
        <v>-0.02</v>
      </c>
      <c r="J27" s="22">
        <v>0.08</v>
      </c>
      <c r="K27" s="22">
        <v>0.27</v>
      </c>
      <c r="L27" s="22">
        <v>-0.02</v>
      </c>
      <c r="M27" s="22">
        <v>0.01</v>
      </c>
      <c r="N27" s="22">
        <v>0.05</v>
      </c>
      <c r="O27" s="22">
        <v>7.0000000000000007E-2</v>
      </c>
      <c r="P27" s="22">
        <v>0.03</v>
      </c>
      <c r="Q27" s="22">
        <v>0.02</v>
      </c>
      <c r="R27" s="22">
        <v>0.05</v>
      </c>
      <c r="S27" s="22">
        <v>-0.02</v>
      </c>
      <c r="T27" s="22">
        <v>0</v>
      </c>
      <c r="U27" s="22">
        <v>-0.01</v>
      </c>
      <c r="V27" s="22">
        <v>0.04</v>
      </c>
      <c r="W27" s="22">
        <v>0.03</v>
      </c>
      <c r="X27" s="22">
        <v>0.01</v>
      </c>
      <c r="Y27" s="22">
        <v>0</v>
      </c>
    </row>
    <row r="28" spans="1:25" x14ac:dyDescent="0.25">
      <c r="A28" t="s">
        <v>102</v>
      </c>
      <c r="B28" t="s">
        <v>57</v>
      </c>
      <c r="C28" s="22">
        <v>-0.06</v>
      </c>
      <c r="D28" s="22">
        <v>0</v>
      </c>
      <c r="E28" s="22">
        <v>0.05</v>
      </c>
      <c r="F28" s="22">
        <v>0.02</v>
      </c>
      <c r="G28" s="22">
        <v>0.04</v>
      </c>
      <c r="H28" s="22">
        <v>-0.01</v>
      </c>
      <c r="I28" s="22">
        <v>0</v>
      </c>
      <c r="J28" s="22">
        <v>-0.01</v>
      </c>
      <c r="K28" s="22">
        <v>-0.11</v>
      </c>
      <c r="L28" s="22">
        <v>-0.01</v>
      </c>
      <c r="M28" s="22">
        <v>0.03</v>
      </c>
      <c r="N28" s="22">
        <v>-0.02</v>
      </c>
      <c r="O28" s="22">
        <v>0.13</v>
      </c>
      <c r="P28" s="22">
        <v>-0.02</v>
      </c>
      <c r="Q28" s="22">
        <v>0.01</v>
      </c>
      <c r="R28" s="22">
        <v>-0.05</v>
      </c>
      <c r="S28" s="22">
        <v>-0.12</v>
      </c>
      <c r="T28" s="22">
        <v>0</v>
      </c>
      <c r="U28" s="22">
        <v>-0.01</v>
      </c>
      <c r="V28" s="22">
        <v>-0.01</v>
      </c>
      <c r="W28" s="22">
        <v>-0.04</v>
      </c>
      <c r="X28" s="22">
        <v>0.01</v>
      </c>
      <c r="Y28" s="22">
        <v>0</v>
      </c>
    </row>
    <row r="29" spans="1:25" x14ac:dyDescent="0.25">
      <c r="A29" t="s">
        <v>103</v>
      </c>
      <c r="B29" t="s">
        <v>57</v>
      </c>
      <c r="C29" s="22">
        <v>-0.01</v>
      </c>
      <c r="D29" s="22">
        <v>0</v>
      </c>
      <c r="E29" s="22">
        <v>-0.09</v>
      </c>
      <c r="F29" s="22">
        <v>-0.05</v>
      </c>
      <c r="G29" s="22">
        <v>-0.02</v>
      </c>
      <c r="H29" s="22">
        <v>0.02</v>
      </c>
      <c r="I29" s="22">
        <v>-0.04</v>
      </c>
      <c r="J29" s="22">
        <v>-0.05</v>
      </c>
      <c r="K29" s="22">
        <v>0.12</v>
      </c>
      <c r="L29" s="22">
        <v>0</v>
      </c>
      <c r="M29" s="22">
        <v>-0.01</v>
      </c>
      <c r="N29" s="22">
        <v>-0.01</v>
      </c>
      <c r="O29" s="22">
        <v>-0.04</v>
      </c>
      <c r="P29" s="22">
        <v>0.01</v>
      </c>
      <c r="Q29" s="22">
        <v>0</v>
      </c>
      <c r="R29" s="22">
        <v>0.14000000000000001</v>
      </c>
      <c r="S29" s="22">
        <v>0.03</v>
      </c>
      <c r="T29" s="22">
        <v>0</v>
      </c>
      <c r="U29" s="22">
        <v>-0.01</v>
      </c>
      <c r="V29" s="22">
        <v>-0.02</v>
      </c>
      <c r="W29" s="22">
        <v>0.02</v>
      </c>
      <c r="X29" s="22">
        <v>0.01</v>
      </c>
      <c r="Y29" s="22">
        <v>0</v>
      </c>
    </row>
    <row r="30" spans="1:25" x14ac:dyDescent="0.25">
      <c r="A30" t="s">
        <v>104</v>
      </c>
      <c r="B30" t="s">
        <v>57</v>
      </c>
      <c r="C30" s="22">
        <v>0.31</v>
      </c>
      <c r="D30" s="22">
        <v>0</v>
      </c>
      <c r="E30" s="22">
        <v>-0.02</v>
      </c>
      <c r="F30" s="22">
        <v>0.05</v>
      </c>
      <c r="G30" s="22">
        <v>-0.05</v>
      </c>
      <c r="H30" s="22">
        <v>-0.01</v>
      </c>
      <c r="I30" s="22">
        <v>-0.02</v>
      </c>
      <c r="J30" s="22">
        <v>-0.01</v>
      </c>
      <c r="K30" s="22">
        <v>0.34</v>
      </c>
      <c r="L30" s="22">
        <v>0</v>
      </c>
      <c r="M30" s="22">
        <v>0.03</v>
      </c>
      <c r="N30" s="22">
        <v>0</v>
      </c>
      <c r="O30" s="22">
        <v>0.06</v>
      </c>
      <c r="P30" s="22">
        <v>0</v>
      </c>
      <c r="Q30" s="22">
        <v>0</v>
      </c>
      <c r="R30" s="22">
        <v>0.09</v>
      </c>
      <c r="S30" s="22">
        <v>0.09</v>
      </c>
      <c r="T30" s="22">
        <v>0</v>
      </c>
      <c r="U30" s="22">
        <v>0</v>
      </c>
      <c r="V30" s="22">
        <v>0.03</v>
      </c>
      <c r="W30" s="22">
        <v>0.02</v>
      </c>
      <c r="X30" s="22">
        <v>0.02</v>
      </c>
      <c r="Y30" s="22">
        <v>0</v>
      </c>
    </row>
    <row r="31" spans="1:25" x14ac:dyDescent="0.25">
      <c r="A31" t="s">
        <v>105</v>
      </c>
      <c r="B31" t="s">
        <v>57</v>
      </c>
      <c r="C31" s="22">
        <v>0.39</v>
      </c>
      <c r="D31" s="22">
        <v>0</v>
      </c>
      <c r="E31" s="22">
        <v>0.02</v>
      </c>
      <c r="F31" s="22">
        <v>-0.05</v>
      </c>
      <c r="G31" s="22">
        <v>0.08</v>
      </c>
      <c r="H31" s="22">
        <v>-0.03</v>
      </c>
      <c r="I31" s="22">
        <v>0.02</v>
      </c>
      <c r="J31" s="22">
        <v>0.01</v>
      </c>
      <c r="K31" s="22">
        <v>0.36</v>
      </c>
      <c r="L31" s="22">
        <v>-0.1</v>
      </c>
      <c r="M31" s="22">
        <v>0</v>
      </c>
      <c r="N31" s="22">
        <v>0.01</v>
      </c>
      <c r="O31" s="22">
        <v>0.16</v>
      </c>
      <c r="P31" s="22">
        <v>0.03</v>
      </c>
      <c r="Q31" s="22">
        <v>0</v>
      </c>
      <c r="R31" s="22">
        <v>0.01</v>
      </c>
      <c r="S31" s="22">
        <v>0.18</v>
      </c>
      <c r="T31" s="22">
        <v>0</v>
      </c>
      <c r="U31" s="22">
        <v>0.02</v>
      </c>
      <c r="V31" s="22">
        <v>0.05</v>
      </c>
      <c r="W31" s="22">
        <v>0.01</v>
      </c>
      <c r="X31" s="22">
        <v>-0.01</v>
      </c>
      <c r="Y31" s="22">
        <v>0</v>
      </c>
    </row>
    <row r="32" spans="1:25" x14ac:dyDescent="0.25">
      <c r="A32" t="s">
        <v>56</v>
      </c>
      <c r="B32" t="s">
        <v>106</v>
      </c>
      <c r="C32" s="22" t="s">
        <v>107</v>
      </c>
      <c r="D32" s="22" t="s">
        <v>108</v>
      </c>
      <c r="E32" s="22" t="s">
        <v>109</v>
      </c>
      <c r="F32" s="22" t="s">
        <v>110</v>
      </c>
      <c r="G32" s="22" t="s">
        <v>111</v>
      </c>
      <c r="H32" s="22" t="s">
        <v>112</v>
      </c>
      <c r="I32" s="22" t="s">
        <v>113</v>
      </c>
      <c r="J32" s="22" t="s">
        <v>114</v>
      </c>
      <c r="K32" s="22" t="s">
        <v>115</v>
      </c>
      <c r="L32" s="22" t="s">
        <v>116</v>
      </c>
      <c r="M32" s="22" t="s">
        <v>117</v>
      </c>
      <c r="N32" s="22" t="s">
        <v>118</v>
      </c>
      <c r="O32" s="22" t="s">
        <v>119</v>
      </c>
      <c r="P32" s="22" t="s">
        <v>120</v>
      </c>
      <c r="Q32" s="22" t="s">
        <v>121</v>
      </c>
      <c r="R32" s="22" t="s">
        <v>122</v>
      </c>
      <c r="S32" s="22" t="s">
        <v>123</v>
      </c>
      <c r="T32" s="22" t="s">
        <v>124</v>
      </c>
      <c r="U32" s="22" t="s">
        <v>125</v>
      </c>
      <c r="V32" s="22" t="s">
        <v>126</v>
      </c>
      <c r="W32" s="22" t="s">
        <v>127</v>
      </c>
      <c r="X32" s="22" t="s">
        <v>128</v>
      </c>
      <c r="Y32" s="22" t="s">
        <v>129</v>
      </c>
    </row>
    <row r="33" spans="1:25" x14ac:dyDescent="0.25">
      <c r="A33" t="str">
        <f>A7</f>
        <v>2024 Jul</v>
      </c>
      <c r="B33" t="s">
        <v>106</v>
      </c>
      <c r="C33" s="22">
        <v>0.67</v>
      </c>
      <c r="D33" s="22">
        <v>0</v>
      </c>
      <c r="E33" s="22">
        <v>-0.38</v>
      </c>
      <c r="F33" s="22">
        <v>-7.0000000000000007E-2</v>
      </c>
      <c r="G33" s="22">
        <v>-0.17</v>
      </c>
      <c r="H33" s="22">
        <v>-0.11</v>
      </c>
      <c r="I33" s="22">
        <v>-0.02</v>
      </c>
      <c r="J33" s="22">
        <v>-7.0000000000000007E-2</v>
      </c>
      <c r="K33" s="22">
        <v>1.1100000000000001</v>
      </c>
      <c r="L33" s="22">
        <v>0.01</v>
      </c>
      <c r="M33" s="22">
        <v>0.2</v>
      </c>
      <c r="N33" s="22">
        <v>-0.05</v>
      </c>
      <c r="O33" s="22">
        <v>0.35</v>
      </c>
      <c r="P33" s="22">
        <v>-0.09</v>
      </c>
      <c r="Q33" s="22">
        <v>0.13</v>
      </c>
      <c r="R33" s="22">
        <v>0.04</v>
      </c>
      <c r="S33" s="22">
        <v>0.12</v>
      </c>
      <c r="T33" s="22">
        <v>0.18</v>
      </c>
      <c r="U33" s="22">
        <v>0.08</v>
      </c>
      <c r="V33" s="22">
        <v>0.38</v>
      </c>
      <c r="W33" s="22">
        <v>-0.15</v>
      </c>
      <c r="X33" s="22">
        <v>-0.1</v>
      </c>
      <c r="Y33" s="22">
        <v>0.01</v>
      </c>
    </row>
    <row r="34" spans="1:25" x14ac:dyDescent="0.25">
      <c r="A34" t="str">
        <f t="shared" ref="A34:A57" si="0">A8</f>
        <v>2024 Aug</v>
      </c>
      <c r="B34" t="s">
        <v>106</v>
      </c>
      <c r="C34" s="22">
        <v>1.0900000000000001</v>
      </c>
      <c r="D34" s="22">
        <v>0.01</v>
      </c>
      <c r="E34" s="22">
        <v>-0.21</v>
      </c>
      <c r="F34" s="22">
        <v>-0.19</v>
      </c>
      <c r="G34" s="22">
        <v>0.05</v>
      </c>
      <c r="H34" s="22">
        <v>-0.08</v>
      </c>
      <c r="I34" s="22">
        <v>0.02</v>
      </c>
      <c r="J34" s="22">
        <v>0.02</v>
      </c>
      <c r="K34" s="22">
        <v>1.27</v>
      </c>
      <c r="L34" s="22">
        <v>-0.06</v>
      </c>
      <c r="M34" s="22">
        <v>0.12</v>
      </c>
      <c r="N34" s="22">
        <v>-0.05</v>
      </c>
      <c r="O34" s="22">
        <v>0.39</v>
      </c>
      <c r="P34" s="22">
        <v>-0.09</v>
      </c>
      <c r="Q34" s="22">
        <v>0.1</v>
      </c>
      <c r="R34" s="22">
        <v>0.31</v>
      </c>
      <c r="S34" s="22">
        <v>0.14000000000000001</v>
      </c>
      <c r="T34" s="22">
        <v>0.16</v>
      </c>
      <c r="U34" s="22">
        <v>-0.06</v>
      </c>
      <c r="V34" s="22">
        <v>0.33</v>
      </c>
      <c r="W34" s="22">
        <v>-0.02</v>
      </c>
      <c r="X34" s="22">
        <v>-0.01</v>
      </c>
      <c r="Y34" s="22">
        <v>0</v>
      </c>
    </row>
    <row r="35" spans="1:25" x14ac:dyDescent="0.25">
      <c r="A35" t="str">
        <f t="shared" si="0"/>
        <v>2024 Sep</v>
      </c>
      <c r="B35" t="s">
        <v>106</v>
      </c>
      <c r="C35" s="22">
        <v>1.03</v>
      </c>
      <c r="D35" s="22">
        <v>0.01</v>
      </c>
      <c r="E35" s="22">
        <v>-0.16</v>
      </c>
      <c r="F35" s="22">
        <v>-0.1</v>
      </c>
      <c r="G35" s="22">
        <v>0.03</v>
      </c>
      <c r="H35" s="22">
        <v>-0.1</v>
      </c>
      <c r="I35" s="22">
        <v>0</v>
      </c>
      <c r="J35" s="22">
        <v>-0.05</v>
      </c>
      <c r="K35" s="22">
        <v>1.22</v>
      </c>
      <c r="L35" s="22">
        <v>0</v>
      </c>
      <c r="M35" s="22">
        <v>0.1</v>
      </c>
      <c r="N35" s="22">
        <v>-0.11</v>
      </c>
      <c r="O35" s="22">
        <v>0.3</v>
      </c>
      <c r="P35" s="22">
        <v>-0.04</v>
      </c>
      <c r="Q35" s="22">
        <v>0.12</v>
      </c>
      <c r="R35" s="22">
        <v>0.35</v>
      </c>
      <c r="S35" s="22">
        <v>0.19</v>
      </c>
      <c r="T35" s="22">
        <v>0.15</v>
      </c>
      <c r="U35" s="22">
        <v>-0.04</v>
      </c>
      <c r="V35" s="22">
        <v>0.25</v>
      </c>
      <c r="W35" s="22">
        <v>-0.02</v>
      </c>
      <c r="X35" s="22">
        <v>-0.02</v>
      </c>
      <c r="Y35" s="22">
        <v>0</v>
      </c>
    </row>
    <row r="36" spans="1:25" x14ac:dyDescent="0.25">
      <c r="A36" t="str">
        <f t="shared" si="0"/>
        <v>2024 Oct</v>
      </c>
      <c r="B36" t="s">
        <v>106</v>
      </c>
      <c r="C36" s="22">
        <v>1.52</v>
      </c>
      <c r="D36" s="22">
        <v>0.01</v>
      </c>
      <c r="E36" s="22">
        <v>-0.05</v>
      </c>
      <c r="F36" s="22">
        <v>-0.1</v>
      </c>
      <c r="G36" s="22">
        <v>0.04</v>
      </c>
      <c r="H36" s="22">
        <v>0.02</v>
      </c>
      <c r="I36" s="22">
        <v>0.01</v>
      </c>
      <c r="J36" s="22">
        <v>-0.05</v>
      </c>
      <c r="K36" s="22">
        <v>1.61</v>
      </c>
      <c r="L36" s="22">
        <v>-7.0000000000000007E-2</v>
      </c>
      <c r="M36" s="22">
        <v>0.13</v>
      </c>
      <c r="N36" s="22">
        <v>-0.04</v>
      </c>
      <c r="O36" s="22">
        <v>0.46</v>
      </c>
      <c r="P36" s="22">
        <v>-0.01</v>
      </c>
      <c r="Q36" s="22">
        <v>0.16</v>
      </c>
      <c r="R36" s="22">
        <v>0.48</v>
      </c>
      <c r="S36" s="22">
        <v>0.14000000000000001</v>
      </c>
      <c r="T36" s="22">
        <v>0.14000000000000001</v>
      </c>
      <c r="U36" s="22">
        <v>-0.03</v>
      </c>
      <c r="V36" s="22">
        <v>0.28999999999999998</v>
      </c>
      <c r="W36" s="22">
        <v>-0.03</v>
      </c>
      <c r="X36" s="22">
        <v>-0.02</v>
      </c>
      <c r="Y36" s="22">
        <v>0</v>
      </c>
    </row>
    <row r="37" spans="1:25" x14ac:dyDescent="0.25">
      <c r="A37" t="str">
        <f t="shared" si="0"/>
        <v>2024 Nov</v>
      </c>
      <c r="B37" t="s">
        <v>106</v>
      </c>
      <c r="C37" s="22">
        <v>1.33</v>
      </c>
      <c r="D37" s="22">
        <v>0.01</v>
      </c>
      <c r="E37" s="22">
        <v>-0.22</v>
      </c>
      <c r="F37" s="22">
        <v>-0.11</v>
      </c>
      <c r="G37" s="22">
        <v>-0.06</v>
      </c>
      <c r="H37" s="22">
        <v>-0.08</v>
      </c>
      <c r="I37" s="22">
        <v>0.04</v>
      </c>
      <c r="J37" s="22">
        <v>0.03</v>
      </c>
      <c r="K37" s="22">
        <v>1.52</v>
      </c>
      <c r="L37" s="22">
        <v>-0.04</v>
      </c>
      <c r="M37" s="22">
        <v>0.12</v>
      </c>
      <c r="N37" s="22">
        <v>0.03</v>
      </c>
      <c r="O37" s="22">
        <v>0.41</v>
      </c>
      <c r="P37" s="22">
        <v>-0.05</v>
      </c>
      <c r="Q37" s="22">
        <v>0.12</v>
      </c>
      <c r="R37" s="22">
        <v>0.39</v>
      </c>
      <c r="S37" s="22">
        <v>0.15</v>
      </c>
      <c r="T37" s="22">
        <v>0.13</v>
      </c>
      <c r="U37" s="22">
        <v>-0.01</v>
      </c>
      <c r="V37" s="22">
        <v>0.3</v>
      </c>
      <c r="W37" s="22">
        <v>-0.03</v>
      </c>
      <c r="X37" s="22">
        <v>0</v>
      </c>
      <c r="Y37" s="22">
        <v>0</v>
      </c>
    </row>
    <row r="38" spans="1:25" x14ac:dyDescent="0.25">
      <c r="A38" t="str">
        <f t="shared" si="0"/>
        <v>2024 Dec</v>
      </c>
      <c r="B38" t="s">
        <v>106</v>
      </c>
      <c r="C38" s="22">
        <v>2</v>
      </c>
      <c r="D38" s="22">
        <v>0.01</v>
      </c>
      <c r="E38" s="22">
        <v>-0.18</v>
      </c>
      <c r="F38" s="22">
        <v>-7.0000000000000007E-2</v>
      </c>
      <c r="G38" s="22">
        <v>-0.13</v>
      </c>
      <c r="H38" s="22">
        <v>0</v>
      </c>
      <c r="I38" s="22">
        <v>0.03</v>
      </c>
      <c r="J38" s="22">
        <v>0.03</v>
      </c>
      <c r="K38" s="22">
        <v>2.15</v>
      </c>
      <c r="L38" s="22">
        <v>0.26</v>
      </c>
      <c r="M38" s="22">
        <v>0.15</v>
      </c>
      <c r="N38" s="22">
        <v>0.01</v>
      </c>
      <c r="O38" s="22">
        <v>0.39</v>
      </c>
      <c r="P38" s="22">
        <v>-0.03</v>
      </c>
      <c r="Q38" s="22">
        <v>0.1</v>
      </c>
      <c r="R38" s="22">
        <v>0.47</v>
      </c>
      <c r="S38" s="22">
        <v>0.13</v>
      </c>
      <c r="T38" s="22">
        <v>0.13</v>
      </c>
      <c r="U38" s="22">
        <v>0.03</v>
      </c>
      <c r="V38" s="22">
        <v>0.46</v>
      </c>
      <c r="W38" s="22">
        <v>0.04</v>
      </c>
      <c r="X38" s="22">
        <v>0.01</v>
      </c>
      <c r="Y38" s="22">
        <v>0</v>
      </c>
    </row>
    <row r="39" spans="1:25" x14ac:dyDescent="0.25">
      <c r="A39" t="str">
        <f t="shared" si="0"/>
        <v>2025 Jan</v>
      </c>
      <c r="B39" t="s">
        <v>106</v>
      </c>
      <c r="C39" s="22">
        <v>1.52</v>
      </c>
      <c r="D39" s="22">
        <v>0.01</v>
      </c>
      <c r="E39" s="22">
        <v>0.02</v>
      </c>
      <c r="F39" s="22">
        <v>0</v>
      </c>
      <c r="G39" s="22">
        <v>-0.15</v>
      </c>
      <c r="H39" s="22">
        <v>0.1</v>
      </c>
      <c r="I39" s="22">
        <v>0.08</v>
      </c>
      <c r="J39" s="22">
        <v>-0.05</v>
      </c>
      <c r="K39" s="22">
        <v>1.54</v>
      </c>
      <c r="L39" s="22">
        <v>-7.0000000000000007E-2</v>
      </c>
      <c r="M39" s="22">
        <v>0.12</v>
      </c>
      <c r="N39" s="22">
        <v>0.03</v>
      </c>
      <c r="O39" s="22">
        <v>0.45</v>
      </c>
      <c r="P39" s="22">
        <v>-0.06</v>
      </c>
      <c r="Q39" s="22">
        <v>0.04</v>
      </c>
      <c r="R39" s="22">
        <v>0.33</v>
      </c>
      <c r="S39" s="22">
        <v>0.18</v>
      </c>
      <c r="T39" s="22">
        <v>0.14000000000000001</v>
      </c>
      <c r="U39" s="22">
        <v>-0.02</v>
      </c>
      <c r="V39" s="22">
        <v>0.41</v>
      </c>
      <c r="W39" s="22">
        <v>-0.04</v>
      </c>
      <c r="X39" s="22">
        <v>0.05</v>
      </c>
      <c r="Y39" s="22">
        <v>0</v>
      </c>
    </row>
    <row r="40" spans="1:25" x14ac:dyDescent="0.25">
      <c r="A40" t="str">
        <f t="shared" si="0"/>
        <v>2025 Feb</v>
      </c>
      <c r="B40" t="s">
        <v>106</v>
      </c>
      <c r="C40" s="22">
        <v>1.63</v>
      </c>
      <c r="D40" s="22">
        <v>0.02</v>
      </c>
      <c r="E40" s="22">
        <v>0.12</v>
      </c>
      <c r="F40" s="22">
        <v>-0.05</v>
      </c>
      <c r="G40" s="22">
        <v>-0.04</v>
      </c>
      <c r="H40" s="22">
        <v>0.15</v>
      </c>
      <c r="I40" s="22">
        <v>0.06</v>
      </c>
      <c r="J40" s="22">
        <v>0.04</v>
      </c>
      <c r="K40" s="22">
        <v>1.45</v>
      </c>
      <c r="L40" s="22">
        <v>0.16</v>
      </c>
      <c r="M40" s="22">
        <v>0.01</v>
      </c>
      <c r="N40" s="22">
        <v>-0.02</v>
      </c>
      <c r="O40" s="22">
        <v>0.48</v>
      </c>
      <c r="P40" s="22">
        <v>-7.0000000000000007E-2</v>
      </c>
      <c r="Q40" s="22">
        <v>0.05</v>
      </c>
      <c r="R40" s="22">
        <v>0.25</v>
      </c>
      <c r="S40" s="22">
        <v>0.18</v>
      </c>
      <c r="T40" s="22">
        <v>0.16</v>
      </c>
      <c r="U40" s="22">
        <v>-0.06</v>
      </c>
      <c r="V40" s="22">
        <v>0.32</v>
      </c>
      <c r="W40" s="22">
        <v>0.01</v>
      </c>
      <c r="X40" s="22">
        <v>-0.02</v>
      </c>
      <c r="Y40" s="22">
        <v>-0.01</v>
      </c>
    </row>
    <row r="41" spans="1:25" x14ac:dyDescent="0.25">
      <c r="A41" t="str">
        <f t="shared" si="0"/>
        <v>2025 Mar</v>
      </c>
      <c r="B41" t="s">
        <v>106</v>
      </c>
      <c r="C41" s="22">
        <v>1.52</v>
      </c>
      <c r="D41" s="22">
        <v>0.02</v>
      </c>
      <c r="E41" s="22">
        <v>-0.08</v>
      </c>
      <c r="F41" s="22">
        <v>-0.05</v>
      </c>
      <c r="G41" s="22">
        <v>-0.15</v>
      </c>
      <c r="H41" s="22">
        <v>7.0000000000000007E-2</v>
      </c>
      <c r="I41" s="22">
        <v>0.05</v>
      </c>
      <c r="J41" s="22">
        <v>0.05</v>
      </c>
      <c r="K41" s="22">
        <v>1.53</v>
      </c>
      <c r="L41" s="22">
        <v>0.25</v>
      </c>
      <c r="M41" s="22">
        <v>0.04</v>
      </c>
      <c r="N41" s="22">
        <v>0.1</v>
      </c>
      <c r="O41" s="22">
        <v>0.51</v>
      </c>
      <c r="P41" s="22">
        <v>-0.09</v>
      </c>
      <c r="Q41" s="22">
        <v>0.04</v>
      </c>
      <c r="R41" s="22">
        <v>0.35</v>
      </c>
      <c r="S41" s="22">
        <v>-0.05</v>
      </c>
      <c r="T41" s="22">
        <v>0.17</v>
      </c>
      <c r="U41" s="22">
        <v>-0.06</v>
      </c>
      <c r="V41" s="22">
        <v>0.18</v>
      </c>
      <c r="W41" s="22">
        <v>0.08</v>
      </c>
      <c r="X41" s="22">
        <v>0.02</v>
      </c>
      <c r="Y41" s="22">
        <v>-0.01</v>
      </c>
    </row>
    <row r="42" spans="1:25" x14ac:dyDescent="0.25">
      <c r="A42" t="str">
        <f t="shared" si="0"/>
        <v>2025 Apr</v>
      </c>
      <c r="B42" t="s">
        <v>106</v>
      </c>
      <c r="C42" s="22">
        <v>1.25</v>
      </c>
      <c r="D42" s="22">
        <v>0.03</v>
      </c>
      <c r="E42" s="22">
        <v>0.05</v>
      </c>
      <c r="F42" s="22">
        <v>-0.03</v>
      </c>
      <c r="G42" s="22">
        <v>7.0000000000000007E-2</v>
      </c>
      <c r="H42" s="22">
        <v>-7.0000000000000007E-2</v>
      </c>
      <c r="I42" s="22">
        <v>7.0000000000000007E-2</v>
      </c>
      <c r="J42" s="22">
        <v>0.13</v>
      </c>
      <c r="K42" s="22">
        <v>1.05</v>
      </c>
      <c r="L42" s="22">
        <v>0.1</v>
      </c>
      <c r="M42" s="22">
        <v>0.05</v>
      </c>
      <c r="N42" s="22">
        <v>0.13</v>
      </c>
      <c r="O42" s="22">
        <v>0.16</v>
      </c>
      <c r="P42" s="22">
        <v>-0.08</v>
      </c>
      <c r="Q42" s="22">
        <v>0</v>
      </c>
      <c r="R42" s="22">
        <v>0.24</v>
      </c>
      <c r="S42" s="22">
        <v>0.05</v>
      </c>
      <c r="T42" s="22">
        <v>0.15</v>
      </c>
      <c r="U42" s="22">
        <v>-0.04</v>
      </c>
      <c r="V42" s="22">
        <v>0.28999999999999998</v>
      </c>
      <c r="W42" s="22">
        <v>0.01</v>
      </c>
      <c r="X42" s="22">
        <v>-0.02</v>
      </c>
      <c r="Y42" s="22">
        <v>-0.01</v>
      </c>
    </row>
    <row r="43" spans="1:25" x14ac:dyDescent="0.25">
      <c r="A43" t="str">
        <f t="shared" si="0"/>
        <v>2025 May</v>
      </c>
      <c r="B43" t="s">
        <v>106</v>
      </c>
      <c r="C43" s="22">
        <v>0.8</v>
      </c>
      <c r="D43" s="22">
        <v>0.03</v>
      </c>
      <c r="E43" s="22">
        <v>-0.15</v>
      </c>
      <c r="F43" s="22">
        <v>-0.03</v>
      </c>
      <c r="G43" s="22">
        <v>-7.0000000000000007E-2</v>
      </c>
      <c r="H43" s="22">
        <v>-0.1</v>
      </c>
      <c r="I43" s="22">
        <v>0.05</v>
      </c>
      <c r="J43" s="22">
        <v>0</v>
      </c>
      <c r="K43" s="22">
        <v>0.93</v>
      </c>
      <c r="L43" s="22">
        <v>-0.15</v>
      </c>
      <c r="M43" s="22">
        <v>0.03</v>
      </c>
      <c r="N43" s="22">
        <v>0.05</v>
      </c>
      <c r="O43" s="22">
        <v>0.39</v>
      </c>
      <c r="P43" s="22">
        <v>-0.08</v>
      </c>
      <c r="Q43" s="22">
        <v>0.04</v>
      </c>
      <c r="R43" s="22">
        <v>0.19</v>
      </c>
      <c r="S43" s="22">
        <v>0.02</v>
      </c>
      <c r="T43" s="22">
        <v>0.15</v>
      </c>
      <c r="U43" s="22">
        <v>0.01</v>
      </c>
      <c r="V43" s="22">
        <v>0.27</v>
      </c>
      <c r="W43" s="22">
        <v>-0.01</v>
      </c>
      <c r="X43" s="22">
        <v>0.03</v>
      </c>
      <c r="Y43" s="22">
        <v>0</v>
      </c>
    </row>
    <row r="44" spans="1:25" x14ac:dyDescent="0.25">
      <c r="A44" t="str">
        <f t="shared" si="0"/>
        <v>2025 Jun</v>
      </c>
      <c r="B44" t="s">
        <v>106</v>
      </c>
      <c r="C44" s="22">
        <v>1.46</v>
      </c>
      <c r="D44" s="22">
        <v>0.03</v>
      </c>
      <c r="E44" s="22">
        <v>-0.01</v>
      </c>
      <c r="F44" s="22">
        <v>0.03</v>
      </c>
      <c r="G44" s="22">
        <v>-7.0000000000000007E-2</v>
      </c>
      <c r="H44" s="22">
        <v>-0.01</v>
      </c>
      <c r="I44" s="22">
        <v>0.05</v>
      </c>
      <c r="J44" s="22">
        <v>-0.03</v>
      </c>
      <c r="K44" s="22">
        <v>1.47</v>
      </c>
      <c r="L44" s="22">
        <v>0.02</v>
      </c>
      <c r="M44" s="22">
        <v>0.05</v>
      </c>
      <c r="N44" s="22">
        <v>0.06</v>
      </c>
      <c r="O44" s="22">
        <v>0.4</v>
      </c>
      <c r="P44" s="22">
        <v>-0.04</v>
      </c>
      <c r="Q44" s="22">
        <v>0.04</v>
      </c>
      <c r="R44" s="22">
        <v>0.28999999999999998</v>
      </c>
      <c r="S44" s="22">
        <v>0.13</v>
      </c>
      <c r="T44" s="22">
        <v>0.14000000000000001</v>
      </c>
      <c r="U44" s="22">
        <v>-0.06</v>
      </c>
      <c r="V44" s="22">
        <v>0.38</v>
      </c>
      <c r="W44" s="22">
        <v>7.0000000000000007E-2</v>
      </c>
      <c r="X44" s="22">
        <v>0.02</v>
      </c>
      <c r="Y44" s="22">
        <v>0</v>
      </c>
    </row>
    <row r="45" spans="1:25" x14ac:dyDescent="0.25">
      <c r="A45" t="str">
        <f t="shared" si="0"/>
        <v>2025 Jul</v>
      </c>
      <c r="B45" t="s">
        <v>106</v>
      </c>
      <c r="C45" s="22">
        <v>1.43</v>
      </c>
      <c r="D45" s="22">
        <v>0.02</v>
      </c>
      <c r="E45" s="22">
        <v>0</v>
      </c>
      <c r="F45" s="22">
        <v>0</v>
      </c>
      <c r="G45" s="22">
        <v>-0.08</v>
      </c>
      <c r="H45" s="22">
        <v>0</v>
      </c>
      <c r="I45" s="22">
        <v>0.08</v>
      </c>
      <c r="J45" s="22">
        <v>0.08</v>
      </c>
      <c r="K45" s="22">
        <v>1.33</v>
      </c>
      <c r="L45" s="22">
        <v>0.01</v>
      </c>
      <c r="M45" s="22">
        <v>0.11</v>
      </c>
      <c r="N45" s="22">
        <v>0.06</v>
      </c>
      <c r="O45" s="22">
        <v>0.27</v>
      </c>
      <c r="P45" s="22">
        <v>0.03</v>
      </c>
      <c r="Q45" s="22">
        <v>0.06</v>
      </c>
      <c r="R45" s="22">
        <v>0.25</v>
      </c>
      <c r="S45" s="22">
        <v>7.0000000000000007E-2</v>
      </c>
      <c r="T45" s="22">
        <v>0.14000000000000001</v>
      </c>
      <c r="U45" s="22">
        <v>-7.0000000000000007E-2</v>
      </c>
      <c r="V45" s="22">
        <v>0.27</v>
      </c>
      <c r="W45" s="22">
        <v>0.1</v>
      </c>
      <c r="X45" s="22">
        <v>0.03</v>
      </c>
      <c r="Y45" s="22">
        <v>0</v>
      </c>
    </row>
    <row r="46" spans="1:25" x14ac:dyDescent="0.25">
      <c r="A46" t="str">
        <f t="shared" si="0"/>
        <v>2025 Aug</v>
      </c>
      <c r="B46" t="s">
        <v>106</v>
      </c>
      <c r="C46" s="22">
        <v>0.87</v>
      </c>
      <c r="D46" s="22">
        <v>0.02</v>
      </c>
      <c r="E46" s="22">
        <v>-0.16</v>
      </c>
      <c r="F46" s="22">
        <v>0.02</v>
      </c>
      <c r="G46" s="22">
        <v>-0.18</v>
      </c>
      <c r="H46" s="22">
        <v>-0.05</v>
      </c>
      <c r="I46" s="22">
        <v>0.06</v>
      </c>
      <c r="J46" s="22">
        <v>0.04</v>
      </c>
      <c r="K46" s="22">
        <v>0.97</v>
      </c>
      <c r="L46" s="22">
        <v>-0.09</v>
      </c>
      <c r="M46" s="22">
        <v>0.17</v>
      </c>
      <c r="N46" s="22">
        <v>0.09</v>
      </c>
      <c r="O46" s="22">
        <v>0.23</v>
      </c>
      <c r="P46" s="22">
        <v>0.08</v>
      </c>
      <c r="Q46" s="22">
        <v>0.09</v>
      </c>
      <c r="R46" s="22">
        <v>-0.03</v>
      </c>
      <c r="S46" s="22">
        <v>0.09</v>
      </c>
      <c r="T46" s="22">
        <v>0.14000000000000001</v>
      </c>
      <c r="U46" s="22">
        <v>-0.1</v>
      </c>
      <c r="V46" s="22">
        <v>0.26</v>
      </c>
      <c r="W46" s="22">
        <v>0.03</v>
      </c>
      <c r="X46" s="22">
        <v>0.01</v>
      </c>
      <c r="Y46" s="22">
        <v>0</v>
      </c>
    </row>
    <row r="47" spans="1:25" x14ac:dyDescent="0.25">
      <c r="A47" t="str">
        <f t="shared" si="0"/>
        <v>2025 Sep</v>
      </c>
      <c r="B47" t="s">
        <v>106</v>
      </c>
      <c r="C47" s="22">
        <v>1.01</v>
      </c>
      <c r="D47" s="22">
        <v>0.02</v>
      </c>
      <c r="E47" s="22">
        <v>-0.37</v>
      </c>
      <c r="F47" s="22">
        <v>-7.0000000000000007E-2</v>
      </c>
      <c r="G47" s="22">
        <v>-0.27</v>
      </c>
      <c r="H47" s="22">
        <v>-7.0000000000000007E-2</v>
      </c>
      <c r="I47" s="22">
        <v>0.04</v>
      </c>
      <c r="J47" s="22">
        <v>0.08</v>
      </c>
      <c r="K47" s="22">
        <v>1.29</v>
      </c>
      <c r="L47" s="22">
        <v>0.11</v>
      </c>
      <c r="M47" s="22">
        <v>0.2</v>
      </c>
      <c r="N47" s="22">
        <v>0.13</v>
      </c>
      <c r="O47" s="22">
        <v>0.35</v>
      </c>
      <c r="P47" s="22">
        <v>0.09</v>
      </c>
      <c r="Q47" s="22">
        <v>0.12</v>
      </c>
      <c r="R47" s="22">
        <v>-0.03</v>
      </c>
      <c r="S47" s="22">
        <v>0.06</v>
      </c>
      <c r="T47" s="22">
        <v>0.13</v>
      </c>
      <c r="U47" s="22">
        <v>-0.1</v>
      </c>
      <c r="V47" s="22">
        <v>0.18</v>
      </c>
      <c r="W47" s="22">
        <v>0.09</v>
      </c>
      <c r="X47" s="22">
        <v>-0.04</v>
      </c>
      <c r="Y47" s="22">
        <v>0</v>
      </c>
    </row>
    <row r="48" spans="1:25" x14ac:dyDescent="0.25">
      <c r="A48" t="str">
        <f t="shared" si="0"/>
        <v>2025 Oct</v>
      </c>
      <c r="B48" t="s">
        <v>106</v>
      </c>
      <c r="C48" s="22">
        <v>0.84</v>
      </c>
      <c r="D48" s="22">
        <v>0.01</v>
      </c>
      <c r="E48" s="22">
        <v>-0.09</v>
      </c>
      <c r="F48" s="22">
        <v>0.01</v>
      </c>
      <c r="G48" s="22">
        <v>-0.16</v>
      </c>
      <c r="H48" s="22">
        <v>0</v>
      </c>
      <c r="I48" s="22">
        <v>0.06</v>
      </c>
      <c r="J48" s="22">
        <v>-0.01</v>
      </c>
      <c r="K48" s="22">
        <v>0.92</v>
      </c>
      <c r="L48" s="22">
        <v>-0.01</v>
      </c>
      <c r="M48" s="22">
        <v>0.14000000000000001</v>
      </c>
      <c r="N48" s="22">
        <v>0.06</v>
      </c>
      <c r="O48" s="22">
        <v>0.27</v>
      </c>
      <c r="P48" s="22">
        <v>0.09</v>
      </c>
      <c r="Q48" s="22">
        <v>0.1</v>
      </c>
      <c r="R48" s="22">
        <v>-0.19</v>
      </c>
      <c r="S48" s="22">
        <v>0.12</v>
      </c>
      <c r="T48" s="22">
        <v>0.12</v>
      </c>
      <c r="U48" s="22">
        <v>-0.06</v>
      </c>
      <c r="V48" s="22">
        <v>0.2</v>
      </c>
      <c r="W48" s="22">
        <v>0.11</v>
      </c>
      <c r="X48" s="22">
        <v>-0.02</v>
      </c>
      <c r="Y48" s="22">
        <v>-0.01</v>
      </c>
    </row>
    <row r="49" spans="1:25" x14ac:dyDescent="0.25">
      <c r="A49" t="str">
        <f t="shared" si="0"/>
        <v>2025 Nov</v>
      </c>
      <c r="B49" t="s">
        <v>106</v>
      </c>
      <c r="C49" s="22">
        <v>0.89</v>
      </c>
      <c r="D49" s="22">
        <v>0.01</v>
      </c>
      <c r="E49" s="22">
        <v>0.23</v>
      </c>
      <c r="F49" s="22">
        <v>0.01</v>
      </c>
      <c r="G49" s="22">
        <v>0.06</v>
      </c>
      <c r="H49" s="22">
        <v>0.13</v>
      </c>
      <c r="I49" s="22">
        <v>0.03</v>
      </c>
      <c r="J49" s="22">
        <v>-0.12</v>
      </c>
      <c r="K49" s="22">
        <v>0.77</v>
      </c>
      <c r="L49" s="22">
        <v>0.01</v>
      </c>
      <c r="M49" s="22">
        <v>0.16</v>
      </c>
      <c r="N49" s="22">
        <v>-0.06</v>
      </c>
      <c r="O49" s="22">
        <v>0.27</v>
      </c>
      <c r="P49" s="22">
        <v>0.09</v>
      </c>
      <c r="Q49" s="22">
        <v>0.05</v>
      </c>
      <c r="R49" s="22">
        <v>-7.0000000000000007E-2</v>
      </c>
      <c r="S49" s="22">
        <v>0.06</v>
      </c>
      <c r="T49" s="22">
        <v>0.11</v>
      </c>
      <c r="U49" s="22">
        <v>-0.04</v>
      </c>
      <c r="V49" s="22">
        <v>0.17</v>
      </c>
      <c r="W49" s="22">
        <v>0.1</v>
      </c>
      <c r="X49" s="22">
        <v>-0.08</v>
      </c>
      <c r="Y49" s="22">
        <v>-0.01</v>
      </c>
    </row>
    <row r="50" spans="1:25" x14ac:dyDescent="0.25">
      <c r="A50" t="str">
        <f t="shared" si="0"/>
        <v>2025 Dec</v>
      </c>
      <c r="B50" t="s">
        <v>106</v>
      </c>
      <c r="C50" s="22">
        <v>0.67</v>
      </c>
      <c r="D50" s="22">
        <v>0</v>
      </c>
      <c r="E50" s="22">
        <v>0.09</v>
      </c>
      <c r="F50" s="22">
        <v>-0.01</v>
      </c>
      <c r="G50" s="22">
        <v>0.01</v>
      </c>
      <c r="H50" s="22">
        <v>0.06</v>
      </c>
      <c r="I50" s="22">
        <v>0.03</v>
      </c>
      <c r="J50" s="22">
        <v>-0.16</v>
      </c>
      <c r="K50" s="22">
        <v>0.74</v>
      </c>
      <c r="L50" s="22">
        <v>0.01</v>
      </c>
      <c r="M50" s="22">
        <v>0.22</v>
      </c>
      <c r="N50" s="22">
        <v>0</v>
      </c>
      <c r="O50" s="22">
        <v>0.27</v>
      </c>
      <c r="P50" s="22">
        <v>0.05</v>
      </c>
      <c r="Q50" s="22">
        <v>7.0000000000000007E-2</v>
      </c>
      <c r="R50" s="22">
        <v>-0.15</v>
      </c>
      <c r="S50" s="22">
        <v>7.0000000000000007E-2</v>
      </c>
      <c r="T50" s="22">
        <v>0.11</v>
      </c>
      <c r="U50" s="22">
        <v>0.01</v>
      </c>
      <c r="V50" s="22">
        <v>0.14000000000000001</v>
      </c>
      <c r="W50" s="22">
        <v>0.02</v>
      </c>
      <c r="X50" s="22">
        <v>-0.08</v>
      </c>
      <c r="Y50" s="22">
        <v>0</v>
      </c>
    </row>
    <row r="51" spans="1:25" x14ac:dyDescent="0.25">
      <c r="A51" t="str">
        <f t="shared" si="0"/>
        <v>2026 Jan</v>
      </c>
      <c r="B51" t="s">
        <v>106</v>
      </c>
      <c r="C51" s="22">
        <v>0.69</v>
      </c>
      <c r="D51" s="22">
        <v>-0.02</v>
      </c>
      <c r="E51" s="22">
        <v>0.05</v>
      </c>
      <c r="F51" s="22">
        <v>-0.1</v>
      </c>
      <c r="G51" s="22">
        <v>0.09</v>
      </c>
      <c r="H51" s="22">
        <v>0.04</v>
      </c>
      <c r="I51" s="22">
        <v>0.03</v>
      </c>
      <c r="J51" s="22">
        <v>-0.12</v>
      </c>
      <c r="K51" s="22">
        <v>0.78</v>
      </c>
      <c r="L51" s="22">
        <v>0.16</v>
      </c>
      <c r="M51" s="22">
        <v>0.18</v>
      </c>
      <c r="N51" s="22">
        <v>0.02</v>
      </c>
      <c r="O51" s="22">
        <v>0.25</v>
      </c>
      <c r="P51" s="22">
        <v>0.03</v>
      </c>
      <c r="Q51" s="22">
        <v>0.08</v>
      </c>
      <c r="R51" s="22">
        <v>0</v>
      </c>
      <c r="S51" s="22">
        <v>-0.17</v>
      </c>
      <c r="T51" s="22">
        <v>0.09</v>
      </c>
      <c r="U51" s="22">
        <v>0.02</v>
      </c>
      <c r="V51" s="22">
        <v>0.16</v>
      </c>
      <c r="W51" s="22">
        <v>0.03</v>
      </c>
      <c r="X51" s="22">
        <v>-0.09</v>
      </c>
      <c r="Y51" s="22">
        <v>0</v>
      </c>
    </row>
    <row r="52" spans="1:25" x14ac:dyDescent="0.25">
      <c r="A52" t="str">
        <f t="shared" si="0"/>
        <v>2026 Feb</v>
      </c>
      <c r="B52" t="s">
        <v>106</v>
      </c>
      <c r="C52" s="22">
        <v>0.85</v>
      </c>
      <c r="D52" s="22">
        <v>-0.03</v>
      </c>
      <c r="E52" s="22">
        <v>-0.09</v>
      </c>
      <c r="F52" s="22">
        <v>-0.02</v>
      </c>
      <c r="G52" s="22">
        <v>-0.1</v>
      </c>
      <c r="H52" s="22">
        <v>0.01</v>
      </c>
      <c r="I52" s="22">
        <v>0.01</v>
      </c>
      <c r="J52" s="22">
        <v>-0.12</v>
      </c>
      <c r="K52" s="22">
        <v>1.08</v>
      </c>
      <c r="L52" s="22">
        <v>0.14000000000000001</v>
      </c>
      <c r="M52" s="22">
        <v>0.2</v>
      </c>
      <c r="N52" s="22">
        <v>0.01</v>
      </c>
      <c r="O52" s="22">
        <v>0.19</v>
      </c>
      <c r="P52" s="22">
        <v>0.06</v>
      </c>
      <c r="Q52" s="22">
        <v>0.09</v>
      </c>
      <c r="R52" s="22">
        <v>0.13</v>
      </c>
      <c r="S52" s="22">
        <v>-0.08</v>
      </c>
      <c r="T52" s="22">
        <v>7.0000000000000007E-2</v>
      </c>
      <c r="U52" s="22">
        <v>0.06</v>
      </c>
      <c r="V52" s="22">
        <v>0.19</v>
      </c>
      <c r="W52" s="22">
        <v>0.03</v>
      </c>
      <c r="X52" s="22">
        <v>-0.01</v>
      </c>
      <c r="Y52" s="22">
        <v>0</v>
      </c>
    </row>
    <row r="53" spans="1:25" x14ac:dyDescent="0.25">
      <c r="A53" t="str">
        <f t="shared" si="0"/>
        <v>2026 Mar</v>
      </c>
      <c r="B53" t="s">
        <v>106</v>
      </c>
      <c r="C53" s="22">
        <v>1.01</v>
      </c>
      <c r="D53" s="22">
        <v>-0.04</v>
      </c>
      <c r="E53" s="22">
        <v>0</v>
      </c>
      <c r="F53" s="22">
        <v>-0.05</v>
      </c>
      <c r="G53" s="22">
        <v>0.1</v>
      </c>
      <c r="H53" s="22">
        <v>-0.06</v>
      </c>
      <c r="I53" s="22">
        <v>0.01</v>
      </c>
      <c r="J53" s="22">
        <v>-0.05</v>
      </c>
      <c r="K53" s="22">
        <v>1.1000000000000001</v>
      </c>
      <c r="L53" s="22">
        <v>0</v>
      </c>
      <c r="M53" s="22">
        <v>0.19</v>
      </c>
      <c r="N53" s="22">
        <v>0.01</v>
      </c>
      <c r="O53" s="22">
        <v>0.2</v>
      </c>
      <c r="P53" s="22">
        <v>0.13</v>
      </c>
      <c r="Q53" s="22">
        <v>0.11</v>
      </c>
      <c r="R53" s="22">
        <v>7.0000000000000007E-2</v>
      </c>
      <c r="S53" s="22">
        <v>0.03</v>
      </c>
      <c r="T53" s="22">
        <v>7.0000000000000007E-2</v>
      </c>
      <c r="U53" s="22">
        <v>0.04</v>
      </c>
      <c r="V53" s="22">
        <v>0.22</v>
      </c>
      <c r="W53" s="22">
        <v>0.04</v>
      </c>
      <c r="X53" s="22">
        <v>-0.01</v>
      </c>
      <c r="Y53" s="22">
        <v>0</v>
      </c>
    </row>
    <row r="54" spans="1:25" x14ac:dyDescent="0.25">
      <c r="A54" t="str">
        <f t="shared" si="0"/>
        <v>2026 Apr</v>
      </c>
      <c r="B54" t="s">
        <v>106</v>
      </c>
      <c r="C54" s="22">
        <v>1.0900000000000001</v>
      </c>
      <c r="D54" s="22">
        <v>-0.04</v>
      </c>
      <c r="E54" s="22">
        <v>0.02</v>
      </c>
      <c r="F54" s="22">
        <v>-0.06</v>
      </c>
      <c r="G54" s="22">
        <v>0.09</v>
      </c>
      <c r="H54" s="22">
        <v>0.02</v>
      </c>
      <c r="I54" s="22">
        <v>-0.03</v>
      </c>
      <c r="J54" s="22">
        <v>-0.1</v>
      </c>
      <c r="K54" s="22">
        <v>1.22</v>
      </c>
      <c r="L54" s="22">
        <v>0.18</v>
      </c>
      <c r="M54" s="22">
        <v>0.22</v>
      </c>
      <c r="N54" s="22">
        <v>-0.02</v>
      </c>
      <c r="O54" s="22">
        <v>0.44</v>
      </c>
      <c r="P54" s="22">
        <v>0.11</v>
      </c>
      <c r="Q54" s="22">
        <v>0.15</v>
      </c>
      <c r="R54" s="22">
        <v>0.1</v>
      </c>
      <c r="S54" s="22">
        <v>-0.19</v>
      </c>
      <c r="T54" s="22">
        <v>0.08</v>
      </c>
      <c r="U54" s="22">
        <v>0.01</v>
      </c>
      <c r="V54" s="22">
        <v>0.15</v>
      </c>
      <c r="W54" s="22">
        <v>0.02</v>
      </c>
      <c r="X54" s="22">
        <v>-0.03</v>
      </c>
      <c r="Y54" s="22">
        <v>0</v>
      </c>
    </row>
    <row r="55" spans="1:25" x14ac:dyDescent="0.25">
      <c r="A55" t="str">
        <f t="shared" si="0"/>
        <v>2026 May</v>
      </c>
      <c r="B55" t="s">
        <v>106</v>
      </c>
      <c r="C55" s="22">
        <v>1.2</v>
      </c>
      <c r="D55" s="22">
        <v>-0.04</v>
      </c>
      <c r="E55" s="22">
        <v>0.13</v>
      </c>
      <c r="F55" s="22">
        <v>-0.09</v>
      </c>
      <c r="G55" s="22">
        <v>0.18</v>
      </c>
      <c r="H55" s="22">
        <v>0.09</v>
      </c>
      <c r="I55" s="22">
        <v>-0.05</v>
      </c>
      <c r="J55" s="22">
        <v>-0.11</v>
      </c>
      <c r="K55" s="22">
        <v>1.22</v>
      </c>
      <c r="L55" s="22">
        <v>0.25</v>
      </c>
      <c r="M55" s="22">
        <v>0.19</v>
      </c>
      <c r="N55" s="22">
        <v>-0.02</v>
      </c>
      <c r="O55" s="22">
        <v>0.26</v>
      </c>
      <c r="P55" s="22">
        <v>0.15</v>
      </c>
      <c r="Q55" s="22">
        <v>0.16</v>
      </c>
      <c r="R55" s="22">
        <v>0.18</v>
      </c>
      <c r="S55" s="22">
        <v>-0.14000000000000001</v>
      </c>
      <c r="T55" s="22">
        <v>7.0000000000000007E-2</v>
      </c>
      <c r="U55" s="22">
        <v>0</v>
      </c>
      <c r="V55" s="22">
        <v>0.06</v>
      </c>
      <c r="W55" s="22">
        <v>0.08</v>
      </c>
      <c r="X55" s="22">
        <v>0</v>
      </c>
      <c r="Y55" s="22">
        <v>0</v>
      </c>
    </row>
    <row r="56" spans="1:25" x14ac:dyDescent="0.25">
      <c r="A56" t="str">
        <f t="shared" si="0"/>
        <v>2026 Jun</v>
      </c>
      <c r="B56" t="s">
        <v>106</v>
      </c>
      <c r="C56" s="22">
        <v>1.0900000000000001</v>
      </c>
      <c r="D56" s="22">
        <v>-0.04</v>
      </c>
      <c r="E56" s="22">
        <v>-0.03</v>
      </c>
      <c r="F56" s="22">
        <v>-0.04</v>
      </c>
      <c r="G56" s="22">
        <v>0.04</v>
      </c>
      <c r="H56" s="22">
        <v>0.03</v>
      </c>
      <c r="I56" s="22">
        <v>-0.06</v>
      </c>
      <c r="J56" s="22">
        <v>-0.13</v>
      </c>
      <c r="K56" s="22">
        <v>1.29</v>
      </c>
      <c r="L56" s="22">
        <v>0.21</v>
      </c>
      <c r="M56" s="22">
        <v>0.21</v>
      </c>
      <c r="N56" s="22">
        <v>0.01</v>
      </c>
      <c r="O56" s="22">
        <v>0.3</v>
      </c>
      <c r="P56" s="22">
        <v>0.11</v>
      </c>
      <c r="Q56" s="22">
        <v>0.13</v>
      </c>
      <c r="R56" s="22">
        <v>0.19</v>
      </c>
      <c r="S56" s="22">
        <v>-0.09</v>
      </c>
      <c r="T56" s="22">
        <v>0.06</v>
      </c>
      <c r="U56" s="22">
        <v>0.03</v>
      </c>
      <c r="V56" s="22">
        <v>0.06</v>
      </c>
      <c r="W56" s="22">
        <v>0.04</v>
      </c>
      <c r="X56" s="22">
        <v>0.03</v>
      </c>
      <c r="Y56" s="22">
        <v>0</v>
      </c>
    </row>
    <row r="57" spans="1:25" x14ac:dyDescent="0.25">
      <c r="A57" t="str">
        <f t="shared" si="0"/>
        <v>2026 Jul</v>
      </c>
      <c r="B57" t="s">
        <v>106</v>
      </c>
      <c r="C57" s="22">
        <v>1.57</v>
      </c>
      <c r="D57" s="22">
        <v>-0.04</v>
      </c>
      <c r="E57" s="22">
        <v>7.0000000000000007E-2</v>
      </c>
      <c r="F57" s="22">
        <v>-0.11</v>
      </c>
      <c r="G57" s="22">
        <v>0.23</v>
      </c>
      <c r="H57" s="22">
        <v>0</v>
      </c>
      <c r="I57" s="22">
        <v>-0.05</v>
      </c>
      <c r="J57" s="22">
        <v>-0.15</v>
      </c>
      <c r="K57" s="22">
        <v>1.67</v>
      </c>
      <c r="L57" s="22">
        <v>0.05</v>
      </c>
      <c r="M57" s="22">
        <v>0.15</v>
      </c>
      <c r="N57" s="22">
        <v>0.03</v>
      </c>
      <c r="O57" s="22">
        <v>0.53</v>
      </c>
      <c r="P57" s="22">
        <v>0.08</v>
      </c>
      <c r="Q57" s="22">
        <v>0.1</v>
      </c>
      <c r="R57" s="22">
        <v>0.31</v>
      </c>
      <c r="S57" s="22">
        <v>0.14000000000000001</v>
      </c>
      <c r="T57" s="22">
        <v>0.05</v>
      </c>
      <c r="U57" s="22">
        <v>0.03</v>
      </c>
      <c r="V57" s="22">
        <v>0.14000000000000001</v>
      </c>
      <c r="W57" s="22">
        <v>0.03</v>
      </c>
      <c r="X57" s="22">
        <v>0.03</v>
      </c>
      <c r="Y57" s="22">
        <v>0</v>
      </c>
    </row>
    <row r="58" spans="1:25" x14ac:dyDescent="0.25">
      <c r="A58" t="s">
        <v>56</v>
      </c>
      <c r="B58" t="s">
        <v>130</v>
      </c>
      <c r="C58" s="22" t="s">
        <v>131</v>
      </c>
      <c r="D58" s="22" t="s">
        <v>132</v>
      </c>
      <c r="E58" s="22" t="s">
        <v>133</v>
      </c>
      <c r="F58" s="22" t="s">
        <v>134</v>
      </c>
      <c r="G58" s="22" t="s">
        <v>135</v>
      </c>
      <c r="H58" s="22" t="s">
        <v>136</v>
      </c>
      <c r="I58" s="22" t="s">
        <v>137</v>
      </c>
      <c r="J58" s="22" t="s">
        <v>138</v>
      </c>
      <c r="K58" s="22" t="s">
        <v>139</v>
      </c>
      <c r="L58" s="22" t="s">
        <v>140</v>
      </c>
      <c r="M58" s="22" t="s">
        <v>141</v>
      </c>
      <c r="N58" s="22" t="s">
        <v>142</v>
      </c>
      <c r="O58" s="22" t="s">
        <v>143</v>
      </c>
      <c r="P58" s="22" t="s">
        <v>144</v>
      </c>
      <c r="Q58" s="22" t="s">
        <v>145</v>
      </c>
      <c r="R58" s="22" t="s">
        <v>146</v>
      </c>
      <c r="S58" s="22" t="s">
        <v>147</v>
      </c>
      <c r="T58" s="22" t="s">
        <v>148</v>
      </c>
      <c r="U58" s="22" t="s">
        <v>149</v>
      </c>
      <c r="V58" s="22" t="s">
        <v>150</v>
      </c>
      <c r="W58" s="22" t="s">
        <v>151</v>
      </c>
      <c r="X58" s="22" t="s">
        <v>152</v>
      </c>
      <c r="Y58" s="22" t="s">
        <v>153</v>
      </c>
    </row>
    <row r="59" spans="1:25" x14ac:dyDescent="0.25">
      <c r="A59" t="str">
        <f>A7</f>
        <v>2024 Jul</v>
      </c>
      <c r="B59" t="s">
        <v>130</v>
      </c>
      <c r="C59" s="22">
        <v>0.33</v>
      </c>
      <c r="D59" s="22">
        <v>0</v>
      </c>
      <c r="E59" s="22">
        <v>-0.06</v>
      </c>
      <c r="F59" s="22">
        <v>-0.03</v>
      </c>
      <c r="G59" s="22">
        <v>-0.05</v>
      </c>
      <c r="H59" s="22">
        <v>0.01</v>
      </c>
      <c r="I59" s="22">
        <v>0</v>
      </c>
      <c r="J59" s="22">
        <v>7.0000000000000007E-2</v>
      </c>
      <c r="K59" s="22">
        <v>0.33</v>
      </c>
      <c r="L59" s="22">
        <v>0.1</v>
      </c>
      <c r="M59" s="22">
        <v>0.02</v>
      </c>
      <c r="N59" s="22">
        <v>0.01</v>
      </c>
      <c r="O59" s="22">
        <v>0.11</v>
      </c>
      <c r="P59" s="22">
        <v>-0.06</v>
      </c>
      <c r="Q59" s="22">
        <v>-0.01</v>
      </c>
      <c r="R59" s="22">
        <v>0.09</v>
      </c>
      <c r="S59" s="22">
        <v>0.01</v>
      </c>
      <c r="T59" s="22">
        <v>0.03</v>
      </c>
      <c r="U59" s="22">
        <v>-0.01</v>
      </c>
      <c r="V59" s="22">
        <v>0.08</v>
      </c>
      <c r="W59" s="22">
        <v>-0.01</v>
      </c>
      <c r="X59" s="22">
        <v>-0.03</v>
      </c>
      <c r="Y59" s="22">
        <v>0</v>
      </c>
    </row>
    <row r="60" spans="1:25" x14ac:dyDescent="0.25">
      <c r="A60" t="str">
        <f t="shared" ref="A60:A83" si="1">A8</f>
        <v>2024 Aug</v>
      </c>
      <c r="B60" t="s">
        <v>130</v>
      </c>
      <c r="C60" s="22">
        <v>0.09</v>
      </c>
      <c r="D60" s="22">
        <v>0</v>
      </c>
      <c r="E60" s="22">
        <v>-0.05</v>
      </c>
      <c r="F60" s="22">
        <v>-0.05</v>
      </c>
      <c r="G60" s="22">
        <v>0.03</v>
      </c>
      <c r="H60" s="22">
        <v>-0.03</v>
      </c>
      <c r="I60" s="22">
        <v>0</v>
      </c>
      <c r="J60" s="22">
        <v>0.04</v>
      </c>
      <c r="K60" s="22">
        <v>0.1</v>
      </c>
      <c r="L60" s="22">
        <v>0.01</v>
      </c>
      <c r="M60" s="22">
        <v>-0.01</v>
      </c>
      <c r="N60" s="22">
        <v>-0.01</v>
      </c>
      <c r="O60" s="22">
        <v>0.1</v>
      </c>
      <c r="P60" s="22">
        <v>-0.05</v>
      </c>
      <c r="Q60" s="22">
        <v>-0.01</v>
      </c>
      <c r="R60" s="22">
        <v>0.08</v>
      </c>
      <c r="S60" s="22">
        <v>-0.05</v>
      </c>
      <c r="T60" s="22">
        <v>0.04</v>
      </c>
      <c r="U60" s="22">
        <v>0.04</v>
      </c>
      <c r="V60" s="22">
        <v>0.02</v>
      </c>
      <c r="W60" s="22">
        <v>-0.01</v>
      </c>
      <c r="X60" s="22">
        <v>-0.02</v>
      </c>
      <c r="Y60" s="22">
        <v>0</v>
      </c>
    </row>
    <row r="61" spans="1:25" x14ac:dyDescent="0.25">
      <c r="A61" t="str">
        <f t="shared" si="1"/>
        <v>2024 Sep</v>
      </c>
      <c r="B61" t="s">
        <v>130</v>
      </c>
      <c r="C61" s="22">
        <v>0.09</v>
      </c>
      <c r="D61" s="22">
        <v>0.01</v>
      </c>
      <c r="E61" s="22">
        <v>0</v>
      </c>
      <c r="F61" s="22">
        <v>-0.01</v>
      </c>
      <c r="G61" s="22">
        <v>0.04</v>
      </c>
      <c r="H61" s="22">
        <v>-0.03</v>
      </c>
      <c r="I61" s="22">
        <v>-0.01</v>
      </c>
      <c r="J61" s="22">
        <v>-0.03</v>
      </c>
      <c r="K61" s="22">
        <v>0.12</v>
      </c>
      <c r="L61" s="22">
        <v>0.01</v>
      </c>
      <c r="M61" s="22">
        <v>-0.04</v>
      </c>
      <c r="N61" s="22">
        <v>-0.05</v>
      </c>
      <c r="O61" s="22">
        <v>0.05</v>
      </c>
      <c r="P61" s="22">
        <v>-0.04</v>
      </c>
      <c r="Q61" s="22">
        <v>0</v>
      </c>
      <c r="R61" s="22">
        <v>0.06</v>
      </c>
      <c r="S61" s="22">
        <v>-0.03</v>
      </c>
      <c r="T61" s="22">
        <v>0.04</v>
      </c>
      <c r="U61" s="22">
        <v>0.06</v>
      </c>
      <c r="V61" s="22">
        <v>0.08</v>
      </c>
      <c r="W61" s="22">
        <v>-0.02</v>
      </c>
      <c r="X61" s="22">
        <v>-0.02</v>
      </c>
      <c r="Y61" s="22">
        <v>0</v>
      </c>
    </row>
    <row r="62" spans="1:25" x14ac:dyDescent="0.25">
      <c r="A62" t="str">
        <f t="shared" si="1"/>
        <v>2024 Oct</v>
      </c>
      <c r="B62" t="s">
        <v>130</v>
      </c>
      <c r="C62" s="22">
        <v>0.19</v>
      </c>
      <c r="D62" s="22">
        <v>0.01</v>
      </c>
      <c r="E62" s="22">
        <v>0.05</v>
      </c>
      <c r="F62" s="22">
        <v>-0.01</v>
      </c>
      <c r="G62" s="22">
        <v>0.04</v>
      </c>
      <c r="H62" s="22">
        <v>0</v>
      </c>
      <c r="I62" s="22">
        <v>0.01</v>
      </c>
      <c r="J62" s="22">
        <v>-0.05</v>
      </c>
      <c r="K62" s="22">
        <v>0.18</v>
      </c>
      <c r="L62" s="22">
        <v>-0.05</v>
      </c>
      <c r="M62" s="22">
        <v>-0.06</v>
      </c>
      <c r="N62" s="22">
        <v>-0.06</v>
      </c>
      <c r="O62" s="22">
        <v>7.0000000000000007E-2</v>
      </c>
      <c r="P62" s="22">
        <v>-0.02</v>
      </c>
      <c r="Q62" s="22">
        <v>0.01</v>
      </c>
      <c r="R62" s="22">
        <v>0.13</v>
      </c>
      <c r="S62" s="22">
        <v>-0.02</v>
      </c>
      <c r="T62" s="22">
        <v>0.04</v>
      </c>
      <c r="U62" s="22">
        <v>0.05</v>
      </c>
      <c r="V62" s="22">
        <v>0.09</v>
      </c>
      <c r="W62" s="22">
        <v>-0.02</v>
      </c>
      <c r="X62" s="22">
        <v>0.02</v>
      </c>
      <c r="Y62" s="22">
        <v>0</v>
      </c>
    </row>
    <row r="63" spans="1:25" x14ac:dyDescent="0.25">
      <c r="A63" t="str">
        <f t="shared" si="1"/>
        <v>2024 Nov</v>
      </c>
      <c r="B63" t="s">
        <v>130</v>
      </c>
      <c r="C63" s="22">
        <v>0.23</v>
      </c>
      <c r="D63" s="22">
        <v>0.01</v>
      </c>
      <c r="E63" s="22">
        <v>-0.04</v>
      </c>
      <c r="F63" s="22">
        <v>0</v>
      </c>
      <c r="G63" s="22">
        <v>-0.04</v>
      </c>
      <c r="H63" s="22">
        <v>-0.02</v>
      </c>
      <c r="I63" s="22">
        <v>0.03</v>
      </c>
      <c r="J63" s="22">
        <v>-0.03</v>
      </c>
      <c r="K63" s="22">
        <v>0.28999999999999998</v>
      </c>
      <c r="L63" s="22">
        <v>-0.02</v>
      </c>
      <c r="M63" s="22">
        <v>-0.02</v>
      </c>
      <c r="N63" s="22">
        <v>0.01</v>
      </c>
      <c r="O63" s="22">
        <v>0.03</v>
      </c>
      <c r="P63" s="22">
        <v>-0.02</v>
      </c>
      <c r="Q63" s="22">
        <v>0.02</v>
      </c>
      <c r="R63" s="22">
        <v>0.11</v>
      </c>
      <c r="S63" s="22">
        <v>-0.01</v>
      </c>
      <c r="T63" s="22">
        <v>0.04</v>
      </c>
      <c r="U63" s="22">
        <v>-0.01</v>
      </c>
      <c r="V63" s="22">
        <v>0.13</v>
      </c>
      <c r="W63" s="22">
        <v>-0.02</v>
      </c>
      <c r="X63" s="22">
        <v>0.03</v>
      </c>
      <c r="Y63" s="22">
        <v>0</v>
      </c>
    </row>
    <row r="64" spans="1:25" x14ac:dyDescent="0.25">
      <c r="A64" t="str">
        <f t="shared" si="1"/>
        <v>2024 Dec</v>
      </c>
      <c r="B64" t="s">
        <v>130</v>
      </c>
      <c r="C64" s="22">
        <v>0.35</v>
      </c>
      <c r="D64" s="22">
        <v>0</v>
      </c>
      <c r="E64" s="22">
        <v>-0.1</v>
      </c>
      <c r="F64" s="22">
        <v>-0.02</v>
      </c>
      <c r="G64" s="22">
        <v>-0.08</v>
      </c>
      <c r="H64" s="22">
        <v>-0.03</v>
      </c>
      <c r="I64" s="22">
        <v>0.03</v>
      </c>
      <c r="J64" s="22">
        <v>0.01</v>
      </c>
      <c r="K64" s="22">
        <v>0.44</v>
      </c>
      <c r="L64" s="22">
        <v>0</v>
      </c>
      <c r="M64" s="22">
        <v>0.02</v>
      </c>
      <c r="N64" s="22">
        <v>0.09</v>
      </c>
      <c r="O64" s="22">
        <v>0.06</v>
      </c>
      <c r="P64" s="22">
        <v>0</v>
      </c>
      <c r="Q64" s="22">
        <v>0.04</v>
      </c>
      <c r="R64" s="22">
        <v>0.13</v>
      </c>
      <c r="S64" s="22">
        <v>-0.03</v>
      </c>
      <c r="T64" s="22">
        <v>0.04</v>
      </c>
      <c r="U64" s="22">
        <v>-0.06</v>
      </c>
      <c r="V64" s="22">
        <v>0.1</v>
      </c>
      <c r="W64" s="22">
        <v>0.01</v>
      </c>
      <c r="X64" s="22">
        <v>0.03</v>
      </c>
      <c r="Y64" s="22">
        <v>0</v>
      </c>
    </row>
    <row r="65" spans="1:25" x14ac:dyDescent="0.25">
      <c r="A65" t="str">
        <f t="shared" si="1"/>
        <v>2025 Jan</v>
      </c>
      <c r="B65" t="s">
        <v>130</v>
      </c>
      <c r="C65" s="22">
        <v>0.42</v>
      </c>
      <c r="D65" s="22">
        <v>0</v>
      </c>
      <c r="E65" s="22">
        <v>-0.13</v>
      </c>
      <c r="F65" s="22">
        <v>0</v>
      </c>
      <c r="G65" s="22">
        <v>-0.12</v>
      </c>
      <c r="H65" s="22">
        <v>-0.03</v>
      </c>
      <c r="I65" s="22">
        <v>0.02</v>
      </c>
      <c r="J65" s="22">
        <v>0.01</v>
      </c>
      <c r="K65" s="22">
        <v>0.52</v>
      </c>
      <c r="L65" s="22">
        <v>0.03</v>
      </c>
      <c r="M65" s="22">
        <v>0.05</v>
      </c>
      <c r="N65" s="22">
        <v>0.11</v>
      </c>
      <c r="O65" s="22">
        <v>0.08</v>
      </c>
      <c r="P65" s="22">
        <v>0.03</v>
      </c>
      <c r="Q65" s="22">
        <v>0.03</v>
      </c>
      <c r="R65" s="22">
        <v>0.05</v>
      </c>
      <c r="S65" s="22">
        <v>0.02</v>
      </c>
      <c r="T65" s="22">
        <v>0.05</v>
      </c>
      <c r="U65" s="22">
        <v>-7.0000000000000007E-2</v>
      </c>
      <c r="V65" s="22">
        <v>0.08</v>
      </c>
      <c r="W65" s="22">
        <v>0.03</v>
      </c>
      <c r="X65" s="22">
        <v>0.04</v>
      </c>
      <c r="Y65" s="22">
        <v>0</v>
      </c>
    </row>
    <row r="66" spans="1:25" x14ac:dyDescent="0.25">
      <c r="A66" t="str">
        <f t="shared" si="1"/>
        <v>2025 Feb</v>
      </c>
      <c r="B66" t="s">
        <v>130</v>
      </c>
      <c r="C66" s="22">
        <v>0.61</v>
      </c>
      <c r="D66" s="22">
        <v>0.01</v>
      </c>
      <c r="E66" s="22">
        <v>0.04</v>
      </c>
      <c r="F66" s="22">
        <v>0</v>
      </c>
      <c r="G66" s="22">
        <v>-0.04</v>
      </c>
      <c r="H66" s="22">
        <v>0.06</v>
      </c>
      <c r="I66" s="22">
        <v>0.01</v>
      </c>
      <c r="J66" s="22">
        <v>0.01</v>
      </c>
      <c r="K66" s="22">
        <v>0.56000000000000005</v>
      </c>
      <c r="L66" s="22">
        <v>0.06</v>
      </c>
      <c r="M66" s="22">
        <v>0.05</v>
      </c>
      <c r="N66" s="22">
        <v>0.06</v>
      </c>
      <c r="O66" s="22">
        <v>0.12</v>
      </c>
      <c r="P66" s="22">
        <v>0.04</v>
      </c>
      <c r="Q66" s="22">
        <v>0.02</v>
      </c>
      <c r="R66" s="22">
        <v>0.04</v>
      </c>
      <c r="S66" s="22">
        <v>0.09</v>
      </c>
      <c r="T66" s="22">
        <v>0.05</v>
      </c>
      <c r="U66" s="22">
        <v>-7.0000000000000007E-2</v>
      </c>
      <c r="V66" s="22">
        <v>0.04</v>
      </c>
      <c r="W66" s="22">
        <v>0.05</v>
      </c>
      <c r="X66" s="22">
        <v>0.01</v>
      </c>
      <c r="Y66" s="22">
        <v>0</v>
      </c>
    </row>
    <row r="67" spans="1:25" x14ac:dyDescent="0.25">
      <c r="A67" t="str">
        <f t="shared" si="1"/>
        <v>2025 Mar</v>
      </c>
      <c r="B67" t="s">
        <v>130</v>
      </c>
      <c r="C67" s="22">
        <v>0.57999999999999996</v>
      </c>
      <c r="D67" s="22">
        <v>0.01</v>
      </c>
      <c r="E67" s="22">
        <v>0.12</v>
      </c>
      <c r="F67" s="22">
        <v>0.01</v>
      </c>
      <c r="G67" s="22">
        <v>0</v>
      </c>
      <c r="H67" s="22">
        <v>0.09</v>
      </c>
      <c r="I67" s="22">
        <v>0.01</v>
      </c>
      <c r="J67" s="22">
        <v>0.01</v>
      </c>
      <c r="K67" s="22">
        <v>0.44</v>
      </c>
      <c r="L67" s="22">
        <v>0.08</v>
      </c>
      <c r="M67" s="22">
        <v>0.03</v>
      </c>
      <c r="N67" s="22">
        <v>0.01</v>
      </c>
      <c r="O67" s="22">
        <v>0.14000000000000001</v>
      </c>
      <c r="P67" s="22">
        <v>0.02</v>
      </c>
      <c r="Q67" s="22">
        <v>0</v>
      </c>
      <c r="R67" s="22">
        <v>-0.01</v>
      </c>
      <c r="S67" s="22">
        <v>0.1</v>
      </c>
      <c r="T67" s="22">
        <v>0.05</v>
      </c>
      <c r="U67" s="22">
        <v>-0.04</v>
      </c>
      <c r="V67" s="22">
        <v>0.02</v>
      </c>
      <c r="W67" s="22">
        <v>0.04</v>
      </c>
      <c r="X67" s="22">
        <v>-0.01</v>
      </c>
      <c r="Y67" s="22">
        <v>0</v>
      </c>
    </row>
    <row r="68" spans="1:25" x14ac:dyDescent="0.25">
      <c r="A68" t="str">
        <f t="shared" si="1"/>
        <v>2025 Apr</v>
      </c>
      <c r="B68" t="s">
        <v>130</v>
      </c>
      <c r="C68" s="22">
        <v>0.52</v>
      </c>
      <c r="D68" s="22">
        <v>0.01</v>
      </c>
      <c r="E68" s="22">
        <v>0.17</v>
      </c>
      <c r="F68" s="22">
        <v>0</v>
      </c>
      <c r="G68" s="22">
        <v>0.08</v>
      </c>
      <c r="H68" s="22">
        <v>7.0000000000000007E-2</v>
      </c>
      <c r="I68" s="22">
        <v>0.02</v>
      </c>
      <c r="J68" s="22">
        <v>0.03</v>
      </c>
      <c r="K68" s="22">
        <v>0.31</v>
      </c>
      <c r="L68" s="22">
        <v>0.09</v>
      </c>
      <c r="M68" s="22">
        <v>0.03</v>
      </c>
      <c r="N68" s="22">
        <v>0.01</v>
      </c>
      <c r="O68" s="22">
        <v>0.12</v>
      </c>
      <c r="P68" s="22">
        <v>-0.02</v>
      </c>
      <c r="Q68" s="22">
        <v>0.01</v>
      </c>
      <c r="R68" s="22">
        <v>0</v>
      </c>
      <c r="S68" s="22">
        <v>0.05</v>
      </c>
      <c r="T68" s="22">
        <v>0.04</v>
      </c>
      <c r="U68" s="22">
        <v>-0.02</v>
      </c>
      <c r="V68" s="22">
        <v>0</v>
      </c>
      <c r="W68" s="22">
        <v>0.03</v>
      </c>
      <c r="X68" s="22">
        <v>-0.03</v>
      </c>
      <c r="Y68" s="22">
        <v>0</v>
      </c>
    </row>
    <row r="69" spans="1:25" x14ac:dyDescent="0.25">
      <c r="A69" t="str">
        <f t="shared" si="1"/>
        <v>2025 May</v>
      </c>
      <c r="B69" t="s">
        <v>130</v>
      </c>
      <c r="C69" s="22">
        <v>0.25</v>
      </c>
      <c r="D69" s="22">
        <v>0.01</v>
      </c>
      <c r="E69" s="22">
        <v>-0.01</v>
      </c>
      <c r="F69" s="22">
        <v>0</v>
      </c>
      <c r="G69" s="22">
        <v>0.01</v>
      </c>
      <c r="H69" s="22">
        <v>-0.04</v>
      </c>
      <c r="I69" s="22">
        <v>0.02</v>
      </c>
      <c r="J69" s="22">
        <v>0.04</v>
      </c>
      <c r="K69" s="22">
        <v>0.21</v>
      </c>
      <c r="L69" s="22">
        <v>0.02</v>
      </c>
      <c r="M69" s="22">
        <v>0.03</v>
      </c>
      <c r="N69" s="22">
        <v>0.04</v>
      </c>
      <c r="O69" s="22">
        <v>0.1</v>
      </c>
      <c r="P69" s="22">
        <v>-0.06</v>
      </c>
      <c r="Q69" s="22">
        <v>-0.01</v>
      </c>
      <c r="R69" s="22">
        <v>0.03</v>
      </c>
      <c r="S69" s="22">
        <v>-0.02</v>
      </c>
      <c r="T69" s="22">
        <v>0.03</v>
      </c>
      <c r="U69" s="22">
        <v>0.01</v>
      </c>
      <c r="V69" s="22">
        <v>0.05</v>
      </c>
      <c r="W69" s="22">
        <v>0</v>
      </c>
      <c r="X69" s="22">
        <v>-0.01</v>
      </c>
      <c r="Y69" s="22">
        <v>0</v>
      </c>
    </row>
    <row r="70" spans="1:25" x14ac:dyDescent="0.25">
      <c r="A70" t="str">
        <f t="shared" si="1"/>
        <v>2025 Jun</v>
      </c>
      <c r="B70" t="s">
        <v>130</v>
      </c>
      <c r="C70" s="22">
        <v>0.14000000000000001</v>
      </c>
      <c r="D70" s="22">
        <v>0.01</v>
      </c>
      <c r="E70" s="22">
        <v>-0.06</v>
      </c>
      <c r="F70" s="22">
        <v>0.01</v>
      </c>
      <c r="G70" s="22">
        <v>0.01</v>
      </c>
      <c r="H70" s="22">
        <v>-0.1</v>
      </c>
      <c r="I70" s="22">
        <v>0.02</v>
      </c>
      <c r="J70" s="22">
        <v>0.04</v>
      </c>
      <c r="K70" s="22">
        <v>0.15</v>
      </c>
      <c r="L70" s="22">
        <v>-0.11</v>
      </c>
      <c r="M70" s="22">
        <v>0.03</v>
      </c>
      <c r="N70" s="22">
        <v>0.03</v>
      </c>
      <c r="O70" s="22">
        <v>0.06</v>
      </c>
      <c r="P70" s="22">
        <v>-0.05</v>
      </c>
      <c r="Q70" s="22">
        <v>-0.02</v>
      </c>
      <c r="R70" s="22">
        <v>0.06</v>
      </c>
      <c r="S70" s="22">
        <v>0.02</v>
      </c>
      <c r="T70" s="22">
        <v>0.01</v>
      </c>
      <c r="U70" s="22">
        <v>0.01</v>
      </c>
      <c r="V70" s="22">
        <v>0.11</v>
      </c>
      <c r="W70" s="22">
        <v>-0.01</v>
      </c>
      <c r="X70" s="22">
        <v>0</v>
      </c>
      <c r="Y70" s="22">
        <v>0</v>
      </c>
    </row>
    <row r="71" spans="1:25" x14ac:dyDescent="0.25">
      <c r="A71" t="str">
        <f t="shared" si="1"/>
        <v>2025 Jul</v>
      </c>
      <c r="B71" t="s">
        <v>130</v>
      </c>
      <c r="C71" s="22">
        <v>0.1</v>
      </c>
      <c r="D71" s="22">
        <v>0</v>
      </c>
      <c r="E71" s="22">
        <v>-0.14000000000000001</v>
      </c>
      <c r="F71" s="22">
        <v>0.01</v>
      </c>
      <c r="G71" s="22">
        <v>-0.08</v>
      </c>
      <c r="H71" s="22">
        <v>-0.08</v>
      </c>
      <c r="I71" s="22">
        <v>0</v>
      </c>
      <c r="J71" s="22">
        <v>0.01</v>
      </c>
      <c r="K71" s="22">
        <v>0.23</v>
      </c>
      <c r="L71" s="22">
        <v>-0.11</v>
      </c>
      <c r="M71" s="22">
        <v>0.05</v>
      </c>
      <c r="N71" s="22">
        <v>-0.01</v>
      </c>
      <c r="O71" s="22">
        <v>0.08</v>
      </c>
      <c r="P71" s="22">
        <v>-0.01</v>
      </c>
      <c r="Q71" s="22">
        <v>0</v>
      </c>
      <c r="R71" s="22">
        <v>0.06</v>
      </c>
      <c r="S71" s="22">
        <v>0.02</v>
      </c>
      <c r="T71" s="22">
        <v>0.02</v>
      </c>
      <c r="U71" s="22">
        <v>0</v>
      </c>
      <c r="V71" s="22">
        <v>0.12</v>
      </c>
      <c r="W71" s="22">
        <v>0</v>
      </c>
      <c r="X71" s="22">
        <v>0</v>
      </c>
      <c r="Y71" s="22">
        <v>0</v>
      </c>
    </row>
    <row r="72" spans="1:25" x14ac:dyDescent="0.25">
      <c r="A72" t="str">
        <f t="shared" si="1"/>
        <v>2025 Aug</v>
      </c>
      <c r="B72" t="s">
        <v>130</v>
      </c>
      <c r="C72" s="22">
        <v>0.16</v>
      </c>
      <c r="D72" s="22">
        <v>0</v>
      </c>
      <c r="E72" s="22">
        <v>-0.04</v>
      </c>
      <c r="F72" s="22">
        <v>0</v>
      </c>
      <c r="G72" s="22">
        <v>-0.03</v>
      </c>
      <c r="H72" s="22">
        <v>-0.02</v>
      </c>
      <c r="I72" s="22">
        <v>0</v>
      </c>
      <c r="J72" s="22">
        <v>0.01</v>
      </c>
      <c r="K72" s="22">
        <v>0.19</v>
      </c>
      <c r="L72" s="22">
        <v>-0.08</v>
      </c>
      <c r="M72" s="22">
        <v>0.06</v>
      </c>
      <c r="N72" s="22">
        <v>-0.04</v>
      </c>
      <c r="O72" s="22">
        <v>0.04</v>
      </c>
      <c r="P72" s="22">
        <v>0.06</v>
      </c>
      <c r="Q72" s="22">
        <v>0.03</v>
      </c>
      <c r="R72" s="22">
        <v>-0.02</v>
      </c>
      <c r="S72" s="22">
        <v>0.03</v>
      </c>
      <c r="T72" s="22">
        <v>0.02</v>
      </c>
      <c r="U72" s="22">
        <v>-0.02</v>
      </c>
      <c r="V72" s="22">
        <v>0.08</v>
      </c>
      <c r="W72" s="22">
        <v>0.03</v>
      </c>
      <c r="X72" s="22">
        <v>-0.01</v>
      </c>
      <c r="Y72" s="22">
        <v>0</v>
      </c>
    </row>
    <row r="73" spans="1:25" x14ac:dyDescent="0.25">
      <c r="A73" t="str">
        <f t="shared" si="1"/>
        <v>2025 Sep</v>
      </c>
      <c r="B73" t="s">
        <v>130</v>
      </c>
      <c r="C73" s="22">
        <v>0.03</v>
      </c>
      <c r="D73" s="22">
        <v>0</v>
      </c>
      <c r="E73" s="22">
        <v>-0.14000000000000001</v>
      </c>
      <c r="F73" s="22">
        <v>-0.02</v>
      </c>
      <c r="G73" s="22">
        <v>-0.11</v>
      </c>
      <c r="H73" s="22">
        <v>0</v>
      </c>
      <c r="I73" s="22">
        <v>0</v>
      </c>
      <c r="J73" s="22">
        <v>0.01</v>
      </c>
      <c r="K73" s="22">
        <v>0.16</v>
      </c>
      <c r="L73" s="22">
        <v>0.03</v>
      </c>
      <c r="M73" s="22">
        <v>7.0000000000000007E-2</v>
      </c>
      <c r="N73" s="22">
        <v>-0.03</v>
      </c>
      <c r="O73" s="22">
        <v>0.02</v>
      </c>
      <c r="P73" s="22">
        <v>0.1</v>
      </c>
      <c r="Q73" s="22">
        <v>0.06</v>
      </c>
      <c r="R73" s="22">
        <v>-0.11</v>
      </c>
      <c r="S73" s="22">
        <v>-0.02</v>
      </c>
      <c r="T73" s="22">
        <v>0.03</v>
      </c>
      <c r="U73" s="22">
        <v>0</v>
      </c>
      <c r="V73" s="22">
        <v>0.01</v>
      </c>
      <c r="W73" s="22">
        <v>0.03</v>
      </c>
      <c r="X73" s="22">
        <v>-0.02</v>
      </c>
      <c r="Y73" s="22">
        <v>0</v>
      </c>
    </row>
    <row r="74" spans="1:25" x14ac:dyDescent="0.25">
      <c r="A74" t="str">
        <f t="shared" si="1"/>
        <v>2025 Oct</v>
      </c>
      <c r="B74" t="s">
        <v>130</v>
      </c>
      <c r="C74" s="22">
        <v>-0.13</v>
      </c>
      <c r="D74" s="22">
        <v>0</v>
      </c>
      <c r="E74" s="22">
        <v>-0.1</v>
      </c>
      <c r="F74" s="22">
        <v>-0.02</v>
      </c>
      <c r="G74" s="22">
        <v>-0.09</v>
      </c>
      <c r="H74" s="22">
        <v>0</v>
      </c>
      <c r="I74" s="22">
        <v>0.01</v>
      </c>
      <c r="J74" s="22">
        <v>-0.03</v>
      </c>
      <c r="K74" s="22">
        <v>0</v>
      </c>
      <c r="L74" s="22">
        <v>0</v>
      </c>
      <c r="M74" s="22">
        <v>0.05</v>
      </c>
      <c r="N74" s="22">
        <v>-0.02</v>
      </c>
      <c r="O74" s="22">
        <v>0</v>
      </c>
      <c r="P74" s="22">
        <v>0.09</v>
      </c>
      <c r="Q74" s="22">
        <v>7.0000000000000007E-2</v>
      </c>
      <c r="R74" s="22">
        <v>-0.19</v>
      </c>
      <c r="S74" s="22">
        <v>0</v>
      </c>
      <c r="T74" s="22">
        <v>0.03</v>
      </c>
      <c r="U74" s="22">
        <v>0</v>
      </c>
      <c r="V74" s="22">
        <v>0</v>
      </c>
      <c r="W74" s="22">
        <v>0.01</v>
      </c>
      <c r="X74" s="22">
        <v>-0.01</v>
      </c>
      <c r="Y74" s="22">
        <v>0</v>
      </c>
    </row>
    <row r="75" spans="1:25" x14ac:dyDescent="0.25">
      <c r="A75" t="str">
        <f t="shared" si="1"/>
        <v>2025 Nov</v>
      </c>
      <c r="B75" t="s">
        <v>130</v>
      </c>
      <c r="C75" s="22">
        <v>-0.11</v>
      </c>
      <c r="D75" s="22">
        <v>0</v>
      </c>
      <c r="E75" s="22">
        <v>-0.06</v>
      </c>
      <c r="F75" s="22">
        <v>-0.03</v>
      </c>
      <c r="G75" s="22">
        <v>-0.06</v>
      </c>
      <c r="H75" s="22">
        <v>0.02</v>
      </c>
      <c r="I75" s="22">
        <v>0.01</v>
      </c>
      <c r="J75" s="22">
        <v>-7.0000000000000007E-2</v>
      </c>
      <c r="K75" s="22">
        <v>0.02</v>
      </c>
      <c r="L75" s="22">
        <v>0.04</v>
      </c>
      <c r="M75" s="22">
        <v>0.03</v>
      </c>
      <c r="N75" s="22">
        <v>-0.02</v>
      </c>
      <c r="O75" s="22">
        <v>0.03</v>
      </c>
      <c r="P75" s="22">
        <v>0.05</v>
      </c>
      <c r="Q75" s="22">
        <v>0.05</v>
      </c>
      <c r="R75" s="22">
        <v>-0.16</v>
      </c>
      <c r="S75" s="22">
        <v>-0.02</v>
      </c>
      <c r="T75" s="22">
        <v>0.02</v>
      </c>
      <c r="U75" s="22">
        <v>0.01</v>
      </c>
      <c r="V75" s="22">
        <v>0.01</v>
      </c>
      <c r="W75" s="22">
        <v>0.02</v>
      </c>
      <c r="X75" s="22">
        <v>-0.03</v>
      </c>
      <c r="Y75" s="22">
        <v>0</v>
      </c>
    </row>
    <row r="76" spans="1:25" x14ac:dyDescent="0.25">
      <c r="A76" t="str">
        <f t="shared" si="1"/>
        <v>2025 Dec</v>
      </c>
      <c r="B76" t="s">
        <v>130</v>
      </c>
      <c r="C76" s="22">
        <v>0.05</v>
      </c>
      <c r="D76" s="22">
        <v>-0.01</v>
      </c>
      <c r="E76" s="22">
        <v>0.16</v>
      </c>
      <c r="F76" s="22">
        <v>0</v>
      </c>
      <c r="G76" s="22">
        <v>7.0000000000000007E-2</v>
      </c>
      <c r="H76" s="22">
        <v>0.08</v>
      </c>
      <c r="I76" s="22">
        <v>0.01</v>
      </c>
      <c r="J76" s="22">
        <v>-0.15</v>
      </c>
      <c r="K76" s="22">
        <v>0.05</v>
      </c>
      <c r="L76" s="22">
        <v>0</v>
      </c>
      <c r="M76" s="22">
        <v>0.04</v>
      </c>
      <c r="N76" s="22">
        <v>-0.01</v>
      </c>
      <c r="O76" s="22">
        <v>0.05</v>
      </c>
      <c r="P76" s="22">
        <v>0.01</v>
      </c>
      <c r="Q76" s="22">
        <v>0.03</v>
      </c>
      <c r="R76" s="22">
        <v>-0.08</v>
      </c>
      <c r="S76" s="22">
        <v>-0.02</v>
      </c>
      <c r="T76" s="22">
        <v>0.02</v>
      </c>
      <c r="U76" s="22">
        <v>0</v>
      </c>
      <c r="V76" s="22">
        <v>0.03</v>
      </c>
      <c r="W76" s="22">
        <v>0.01</v>
      </c>
      <c r="X76" s="22">
        <v>-0.03</v>
      </c>
      <c r="Y76" s="22">
        <v>0</v>
      </c>
    </row>
    <row r="77" spans="1:25" x14ac:dyDescent="0.25">
      <c r="A77" t="str">
        <f t="shared" si="1"/>
        <v>2026 Jan</v>
      </c>
      <c r="B77" t="s">
        <v>130</v>
      </c>
      <c r="C77" s="22">
        <v>0.26</v>
      </c>
      <c r="D77" s="22">
        <v>-0.01</v>
      </c>
      <c r="E77" s="22">
        <v>0.2</v>
      </c>
      <c r="F77" s="22">
        <v>-0.02</v>
      </c>
      <c r="G77" s="22">
        <v>0.14000000000000001</v>
      </c>
      <c r="H77" s="22">
        <v>0.08</v>
      </c>
      <c r="I77" s="22">
        <v>0</v>
      </c>
      <c r="J77" s="22">
        <v>-0.15</v>
      </c>
      <c r="K77" s="22">
        <v>0.22</v>
      </c>
      <c r="L77" s="22">
        <v>0.09</v>
      </c>
      <c r="M77" s="22">
        <v>0.06</v>
      </c>
      <c r="N77" s="22">
        <v>0</v>
      </c>
      <c r="O77" s="22">
        <v>0.06</v>
      </c>
      <c r="P77" s="22">
        <v>0</v>
      </c>
      <c r="Q77" s="22">
        <v>-0.01</v>
      </c>
      <c r="R77" s="22">
        <v>0.06</v>
      </c>
      <c r="S77" s="22">
        <v>-0.08</v>
      </c>
      <c r="T77" s="22">
        <v>0.02</v>
      </c>
      <c r="U77" s="22">
        <v>0.01</v>
      </c>
      <c r="V77" s="22">
        <v>0.03</v>
      </c>
      <c r="W77" s="22">
        <v>0.01</v>
      </c>
      <c r="X77" s="22">
        <v>-0.03</v>
      </c>
      <c r="Y77" s="22">
        <v>0</v>
      </c>
    </row>
    <row r="78" spans="1:25" x14ac:dyDescent="0.25">
      <c r="A78" t="str">
        <f t="shared" si="1"/>
        <v>2026 Feb</v>
      </c>
      <c r="B78" t="s">
        <v>130</v>
      </c>
      <c r="C78" s="22">
        <v>0.44</v>
      </c>
      <c r="D78" s="22">
        <v>-0.02</v>
      </c>
      <c r="E78" s="22">
        <v>0.13</v>
      </c>
      <c r="F78" s="22">
        <v>-0.03</v>
      </c>
      <c r="G78" s="22">
        <v>0.09</v>
      </c>
      <c r="H78" s="22">
        <v>0.08</v>
      </c>
      <c r="I78" s="22">
        <v>-0.01</v>
      </c>
      <c r="J78" s="22">
        <v>-0.11</v>
      </c>
      <c r="K78" s="22">
        <v>0.44</v>
      </c>
      <c r="L78" s="22">
        <v>0.13</v>
      </c>
      <c r="M78" s="22">
        <v>0.08</v>
      </c>
      <c r="N78" s="22">
        <v>0.03</v>
      </c>
      <c r="O78" s="22">
        <v>0.06</v>
      </c>
      <c r="P78" s="22">
        <v>0</v>
      </c>
      <c r="Q78" s="22">
        <v>0.01</v>
      </c>
      <c r="R78" s="22">
        <v>0.13</v>
      </c>
      <c r="S78" s="22">
        <v>-0.05</v>
      </c>
      <c r="T78" s="22">
        <v>0.02</v>
      </c>
      <c r="U78" s="22">
        <v>0.03</v>
      </c>
      <c r="V78" s="22">
        <v>0.03</v>
      </c>
      <c r="W78" s="22">
        <v>-0.02</v>
      </c>
      <c r="X78" s="22">
        <v>0</v>
      </c>
      <c r="Y78" s="22">
        <v>0</v>
      </c>
    </row>
    <row r="79" spans="1:25" x14ac:dyDescent="0.25">
      <c r="A79" t="str">
        <f t="shared" si="1"/>
        <v>2026 Mar</v>
      </c>
      <c r="B79" t="s">
        <v>130</v>
      </c>
      <c r="C79" s="22">
        <v>0.63</v>
      </c>
      <c r="D79" s="22">
        <v>-0.03</v>
      </c>
      <c r="E79" s="22">
        <v>0.03</v>
      </c>
      <c r="F79" s="22">
        <v>-0.05</v>
      </c>
      <c r="G79" s="22">
        <v>0.06</v>
      </c>
      <c r="H79" s="22">
        <v>0.02</v>
      </c>
      <c r="I79" s="22">
        <v>-0.01</v>
      </c>
      <c r="J79" s="22">
        <v>0.01</v>
      </c>
      <c r="K79" s="22">
        <v>0.62</v>
      </c>
      <c r="L79" s="22">
        <v>0.18</v>
      </c>
      <c r="M79" s="22">
        <v>0.05</v>
      </c>
      <c r="N79" s="22">
        <v>0.03</v>
      </c>
      <c r="O79" s="22">
        <v>0.09</v>
      </c>
      <c r="P79" s="22">
        <v>0.01</v>
      </c>
      <c r="Q79" s="22">
        <v>0.03</v>
      </c>
      <c r="R79" s="22">
        <v>0.2</v>
      </c>
      <c r="S79" s="22">
        <v>-0.06</v>
      </c>
      <c r="T79" s="22">
        <v>0.01</v>
      </c>
      <c r="U79" s="22">
        <v>0.04</v>
      </c>
      <c r="V79" s="22">
        <v>0.04</v>
      </c>
      <c r="W79" s="22">
        <v>0</v>
      </c>
      <c r="X79" s="22">
        <v>0.02</v>
      </c>
      <c r="Y79" s="22">
        <v>0</v>
      </c>
    </row>
    <row r="80" spans="1:25" x14ac:dyDescent="0.25">
      <c r="A80" t="str">
        <f t="shared" si="1"/>
        <v>2026 Apr</v>
      </c>
      <c r="B80" t="s">
        <v>130</v>
      </c>
      <c r="C80" s="22">
        <v>0.75</v>
      </c>
      <c r="D80" s="22">
        <v>-0.02</v>
      </c>
      <c r="E80" s="22">
        <v>0.03</v>
      </c>
      <c r="F80" s="22">
        <v>-0.01</v>
      </c>
      <c r="G80" s="22">
        <v>0.06</v>
      </c>
      <c r="H80" s="22">
        <v>-0.02</v>
      </c>
      <c r="I80" s="22">
        <v>-0.01</v>
      </c>
      <c r="J80" s="22">
        <v>7.0000000000000007E-2</v>
      </c>
      <c r="K80" s="22">
        <v>0.68</v>
      </c>
      <c r="L80" s="22">
        <v>0.13</v>
      </c>
      <c r="M80" s="22">
        <v>0.04</v>
      </c>
      <c r="N80" s="22">
        <v>0.02</v>
      </c>
      <c r="O80" s="22">
        <v>0.13</v>
      </c>
      <c r="P80" s="22">
        <v>0.02</v>
      </c>
      <c r="Q80" s="22">
        <v>0.06</v>
      </c>
      <c r="R80" s="22">
        <v>0.18</v>
      </c>
      <c r="S80" s="22">
        <v>-0.02</v>
      </c>
      <c r="T80" s="22">
        <v>0.01</v>
      </c>
      <c r="U80" s="22">
        <v>0.02</v>
      </c>
      <c r="V80" s="22">
        <v>0.04</v>
      </c>
      <c r="W80" s="22">
        <v>0.01</v>
      </c>
      <c r="X80" s="22">
        <v>0.03</v>
      </c>
      <c r="Y80" s="22">
        <v>0</v>
      </c>
    </row>
    <row r="81" spans="1:25" x14ac:dyDescent="0.25">
      <c r="A81" t="str">
        <f t="shared" si="1"/>
        <v>2026 May</v>
      </c>
      <c r="B81" t="s">
        <v>130</v>
      </c>
      <c r="C81" s="22">
        <v>0.61</v>
      </c>
      <c r="D81" s="22">
        <v>-0.01</v>
      </c>
      <c r="E81" s="22">
        <v>0.03</v>
      </c>
      <c r="F81" s="22">
        <v>-0.02</v>
      </c>
      <c r="G81" s="22">
        <v>0.13</v>
      </c>
      <c r="H81" s="22">
        <v>-0.06</v>
      </c>
      <c r="I81" s="22">
        <v>-0.03</v>
      </c>
      <c r="J81" s="22">
        <v>0.08</v>
      </c>
      <c r="K81" s="22">
        <v>0.52</v>
      </c>
      <c r="L81" s="22">
        <v>0.05</v>
      </c>
      <c r="M81" s="22">
        <v>0.03</v>
      </c>
      <c r="N81" s="22">
        <v>0.01</v>
      </c>
      <c r="O81" s="22">
        <v>0.17</v>
      </c>
      <c r="P81" s="22">
        <v>0.02</v>
      </c>
      <c r="Q81" s="22">
        <v>0.05</v>
      </c>
      <c r="R81" s="22">
        <v>0.16</v>
      </c>
      <c r="S81" s="22">
        <v>-0.06</v>
      </c>
      <c r="T81" s="22">
        <v>0.01</v>
      </c>
      <c r="U81" s="22">
        <v>-0.01</v>
      </c>
      <c r="V81" s="22">
        <v>0.03</v>
      </c>
      <c r="W81" s="22">
        <v>0.02</v>
      </c>
      <c r="X81" s="22">
        <v>0.03</v>
      </c>
      <c r="Y81" s="22">
        <v>0</v>
      </c>
    </row>
    <row r="82" spans="1:25" x14ac:dyDescent="0.25">
      <c r="A82" t="str">
        <f t="shared" si="1"/>
        <v>2026 Jun</v>
      </c>
      <c r="B82" t="s">
        <v>130</v>
      </c>
      <c r="C82" s="22">
        <v>0.41</v>
      </c>
      <c r="D82" s="22">
        <v>0</v>
      </c>
      <c r="E82" s="22">
        <v>0</v>
      </c>
      <c r="F82" s="22">
        <v>0</v>
      </c>
      <c r="G82" s="22">
        <v>0.09</v>
      </c>
      <c r="H82" s="22">
        <v>-0.05</v>
      </c>
      <c r="I82" s="22">
        <v>-0.05</v>
      </c>
      <c r="J82" s="22">
        <v>0.02</v>
      </c>
      <c r="K82" s="22">
        <v>0.4</v>
      </c>
      <c r="L82" s="22">
        <v>0</v>
      </c>
      <c r="M82" s="22">
        <v>0.04</v>
      </c>
      <c r="N82" s="22">
        <v>0</v>
      </c>
      <c r="O82" s="22">
        <v>0.18</v>
      </c>
      <c r="P82" s="22">
        <v>0</v>
      </c>
      <c r="Q82" s="22">
        <v>0.03</v>
      </c>
      <c r="R82" s="22">
        <v>0.15</v>
      </c>
      <c r="S82" s="22">
        <v>-0.04</v>
      </c>
      <c r="T82" s="22">
        <v>0.01</v>
      </c>
      <c r="U82" s="22">
        <v>-0.02</v>
      </c>
      <c r="V82" s="22">
        <v>0.01</v>
      </c>
      <c r="W82" s="22">
        <v>0.01</v>
      </c>
      <c r="X82" s="22">
        <v>0.03</v>
      </c>
      <c r="Y82" s="22">
        <v>0</v>
      </c>
    </row>
    <row r="83" spans="1:25" x14ac:dyDescent="0.25">
      <c r="A83" t="str">
        <f t="shared" si="1"/>
        <v>2026 Jul</v>
      </c>
      <c r="B83" t="s">
        <v>130</v>
      </c>
      <c r="C83" s="22">
        <v>0.4</v>
      </c>
      <c r="D83" s="22">
        <v>0</v>
      </c>
      <c r="E83" s="22">
        <v>-0.06</v>
      </c>
      <c r="F83" s="22">
        <v>-0.03</v>
      </c>
      <c r="G83" s="22">
        <v>0.04</v>
      </c>
      <c r="H83" s="22">
        <v>-0.03</v>
      </c>
      <c r="I83" s="22">
        <v>-0.05</v>
      </c>
      <c r="J83" s="22">
        <v>-0.03</v>
      </c>
      <c r="K83" s="22">
        <v>0.48</v>
      </c>
      <c r="L83" s="22">
        <v>-0.05</v>
      </c>
      <c r="M83" s="22">
        <v>0.03</v>
      </c>
      <c r="N83" s="22">
        <v>0</v>
      </c>
      <c r="O83" s="22">
        <v>0.17</v>
      </c>
      <c r="P83" s="22">
        <v>0.01</v>
      </c>
      <c r="Q83" s="22">
        <v>0.01</v>
      </c>
      <c r="R83" s="22">
        <v>0.18</v>
      </c>
      <c r="S83" s="22">
        <v>7.0000000000000007E-2</v>
      </c>
      <c r="T83" s="22">
        <v>0</v>
      </c>
      <c r="U83" s="22">
        <v>-0.02</v>
      </c>
      <c r="V83" s="22">
        <v>0.02</v>
      </c>
      <c r="W83" s="22">
        <v>0.02</v>
      </c>
      <c r="X83" s="22">
        <v>0.03</v>
      </c>
      <c r="Y83" s="22">
        <v>0</v>
      </c>
    </row>
    <row r="84" spans="1:25" x14ac:dyDescent="0.25">
      <c r="A84" t="s">
        <v>56</v>
      </c>
      <c r="B84" t="s">
        <v>154</v>
      </c>
      <c r="C84" s="22" t="s">
        <v>155</v>
      </c>
      <c r="D84" s="22" t="s">
        <v>156</v>
      </c>
      <c r="E84" s="22" t="s">
        <v>157</v>
      </c>
      <c r="F84" s="22" t="s">
        <v>158</v>
      </c>
      <c r="G84" s="22" t="s">
        <v>159</v>
      </c>
      <c r="H84" s="22" t="s">
        <v>160</v>
      </c>
      <c r="I84" s="22" t="s">
        <v>161</v>
      </c>
      <c r="J84" s="22" t="s">
        <v>162</v>
      </c>
      <c r="K84" s="22" t="s">
        <v>163</v>
      </c>
      <c r="L84" s="22" t="s">
        <v>164</v>
      </c>
      <c r="M84" s="22" t="s">
        <v>165</v>
      </c>
      <c r="N84" s="22" t="s">
        <v>166</v>
      </c>
      <c r="O84" s="22" t="s">
        <v>167</v>
      </c>
      <c r="P84" s="22" t="s">
        <v>168</v>
      </c>
      <c r="Q84" s="22" t="s">
        <v>169</v>
      </c>
      <c r="R84" s="22" t="s">
        <v>170</v>
      </c>
      <c r="S84" s="22" t="s">
        <v>171</v>
      </c>
      <c r="T84" s="22" t="s">
        <v>172</v>
      </c>
      <c r="U84" s="22" t="s">
        <v>173</v>
      </c>
      <c r="V84" s="22" t="s">
        <v>174</v>
      </c>
      <c r="W84" s="22" t="s">
        <v>175</v>
      </c>
      <c r="X84" s="22" t="s">
        <v>176</v>
      </c>
      <c r="Y84" s="22" t="s">
        <v>177</v>
      </c>
    </row>
    <row r="85" spans="1:25" x14ac:dyDescent="0.25">
      <c r="A85" t="str">
        <f>A7</f>
        <v>2024 Jul</v>
      </c>
      <c r="B85" t="s">
        <v>154</v>
      </c>
      <c r="C85" s="22">
        <v>0.75</v>
      </c>
      <c r="D85" s="22">
        <v>0</v>
      </c>
      <c r="E85" s="22">
        <v>-0.28999999999999998</v>
      </c>
      <c r="F85" s="22">
        <v>-0.12</v>
      </c>
      <c r="G85" s="22">
        <v>-7.0000000000000007E-2</v>
      </c>
      <c r="H85" s="22">
        <v>-7.0000000000000007E-2</v>
      </c>
      <c r="I85" s="22">
        <v>-0.01</v>
      </c>
      <c r="J85" s="22">
        <v>-0.01</v>
      </c>
      <c r="K85" s="22">
        <v>1.04</v>
      </c>
      <c r="L85" s="22">
        <v>0.01</v>
      </c>
      <c r="M85" s="22">
        <v>0.19</v>
      </c>
      <c r="N85" s="22">
        <v>-0.04</v>
      </c>
      <c r="O85" s="22">
        <v>0.25</v>
      </c>
      <c r="P85" s="22">
        <v>-0.14000000000000001</v>
      </c>
      <c r="Q85" s="22">
        <v>0.1</v>
      </c>
      <c r="R85" s="22">
        <v>0.14000000000000001</v>
      </c>
      <c r="S85" s="22">
        <v>0.12</v>
      </c>
      <c r="T85" s="22">
        <v>0.2</v>
      </c>
      <c r="U85" s="22">
        <v>0</v>
      </c>
      <c r="V85" s="22">
        <v>0.35</v>
      </c>
      <c r="W85" s="22">
        <v>-0.09</v>
      </c>
      <c r="X85" s="22">
        <v>-0.06</v>
      </c>
      <c r="Y85" s="22">
        <v>0.01</v>
      </c>
    </row>
    <row r="86" spans="1:25" x14ac:dyDescent="0.25">
      <c r="A86" t="str">
        <f t="shared" ref="A86:A109" si="2">A8</f>
        <v>2024 Aug</v>
      </c>
      <c r="B86" t="s">
        <v>154</v>
      </c>
      <c r="C86" s="22">
        <v>0.71</v>
      </c>
      <c r="D86" s="22">
        <v>0</v>
      </c>
      <c r="E86" s="22">
        <v>-0.32</v>
      </c>
      <c r="F86" s="22">
        <v>-0.15</v>
      </c>
      <c r="G86" s="22">
        <v>-7.0000000000000007E-2</v>
      </c>
      <c r="H86" s="22">
        <v>-0.09</v>
      </c>
      <c r="I86" s="22">
        <v>-0.01</v>
      </c>
      <c r="J86" s="22">
        <v>-0.03</v>
      </c>
      <c r="K86" s="22">
        <v>1.05</v>
      </c>
      <c r="L86" s="22">
        <v>-0.05</v>
      </c>
      <c r="M86" s="22">
        <v>0.16</v>
      </c>
      <c r="N86" s="22">
        <v>-0.05</v>
      </c>
      <c r="O86" s="22">
        <v>0.3</v>
      </c>
      <c r="P86" s="22">
        <v>-0.09</v>
      </c>
      <c r="Q86" s="22">
        <v>0.1</v>
      </c>
      <c r="R86" s="22">
        <v>0.2</v>
      </c>
      <c r="S86" s="22">
        <v>0.1</v>
      </c>
      <c r="T86" s="22">
        <v>0.18</v>
      </c>
      <c r="U86" s="22">
        <v>0</v>
      </c>
      <c r="V86" s="22">
        <v>0.32</v>
      </c>
      <c r="W86" s="22">
        <v>-7.0000000000000007E-2</v>
      </c>
      <c r="X86" s="22">
        <v>-0.05</v>
      </c>
      <c r="Y86" s="22">
        <v>0.01</v>
      </c>
    </row>
    <row r="87" spans="1:25" x14ac:dyDescent="0.25">
      <c r="A87" t="str">
        <f t="shared" si="2"/>
        <v>2024 Sep</v>
      </c>
      <c r="B87" t="s">
        <v>154</v>
      </c>
      <c r="C87" s="22">
        <v>0.93</v>
      </c>
      <c r="D87" s="22">
        <v>0.01</v>
      </c>
      <c r="E87" s="22">
        <v>-0.25</v>
      </c>
      <c r="F87" s="22">
        <v>-0.12</v>
      </c>
      <c r="G87" s="22">
        <v>-0.03</v>
      </c>
      <c r="H87" s="22">
        <v>-0.1</v>
      </c>
      <c r="I87" s="22">
        <v>0</v>
      </c>
      <c r="J87" s="22">
        <v>-0.03</v>
      </c>
      <c r="K87" s="22">
        <v>1.2</v>
      </c>
      <c r="L87" s="22">
        <v>-0.02</v>
      </c>
      <c r="M87" s="22">
        <v>0.14000000000000001</v>
      </c>
      <c r="N87" s="22">
        <v>-7.0000000000000007E-2</v>
      </c>
      <c r="O87" s="22">
        <v>0.35</v>
      </c>
      <c r="P87" s="22">
        <v>-7.0000000000000007E-2</v>
      </c>
      <c r="Q87" s="22">
        <v>0.12</v>
      </c>
      <c r="R87" s="22">
        <v>0.23</v>
      </c>
      <c r="S87" s="22">
        <v>0.15</v>
      </c>
      <c r="T87" s="22">
        <v>0.16</v>
      </c>
      <c r="U87" s="22">
        <v>-0.01</v>
      </c>
      <c r="V87" s="22">
        <v>0.32</v>
      </c>
      <c r="W87" s="22">
        <v>-0.06</v>
      </c>
      <c r="X87" s="22">
        <v>-0.04</v>
      </c>
      <c r="Y87" s="22">
        <v>0</v>
      </c>
    </row>
    <row r="88" spans="1:25" x14ac:dyDescent="0.25">
      <c r="A88" t="str">
        <f t="shared" si="2"/>
        <v>2024 Oct</v>
      </c>
      <c r="B88" t="s">
        <v>154</v>
      </c>
      <c r="C88" s="22">
        <v>1.21</v>
      </c>
      <c r="D88" s="22">
        <v>0.01</v>
      </c>
      <c r="E88" s="22">
        <v>-0.14000000000000001</v>
      </c>
      <c r="F88" s="22">
        <v>-0.13</v>
      </c>
      <c r="G88" s="22">
        <v>0.04</v>
      </c>
      <c r="H88" s="22">
        <v>-0.05</v>
      </c>
      <c r="I88" s="22">
        <v>0.01</v>
      </c>
      <c r="J88" s="22">
        <v>-0.02</v>
      </c>
      <c r="K88" s="22">
        <v>1.37</v>
      </c>
      <c r="L88" s="22">
        <v>-0.04</v>
      </c>
      <c r="M88" s="22">
        <v>0.12</v>
      </c>
      <c r="N88" s="22">
        <v>-7.0000000000000007E-2</v>
      </c>
      <c r="O88" s="22">
        <v>0.39</v>
      </c>
      <c r="P88" s="22">
        <v>-0.05</v>
      </c>
      <c r="Q88" s="22">
        <v>0.13</v>
      </c>
      <c r="R88" s="22">
        <v>0.38</v>
      </c>
      <c r="S88" s="22">
        <v>0.16</v>
      </c>
      <c r="T88" s="22">
        <v>0.15</v>
      </c>
      <c r="U88" s="22">
        <v>-0.05</v>
      </c>
      <c r="V88" s="22">
        <v>0.28999999999999998</v>
      </c>
      <c r="W88" s="22">
        <v>-0.02</v>
      </c>
      <c r="X88" s="22">
        <v>-0.02</v>
      </c>
      <c r="Y88" s="22">
        <v>0</v>
      </c>
    </row>
    <row r="89" spans="1:25" x14ac:dyDescent="0.25">
      <c r="A89" t="str">
        <f t="shared" si="2"/>
        <v>2024 Nov</v>
      </c>
      <c r="B89" t="s">
        <v>154</v>
      </c>
      <c r="C89" s="22">
        <v>1.29</v>
      </c>
      <c r="D89" s="22">
        <v>0.01</v>
      </c>
      <c r="E89" s="22">
        <v>-0.15</v>
      </c>
      <c r="F89" s="22">
        <v>-0.1</v>
      </c>
      <c r="G89" s="22">
        <v>0</v>
      </c>
      <c r="H89" s="22">
        <v>-0.05</v>
      </c>
      <c r="I89" s="22">
        <v>0.02</v>
      </c>
      <c r="J89" s="22">
        <v>-0.02</v>
      </c>
      <c r="K89" s="22">
        <v>1.45</v>
      </c>
      <c r="L89" s="22">
        <v>-0.04</v>
      </c>
      <c r="M89" s="22">
        <v>0.12</v>
      </c>
      <c r="N89" s="22">
        <v>-0.04</v>
      </c>
      <c r="O89" s="22">
        <v>0.39</v>
      </c>
      <c r="P89" s="22">
        <v>-0.03</v>
      </c>
      <c r="Q89" s="22">
        <v>0.13</v>
      </c>
      <c r="R89" s="22">
        <v>0.41</v>
      </c>
      <c r="S89" s="22">
        <v>0.16</v>
      </c>
      <c r="T89" s="22">
        <v>0.14000000000000001</v>
      </c>
      <c r="U89" s="22">
        <v>-0.03</v>
      </c>
      <c r="V89" s="22">
        <v>0.28000000000000003</v>
      </c>
      <c r="W89" s="22">
        <v>-0.03</v>
      </c>
      <c r="X89" s="22">
        <v>-0.01</v>
      </c>
      <c r="Y89" s="22">
        <v>0</v>
      </c>
    </row>
    <row r="90" spans="1:25" x14ac:dyDescent="0.25">
      <c r="A90" t="str">
        <f t="shared" si="2"/>
        <v>2024 Dec</v>
      </c>
      <c r="B90" t="s">
        <v>154</v>
      </c>
      <c r="C90" s="22">
        <v>1.62</v>
      </c>
      <c r="D90" s="22">
        <v>0.01</v>
      </c>
      <c r="E90" s="22">
        <v>-0.15</v>
      </c>
      <c r="F90" s="22">
        <v>-0.09</v>
      </c>
      <c r="G90" s="22">
        <v>-0.05</v>
      </c>
      <c r="H90" s="22">
        <v>-0.02</v>
      </c>
      <c r="I90" s="22">
        <v>0.03</v>
      </c>
      <c r="J90" s="22">
        <v>0</v>
      </c>
      <c r="K90" s="22">
        <v>1.76</v>
      </c>
      <c r="L90" s="22">
        <v>0.05</v>
      </c>
      <c r="M90" s="22">
        <v>0.13</v>
      </c>
      <c r="N90" s="22">
        <v>0</v>
      </c>
      <c r="O90" s="22">
        <v>0.42</v>
      </c>
      <c r="P90" s="22">
        <v>-0.03</v>
      </c>
      <c r="Q90" s="22">
        <v>0.13</v>
      </c>
      <c r="R90" s="22">
        <v>0.45</v>
      </c>
      <c r="S90" s="22">
        <v>0.14000000000000001</v>
      </c>
      <c r="T90" s="22">
        <v>0.13</v>
      </c>
      <c r="U90" s="22">
        <v>0</v>
      </c>
      <c r="V90" s="22">
        <v>0.35</v>
      </c>
      <c r="W90" s="22">
        <v>0</v>
      </c>
      <c r="X90" s="22">
        <v>0</v>
      </c>
      <c r="Y90" s="22">
        <v>0</v>
      </c>
    </row>
    <row r="91" spans="1:25" x14ac:dyDescent="0.25">
      <c r="A91" t="str">
        <f t="shared" si="2"/>
        <v>2025 Jan</v>
      </c>
      <c r="B91" t="s">
        <v>154</v>
      </c>
      <c r="C91" s="22">
        <v>1.62</v>
      </c>
      <c r="D91" s="22">
        <v>0.01</v>
      </c>
      <c r="E91" s="22">
        <v>-0.13</v>
      </c>
      <c r="F91" s="22">
        <v>-0.06</v>
      </c>
      <c r="G91" s="22">
        <v>-0.11</v>
      </c>
      <c r="H91" s="22">
        <v>0.01</v>
      </c>
      <c r="I91" s="22">
        <v>0.05</v>
      </c>
      <c r="J91" s="22">
        <v>0</v>
      </c>
      <c r="K91" s="22">
        <v>1.74</v>
      </c>
      <c r="L91" s="22">
        <v>0.05</v>
      </c>
      <c r="M91" s="22">
        <v>0.13</v>
      </c>
      <c r="N91" s="22">
        <v>0.02</v>
      </c>
      <c r="O91" s="22">
        <v>0.42</v>
      </c>
      <c r="P91" s="22">
        <v>-0.05</v>
      </c>
      <c r="Q91" s="22">
        <v>0.09</v>
      </c>
      <c r="R91" s="22">
        <v>0.39</v>
      </c>
      <c r="S91" s="22">
        <v>0.15</v>
      </c>
      <c r="T91" s="22">
        <v>0.13</v>
      </c>
      <c r="U91" s="22">
        <v>0</v>
      </c>
      <c r="V91" s="22">
        <v>0.39</v>
      </c>
      <c r="W91" s="22">
        <v>-0.01</v>
      </c>
      <c r="X91" s="22">
        <v>0.02</v>
      </c>
      <c r="Y91" s="22">
        <v>0</v>
      </c>
    </row>
    <row r="92" spans="1:25" x14ac:dyDescent="0.25">
      <c r="A92" t="str">
        <f t="shared" si="2"/>
        <v>2025 Feb</v>
      </c>
      <c r="B92" t="s">
        <v>154</v>
      </c>
      <c r="C92" s="22">
        <v>1.72</v>
      </c>
      <c r="D92" s="22">
        <v>0.01</v>
      </c>
      <c r="E92" s="22">
        <v>-0.02</v>
      </c>
      <c r="F92" s="22">
        <v>-0.04</v>
      </c>
      <c r="G92" s="22">
        <v>-0.11</v>
      </c>
      <c r="H92" s="22">
        <v>0.08</v>
      </c>
      <c r="I92" s="22">
        <v>0.06</v>
      </c>
      <c r="J92" s="22">
        <v>0.01</v>
      </c>
      <c r="K92" s="22">
        <v>1.72</v>
      </c>
      <c r="L92" s="22">
        <v>0.12</v>
      </c>
      <c r="M92" s="22">
        <v>0.09</v>
      </c>
      <c r="N92" s="22">
        <v>0.01</v>
      </c>
      <c r="O92" s="22">
        <v>0.44</v>
      </c>
      <c r="P92" s="22">
        <v>-0.05</v>
      </c>
      <c r="Q92" s="22">
        <v>0.06</v>
      </c>
      <c r="R92" s="22">
        <v>0.35</v>
      </c>
      <c r="S92" s="22">
        <v>0.16</v>
      </c>
      <c r="T92" s="22">
        <v>0.14000000000000001</v>
      </c>
      <c r="U92" s="22">
        <v>-0.02</v>
      </c>
      <c r="V92" s="22">
        <v>0.39</v>
      </c>
      <c r="W92" s="22">
        <v>0.01</v>
      </c>
      <c r="X92" s="22">
        <v>0.02</v>
      </c>
      <c r="Y92" s="22">
        <v>0</v>
      </c>
    </row>
    <row r="93" spans="1:25" x14ac:dyDescent="0.25">
      <c r="A93" t="str">
        <f t="shared" si="2"/>
        <v>2025 Mar</v>
      </c>
      <c r="B93" t="s">
        <v>154</v>
      </c>
      <c r="C93" s="22">
        <v>1.56</v>
      </c>
      <c r="D93" s="22">
        <v>0.02</v>
      </c>
      <c r="E93" s="22">
        <v>0.02</v>
      </c>
      <c r="F93" s="22">
        <v>-0.04</v>
      </c>
      <c r="G93" s="22">
        <v>-0.12</v>
      </c>
      <c r="H93" s="22">
        <v>0.11</v>
      </c>
      <c r="I93" s="22">
        <v>0.06</v>
      </c>
      <c r="J93" s="22">
        <v>0.01</v>
      </c>
      <c r="K93" s="22">
        <v>1.51</v>
      </c>
      <c r="L93" s="22">
        <v>0.12</v>
      </c>
      <c r="M93" s="22">
        <v>0.06</v>
      </c>
      <c r="N93" s="22">
        <v>0.04</v>
      </c>
      <c r="O93" s="22">
        <v>0.48</v>
      </c>
      <c r="P93" s="22">
        <v>-7.0000000000000007E-2</v>
      </c>
      <c r="Q93" s="22">
        <v>0.04</v>
      </c>
      <c r="R93" s="22">
        <v>0.31</v>
      </c>
      <c r="S93" s="22">
        <v>0.1</v>
      </c>
      <c r="T93" s="22">
        <v>0.16</v>
      </c>
      <c r="U93" s="22">
        <v>-0.05</v>
      </c>
      <c r="V93" s="22">
        <v>0.3</v>
      </c>
      <c r="W93" s="22">
        <v>0.02</v>
      </c>
      <c r="X93" s="22">
        <v>0.02</v>
      </c>
      <c r="Y93" s="22">
        <v>-0.01</v>
      </c>
    </row>
    <row r="94" spans="1:25" x14ac:dyDescent="0.25">
      <c r="A94" t="str">
        <f t="shared" si="2"/>
        <v>2025 Apr</v>
      </c>
      <c r="B94" t="s">
        <v>154</v>
      </c>
      <c r="C94" s="22">
        <v>1.47</v>
      </c>
      <c r="D94" s="22">
        <v>0.02</v>
      </c>
      <c r="E94" s="22">
        <v>0.03</v>
      </c>
      <c r="F94" s="22">
        <v>-0.04</v>
      </c>
      <c r="G94" s="22">
        <v>-0.04</v>
      </c>
      <c r="H94" s="22">
        <v>0.05</v>
      </c>
      <c r="I94" s="22">
        <v>0.06</v>
      </c>
      <c r="J94" s="22">
        <v>7.0000000000000007E-2</v>
      </c>
      <c r="K94" s="22">
        <v>1.34</v>
      </c>
      <c r="L94" s="22">
        <v>0.17</v>
      </c>
      <c r="M94" s="22">
        <v>0.03</v>
      </c>
      <c r="N94" s="22">
        <v>7.0000000000000007E-2</v>
      </c>
      <c r="O94" s="22">
        <v>0.39</v>
      </c>
      <c r="P94" s="22">
        <v>-0.08</v>
      </c>
      <c r="Q94" s="22">
        <v>0.03</v>
      </c>
      <c r="R94" s="22">
        <v>0.28000000000000003</v>
      </c>
      <c r="S94" s="22">
        <v>0.06</v>
      </c>
      <c r="T94" s="22">
        <v>0.16</v>
      </c>
      <c r="U94" s="22">
        <v>-0.05</v>
      </c>
      <c r="V94" s="22">
        <v>0.26</v>
      </c>
      <c r="W94" s="22">
        <v>0.03</v>
      </c>
      <c r="X94" s="22">
        <v>-0.01</v>
      </c>
      <c r="Y94" s="22">
        <v>-0.01</v>
      </c>
    </row>
    <row r="95" spans="1:25" x14ac:dyDescent="0.25">
      <c r="A95" t="str">
        <f t="shared" si="2"/>
        <v>2025 May</v>
      </c>
      <c r="B95" t="s">
        <v>154</v>
      </c>
      <c r="C95" s="22">
        <v>1.19</v>
      </c>
      <c r="D95" s="22">
        <v>0.02</v>
      </c>
      <c r="E95" s="22">
        <v>-0.06</v>
      </c>
      <c r="F95" s="22">
        <v>-0.04</v>
      </c>
      <c r="G95" s="22">
        <v>-0.05</v>
      </c>
      <c r="H95" s="22">
        <v>-0.03</v>
      </c>
      <c r="I95" s="22">
        <v>0.06</v>
      </c>
      <c r="J95" s="22">
        <v>0.06</v>
      </c>
      <c r="K95" s="22">
        <v>1.17</v>
      </c>
      <c r="L95" s="22">
        <v>7.0000000000000007E-2</v>
      </c>
      <c r="M95" s="22">
        <v>0.04</v>
      </c>
      <c r="N95" s="22">
        <v>0.09</v>
      </c>
      <c r="O95" s="22">
        <v>0.36</v>
      </c>
      <c r="P95" s="22">
        <v>-0.08</v>
      </c>
      <c r="Q95" s="22">
        <v>0.03</v>
      </c>
      <c r="R95" s="22">
        <v>0.26</v>
      </c>
      <c r="S95" s="22">
        <v>0.01</v>
      </c>
      <c r="T95" s="22">
        <v>0.16</v>
      </c>
      <c r="U95" s="22">
        <v>-0.03</v>
      </c>
      <c r="V95" s="22">
        <v>0.24</v>
      </c>
      <c r="W95" s="22">
        <v>0.02</v>
      </c>
      <c r="X95" s="22">
        <v>0.01</v>
      </c>
      <c r="Y95" s="22">
        <v>-0.01</v>
      </c>
    </row>
    <row r="96" spans="1:25" x14ac:dyDescent="0.25">
      <c r="A96" t="str">
        <f t="shared" si="2"/>
        <v>2025 Jun</v>
      </c>
      <c r="B96" t="s">
        <v>154</v>
      </c>
      <c r="C96" s="22">
        <v>1.17</v>
      </c>
      <c r="D96" s="22">
        <v>0.03</v>
      </c>
      <c r="E96" s="22">
        <v>-0.04</v>
      </c>
      <c r="F96" s="22">
        <v>-0.01</v>
      </c>
      <c r="G96" s="22">
        <v>-0.02</v>
      </c>
      <c r="H96" s="22">
        <v>-0.06</v>
      </c>
      <c r="I96" s="22">
        <v>0.06</v>
      </c>
      <c r="J96" s="22">
        <v>0.03</v>
      </c>
      <c r="K96" s="22">
        <v>1.1499999999999999</v>
      </c>
      <c r="L96" s="22">
        <v>-0.01</v>
      </c>
      <c r="M96" s="22">
        <v>0.04</v>
      </c>
      <c r="N96" s="22">
        <v>0.08</v>
      </c>
      <c r="O96" s="22">
        <v>0.32</v>
      </c>
      <c r="P96" s="22">
        <v>-7.0000000000000007E-2</v>
      </c>
      <c r="Q96" s="22">
        <v>0.03</v>
      </c>
      <c r="R96" s="22">
        <v>0.24</v>
      </c>
      <c r="S96" s="22">
        <v>7.0000000000000007E-2</v>
      </c>
      <c r="T96" s="22">
        <v>0.15</v>
      </c>
      <c r="U96" s="22">
        <v>-0.03</v>
      </c>
      <c r="V96" s="22">
        <v>0.31</v>
      </c>
      <c r="W96" s="22">
        <v>0.02</v>
      </c>
      <c r="X96" s="22">
        <v>0.01</v>
      </c>
      <c r="Y96" s="22">
        <v>0</v>
      </c>
    </row>
    <row r="97" spans="1:25" x14ac:dyDescent="0.25">
      <c r="A97" t="str">
        <f t="shared" si="2"/>
        <v>2025 Jul</v>
      </c>
      <c r="B97" t="s">
        <v>154</v>
      </c>
      <c r="C97" s="22">
        <v>1.23</v>
      </c>
      <c r="D97" s="22">
        <v>0.03</v>
      </c>
      <c r="E97" s="22">
        <v>-0.05</v>
      </c>
      <c r="F97" s="22">
        <v>0</v>
      </c>
      <c r="G97" s="22">
        <v>-7.0000000000000007E-2</v>
      </c>
      <c r="H97" s="22">
        <v>-0.04</v>
      </c>
      <c r="I97" s="22">
        <v>0.06</v>
      </c>
      <c r="J97" s="22">
        <v>0.02</v>
      </c>
      <c r="K97" s="22">
        <v>1.24</v>
      </c>
      <c r="L97" s="22">
        <v>-0.04</v>
      </c>
      <c r="M97" s="22">
        <v>0.06</v>
      </c>
      <c r="N97" s="22">
        <v>0.05</v>
      </c>
      <c r="O97" s="22">
        <v>0.35</v>
      </c>
      <c r="P97" s="22">
        <v>-0.03</v>
      </c>
      <c r="Q97" s="22">
        <v>0.05</v>
      </c>
      <c r="R97" s="22">
        <v>0.24</v>
      </c>
      <c r="S97" s="22">
        <v>7.0000000000000007E-2</v>
      </c>
      <c r="T97" s="22">
        <v>0.14000000000000001</v>
      </c>
      <c r="U97" s="22">
        <v>-0.04</v>
      </c>
      <c r="V97" s="22">
        <v>0.3</v>
      </c>
      <c r="W97" s="22">
        <v>0.05</v>
      </c>
      <c r="X97" s="22">
        <v>0.03</v>
      </c>
      <c r="Y97" s="22">
        <v>0</v>
      </c>
    </row>
    <row r="98" spans="1:25" x14ac:dyDescent="0.25">
      <c r="A98" t="str">
        <f t="shared" si="2"/>
        <v>2025 Aug</v>
      </c>
      <c r="B98" t="s">
        <v>154</v>
      </c>
      <c r="C98" s="22">
        <v>1.25</v>
      </c>
      <c r="D98" s="22">
        <v>0.02</v>
      </c>
      <c r="E98" s="22">
        <v>-0.05</v>
      </c>
      <c r="F98" s="22">
        <v>0.02</v>
      </c>
      <c r="G98" s="22">
        <v>-0.11</v>
      </c>
      <c r="H98" s="22">
        <v>-0.02</v>
      </c>
      <c r="I98" s="22">
        <v>0.06</v>
      </c>
      <c r="J98" s="22">
        <v>0.03</v>
      </c>
      <c r="K98" s="22">
        <v>1.26</v>
      </c>
      <c r="L98" s="22">
        <v>-0.02</v>
      </c>
      <c r="M98" s="22">
        <v>0.11</v>
      </c>
      <c r="N98" s="22">
        <v>7.0000000000000007E-2</v>
      </c>
      <c r="O98" s="22">
        <v>0.3</v>
      </c>
      <c r="P98" s="22">
        <v>0.02</v>
      </c>
      <c r="Q98" s="22">
        <v>0.06</v>
      </c>
      <c r="R98" s="22">
        <v>0.17</v>
      </c>
      <c r="S98" s="22">
        <v>0.09</v>
      </c>
      <c r="T98" s="22">
        <v>0.14000000000000001</v>
      </c>
      <c r="U98" s="22">
        <v>-0.08</v>
      </c>
      <c r="V98" s="22">
        <v>0.3</v>
      </c>
      <c r="W98" s="22">
        <v>0.06</v>
      </c>
      <c r="X98" s="22">
        <v>0.02</v>
      </c>
      <c r="Y98" s="22">
        <v>0</v>
      </c>
    </row>
    <row r="99" spans="1:25" x14ac:dyDescent="0.25">
      <c r="A99" t="str">
        <f t="shared" si="2"/>
        <v>2025 Sep</v>
      </c>
      <c r="B99" t="s">
        <v>154</v>
      </c>
      <c r="C99" s="22">
        <v>1.1000000000000001</v>
      </c>
      <c r="D99" s="22">
        <v>0.02</v>
      </c>
      <c r="E99" s="22">
        <v>-0.18</v>
      </c>
      <c r="F99" s="22">
        <v>-0.02</v>
      </c>
      <c r="G99" s="22">
        <v>-0.18</v>
      </c>
      <c r="H99" s="22">
        <v>-0.04</v>
      </c>
      <c r="I99" s="22">
        <v>0.06</v>
      </c>
      <c r="J99" s="22">
        <v>7.0000000000000007E-2</v>
      </c>
      <c r="K99" s="22">
        <v>1.2</v>
      </c>
      <c r="L99" s="22">
        <v>0.01</v>
      </c>
      <c r="M99" s="22">
        <v>0.16</v>
      </c>
      <c r="N99" s="22">
        <v>0.09</v>
      </c>
      <c r="O99" s="22">
        <v>0.28999999999999998</v>
      </c>
      <c r="P99" s="22">
        <v>7.0000000000000007E-2</v>
      </c>
      <c r="Q99" s="22">
        <v>0.09</v>
      </c>
      <c r="R99" s="22">
        <v>7.0000000000000007E-2</v>
      </c>
      <c r="S99" s="22">
        <v>7.0000000000000007E-2</v>
      </c>
      <c r="T99" s="22">
        <v>0.14000000000000001</v>
      </c>
      <c r="U99" s="22">
        <v>-0.09</v>
      </c>
      <c r="V99" s="22">
        <v>0.24</v>
      </c>
      <c r="W99" s="22">
        <v>7.0000000000000007E-2</v>
      </c>
      <c r="X99" s="22">
        <v>0</v>
      </c>
      <c r="Y99" s="22">
        <v>0</v>
      </c>
    </row>
    <row r="100" spans="1:25" x14ac:dyDescent="0.25">
      <c r="A100" t="str">
        <f t="shared" si="2"/>
        <v>2025 Oct</v>
      </c>
      <c r="B100" t="s">
        <v>154</v>
      </c>
      <c r="C100" s="22">
        <v>0.91</v>
      </c>
      <c r="D100" s="22">
        <v>0.02</v>
      </c>
      <c r="E100" s="22">
        <v>-0.21</v>
      </c>
      <c r="F100" s="22">
        <v>-0.01</v>
      </c>
      <c r="G100" s="22">
        <v>-0.21</v>
      </c>
      <c r="H100" s="22">
        <v>-0.04</v>
      </c>
      <c r="I100" s="22">
        <v>0.05</v>
      </c>
      <c r="J100" s="22">
        <v>0.04</v>
      </c>
      <c r="K100" s="22">
        <v>1.06</v>
      </c>
      <c r="L100" s="22">
        <v>0</v>
      </c>
      <c r="M100" s="22">
        <v>0.17</v>
      </c>
      <c r="N100" s="22">
        <v>0.09</v>
      </c>
      <c r="O100" s="22">
        <v>0.28999999999999998</v>
      </c>
      <c r="P100" s="22">
        <v>0.08</v>
      </c>
      <c r="Q100" s="22">
        <v>0.1</v>
      </c>
      <c r="R100" s="22">
        <v>-0.08</v>
      </c>
      <c r="S100" s="22">
        <v>0.09</v>
      </c>
      <c r="T100" s="22">
        <v>0.13</v>
      </c>
      <c r="U100" s="22">
        <v>-0.09</v>
      </c>
      <c r="V100" s="22">
        <v>0.21</v>
      </c>
      <c r="W100" s="22">
        <v>0.08</v>
      </c>
      <c r="X100" s="22">
        <v>-0.01</v>
      </c>
      <c r="Y100" s="22">
        <v>0</v>
      </c>
    </row>
    <row r="101" spans="1:25" x14ac:dyDescent="0.25">
      <c r="A101" t="str">
        <f t="shared" si="2"/>
        <v>2025 Nov</v>
      </c>
      <c r="B101" t="s">
        <v>154</v>
      </c>
      <c r="C101" s="22">
        <v>0.91</v>
      </c>
      <c r="D101" s="22">
        <v>0.01</v>
      </c>
      <c r="E101" s="22">
        <v>-0.08</v>
      </c>
      <c r="F101" s="22">
        <v>-0.02</v>
      </c>
      <c r="G101" s="22">
        <v>-0.13</v>
      </c>
      <c r="H101" s="22">
        <v>0.02</v>
      </c>
      <c r="I101" s="22">
        <v>0.04</v>
      </c>
      <c r="J101" s="22">
        <v>-0.02</v>
      </c>
      <c r="K101" s="22">
        <v>0.99</v>
      </c>
      <c r="L101" s="22">
        <v>0.04</v>
      </c>
      <c r="M101" s="22">
        <v>0.16</v>
      </c>
      <c r="N101" s="22">
        <v>0.04</v>
      </c>
      <c r="O101" s="22">
        <v>0.3</v>
      </c>
      <c r="P101" s="22">
        <v>0.09</v>
      </c>
      <c r="Q101" s="22">
        <v>0.09</v>
      </c>
      <c r="R101" s="22">
        <v>-0.1</v>
      </c>
      <c r="S101" s="22">
        <v>0.08</v>
      </c>
      <c r="T101" s="22">
        <v>0.12</v>
      </c>
      <c r="U101" s="22">
        <v>-7.0000000000000007E-2</v>
      </c>
      <c r="V101" s="22">
        <v>0.18</v>
      </c>
      <c r="W101" s="22">
        <v>0.1</v>
      </c>
      <c r="X101" s="22">
        <v>-0.05</v>
      </c>
      <c r="Y101" s="22">
        <v>-0.01</v>
      </c>
    </row>
    <row r="102" spans="1:25" x14ac:dyDescent="0.25">
      <c r="A102" t="str">
        <f t="shared" si="2"/>
        <v>2025 Dec</v>
      </c>
      <c r="B102" t="s">
        <v>154</v>
      </c>
      <c r="C102" s="22">
        <v>0.8</v>
      </c>
      <c r="D102" s="22">
        <v>0.01</v>
      </c>
      <c r="E102" s="22">
        <v>0.08</v>
      </c>
      <c r="F102" s="22">
        <v>0</v>
      </c>
      <c r="G102" s="22">
        <v>-0.03</v>
      </c>
      <c r="H102" s="22">
        <v>0.06</v>
      </c>
      <c r="I102" s="22">
        <v>0.04</v>
      </c>
      <c r="J102" s="22">
        <v>-0.1</v>
      </c>
      <c r="K102" s="22">
        <v>0.81</v>
      </c>
      <c r="L102" s="22">
        <v>0.01</v>
      </c>
      <c r="M102" s="22">
        <v>0.17</v>
      </c>
      <c r="N102" s="22">
        <v>0</v>
      </c>
      <c r="O102" s="22">
        <v>0.27</v>
      </c>
      <c r="P102" s="22">
        <v>0.08</v>
      </c>
      <c r="Q102" s="22">
        <v>7.0000000000000007E-2</v>
      </c>
      <c r="R102" s="22">
        <v>-0.14000000000000001</v>
      </c>
      <c r="S102" s="22">
        <v>0.08</v>
      </c>
      <c r="T102" s="22">
        <v>0.11</v>
      </c>
      <c r="U102" s="22">
        <v>-0.03</v>
      </c>
      <c r="V102" s="22">
        <v>0.17</v>
      </c>
      <c r="W102" s="22">
        <v>0.08</v>
      </c>
      <c r="X102" s="22">
        <v>-0.06</v>
      </c>
      <c r="Y102" s="22">
        <v>-0.01</v>
      </c>
    </row>
    <row r="103" spans="1:25" x14ac:dyDescent="0.25">
      <c r="A103" t="str">
        <f t="shared" si="2"/>
        <v>2026 Jan</v>
      </c>
      <c r="B103" t="s">
        <v>154</v>
      </c>
      <c r="C103" s="22">
        <v>0.75</v>
      </c>
      <c r="D103" s="22">
        <v>0</v>
      </c>
      <c r="E103" s="22">
        <v>0.12</v>
      </c>
      <c r="F103" s="22">
        <v>-0.03</v>
      </c>
      <c r="G103" s="22">
        <v>0.05</v>
      </c>
      <c r="H103" s="22">
        <v>0.08</v>
      </c>
      <c r="I103" s="22">
        <v>0.03</v>
      </c>
      <c r="J103" s="22">
        <v>-0.13</v>
      </c>
      <c r="K103" s="22">
        <v>0.76</v>
      </c>
      <c r="L103" s="22">
        <v>0.06</v>
      </c>
      <c r="M103" s="22">
        <v>0.19</v>
      </c>
      <c r="N103" s="22">
        <v>-0.01</v>
      </c>
      <c r="O103" s="22">
        <v>0.26</v>
      </c>
      <c r="P103" s="22">
        <v>0.06</v>
      </c>
      <c r="Q103" s="22">
        <v>7.0000000000000007E-2</v>
      </c>
      <c r="R103" s="22">
        <v>-0.08</v>
      </c>
      <c r="S103" s="22">
        <v>-0.01</v>
      </c>
      <c r="T103" s="22">
        <v>0.1</v>
      </c>
      <c r="U103" s="22">
        <v>0</v>
      </c>
      <c r="V103" s="22">
        <v>0.16</v>
      </c>
      <c r="W103" s="22">
        <v>0.05</v>
      </c>
      <c r="X103" s="22">
        <v>-0.08</v>
      </c>
      <c r="Y103" s="22">
        <v>0</v>
      </c>
    </row>
    <row r="104" spans="1:25" x14ac:dyDescent="0.25">
      <c r="A104" t="str">
        <f t="shared" si="2"/>
        <v>2026 Feb</v>
      </c>
      <c r="B104" t="s">
        <v>154</v>
      </c>
      <c r="C104" s="22">
        <v>0.74</v>
      </c>
      <c r="D104" s="22">
        <v>-0.02</v>
      </c>
      <c r="E104" s="22">
        <v>0.02</v>
      </c>
      <c r="F104" s="22">
        <v>-0.04</v>
      </c>
      <c r="G104" s="22">
        <v>0</v>
      </c>
      <c r="H104" s="22">
        <v>0.04</v>
      </c>
      <c r="I104" s="22">
        <v>0.02</v>
      </c>
      <c r="J104" s="22">
        <v>-0.13</v>
      </c>
      <c r="K104" s="22">
        <v>0.87</v>
      </c>
      <c r="L104" s="22">
        <v>0.11</v>
      </c>
      <c r="M104" s="22">
        <v>0.2</v>
      </c>
      <c r="N104" s="22">
        <v>0.01</v>
      </c>
      <c r="O104" s="22">
        <v>0.24</v>
      </c>
      <c r="P104" s="22">
        <v>0.05</v>
      </c>
      <c r="Q104" s="22">
        <v>0.08</v>
      </c>
      <c r="R104" s="22">
        <v>-0.01</v>
      </c>
      <c r="S104" s="22">
        <v>-0.06</v>
      </c>
      <c r="T104" s="22">
        <v>0.09</v>
      </c>
      <c r="U104" s="22">
        <v>0.03</v>
      </c>
      <c r="V104" s="22">
        <v>0.17</v>
      </c>
      <c r="W104" s="22">
        <v>0.03</v>
      </c>
      <c r="X104" s="22">
        <v>-0.06</v>
      </c>
      <c r="Y104" s="22">
        <v>0</v>
      </c>
    </row>
    <row r="105" spans="1:25" x14ac:dyDescent="0.25">
      <c r="A105" t="str">
        <f t="shared" si="2"/>
        <v>2026 Mar</v>
      </c>
      <c r="B105" t="s">
        <v>154</v>
      </c>
      <c r="C105" s="22">
        <v>0.85</v>
      </c>
      <c r="D105" s="22">
        <v>-0.03</v>
      </c>
      <c r="E105" s="22">
        <v>-0.01</v>
      </c>
      <c r="F105" s="22">
        <v>-0.06</v>
      </c>
      <c r="G105" s="22">
        <v>0.03</v>
      </c>
      <c r="H105" s="22">
        <v>0</v>
      </c>
      <c r="I105" s="22">
        <v>0.02</v>
      </c>
      <c r="J105" s="22">
        <v>-0.09</v>
      </c>
      <c r="K105" s="22">
        <v>0.99</v>
      </c>
      <c r="L105" s="22">
        <v>0.1</v>
      </c>
      <c r="M105" s="22">
        <v>0.19</v>
      </c>
      <c r="N105" s="22">
        <v>0.01</v>
      </c>
      <c r="O105" s="22">
        <v>0.21</v>
      </c>
      <c r="P105" s="22">
        <v>7.0000000000000007E-2</v>
      </c>
      <c r="Q105" s="22">
        <v>0.1</v>
      </c>
      <c r="R105" s="22">
        <v>0.06</v>
      </c>
      <c r="S105" s="22">
        <v>-7.0000000000000007E-2</v>
      </c>
      <c r="T105" s="22">
        <v>0.08</v>
      </c>
      <c r="U105" s="22">
        <v>0.04</v>
      </c>
      <c r="V105" s="22">
        <v>0.19</v>
      </c>
      <c r="W105" s="22">
        <v>0.03</v>
      </c>
      <c r="X105" s="22">
        <v>-0.04</v>
      </c>
      <c r="Y105" s="22">
        <v>0</v>
      </c>
    </row>
    <row r="106" spans="1:25" x14ac:dyDescent="0.25">
      <c r="A106" t="str">
        <f t="shared" si="2"/>
        <v>2026 Apr</v>
      </c>
      <c r="B106" t="s">
        <v>154</v>
      </c>
      <c r="C106" s="22">
        <v>0.98</v>
      </c>
      <c r="D106" s="22">
        <v>-0.04</v>
      </c>
      <c r="E106" s="22">
        <v>-0.02</v>
      </c>
      <c r="F106" s="22">
        <v>-0.04</v>
      </c>
      <c r="G106" s="22">
        <v>0.03</v>
      </c>
      <c r="H106" s="22">
        <v>-0.01</v>
      </c>
      <c r="I106" s="22">
        <v>0</v>
      </c>
      <c r="J106" s="22">
        <v>-0.09</v>
      </c>
      <c r="K106" s="22">
        <v>1.1299999999999999</v>
      </c>
      <c r="L106" s="22">
        <v>0.11</v>
      </c>
      <c r="M106" s="22">
        <v>0.2</v>
      </c>
      <c r="N106" s="22">
        <v>0</v>
      </c>
      <c r="O106" s="22">
        <v>0.28000000000000003</v>
      </c>
      <c r="P106" s="22">
        <v>0.1</v>
      </c>
      <c r="Q106" s="22">
        <v>0.12</v>
      </c>
      <c r="R106" s="22">
        <v>0.1</v>
      </c>
      <c r="S106" s="22">
        <v>-0.08</v>
      </c>
      <c r="T106" s="22">
        <v>7.0000000000000007E-2</v>
      </c>
      <c r="U106" s="22">
        <v>0.04</v>
      </c>
      <c r="V106" s="22">
        <v>0.19</v>
      </c>
      <c r="W106" s="22">
        <v>0.03</v>
      </c>
      <c r="X106" s="22">
        <v>-0.02</v>
      </c>
      <c r="Y106" s="22">
        <v>0</v>
      </c>
    </row>
    <row r="107" spans="1:25" x14ac:dyDescent="0.25">
      <c r="A107" t="str">
        <f t="shared" si="2"/>
        <v>2026 May</v>
      </c>
      <c r="B107" t="s">
        <v>154</v>
      </c>
      <c r="C107" s="22">
        <v>1.1000000000000001</v>
      </c>
      <c r="D107" s="22">
        <v>-0.04</v>
      </c>
      <c r="E107" s="22">
        <v>0.05</v>
      </c>
      <c r="F107" s="22">
        <v>-7.0000000000000007E-2</v>
      </c>
      <c r="G107" s="22">
        <v>0.12</v>
      </c>
      <c r="H107" s="22">
        <v>0.02</v>
      </c>
      <c r="I107" s="22">
        <v>-0.02</v>
      </c>
      <c r="J107" s="22">
        <v>-0.09</v>
      </c>
      <c r="K107" s="22">
        <v>1.18</v>
      </c>
      <c r="L107" s="22">
        <v>0.14000000000000001</v>
      </c>
      <c r="M107" s="22">
        <v>0.2</v>
      </c>
      <c r="N107" s="22">
        <v>-0.01</v>
      </c>
      <c r="O107" s="22">
        <v>0.3</v>
      </c>
      <c r="P107" s="22">
        <v>0.13</v>
      </c>
      <c r="Q107" s="22">
        <v>0.14000000000000001</v>
      </c>
      <c r="R107" s="22">
        <v>0.11</v>
      </c>
      <c r="S107" s="22">
        <v>-0.1</v>
      </c>
      <c r="T107" s="22">
        <v>7.0000000000000007E-2</v>
      </c>
      <c r="U107" s="22">
        <v>0.02</v>
      </c>
      <c r="V107" s="22">
        <v>0.15</v>
      </c>
      <c r="W107" s="22">
        <v>0.05</v>
      </c>
      <c r="X107" s="22">
        <v>-0.01</v>
      </c>
      <c r="Y107" s="22">
        <v>0</v>
      </c>
    </row>
    <row r="108" spans="1:25" x14ac:dyDescent="0.25">
      <c r="A108" t="str">
        <f t="shared" si="2"/>
        <v>2026 Jun</v>
      </c>
      <c r="B108" t="s">
        <v>154</v>
      </c>
      <c r="C108" s="22">
        <v>1.1299999999999999</v>
      </c>
      <c r="D108" s="22">
        <v>-0.04</v>
      </c>
      <c r="E108" s="22">
        <v>0.04</v>
      </c>
      <c r="F108" s="22">
        <v>-0.06</v>
      </c>
      <c r="G108" s="22">
        <v>0.1</v>
      </c>
      <c r="H108" s="22">
        <v>0.05</v>
      </c>
      <c r="I108" s="22">
        <v>-0.05</v>
      </c>
      <c r="J108" s="22">
        <v>-0.12</v>
      </c>
      <c r="K108" s="22">
        <v>1.24</v>
      </c>
      <c r="L108" s="22">
        <v>0.21</v>
      </c>
      <c r="M108" s="22">
        <v>0.21</v>
      </c>
      <c r="N108" s="22">
        <v>-0.01</v>
      </c>
      <c r="O108" s="22">
        <v>0.33</v>
      </c>
      <c r="P108" s="22">
        <v>0.12</v>
      </c>
      <c r="Q108" s="22">
        <v>0.14000000000000001</v>
      </c>
      <c r="R108" s="22">
        <v>0.15</v>
      </c>
      <c r="S108" s="22">
        <v>-0.14000000000000001</v>
      </c>
      <c r="T108" s="22">
        <v>7.0000000000000007E-2</v>
      </c>
      <c r="U108" s="22">
        <v>0.01</v>
      </c>
      <c r="V108" s="22">
        <v>0.09</v>
      </c>
      <c r="W108" s="22">
        <v>0.05</v>
      </c>
      <c r="X108" s="22">
        <v>0</v>
      </c>
      <c r="Y108" s="22">
        <v>0</v>
      </c>
    </row>
    <row r="109" spans="1:25" x14ac:dyDescent="0.25">
      <c r="A109" t="str">
        <f t="shared" si="2"/>
        <v>2026 Jul</v>
      </c>
      <c r="B109" t="s">
        <v>154</v>
      </c>
      <c r="C109" s="22">
        <v>1.29</v>
      </c>
      <c r="D109" s="22">
        <v>-0.04</v>
      </c>
      <c r="E109" s="22">
        <v>0.06</v>
      </c>
      <c r="F109" s="22">
        <v>-0.08</v>
      </c>
      <c r="G109" s="22">
        <v>0.15</v>
      </c>
      <c r="H109" s="22">
        <v>0.04</v>
      </c>
      <c r="I109" s="22">
        <v>-0.05</v>
      </c>
      <c r="J109" s="22">
        <v>-0.13</v>
      </c>
      <c r="K109" s="22">
        <v>1.39</v>
      </c>
      <c r="L109" s="22">
        <v>0.17</v>
      </c>
      <c r="M109" s="22">
        <v>0.18</v>
      </c>
      <c r="N109" s="22">
        <v>0</v>
      </c>
      <c r="O109" s="22">
        <v>0.36</v>
      </c>
      <c r="P109" s="22">
        <v>0.11</v>
      </c>
      <c r="Q109" s="22">
        <v>0.13</v>
      </c>
      <c r="R109" s="22">
        <v>0.23</v>
      </c>
      <c r="S109" s="22">
        <v>-0.03</v>
      </c>
      <c r="T109" s="22">
        <v>0.06</v>
      </c>
      <c r="U109" s="22">
        <v>0.02</v>
      </c>
      <c r="V109" s="22">
        <v>0.09</v>
      </c>
      <c r="W109" s="22">
        <v>0.05</v>
      </c>
      <c r="X109" s="22">
        <v>0.02</v>
      </c>
      <c r="Y109" s="22">
        <v>0</v>
      </c>
    </row>
    <row r="110" spans="1:25" x14ac:dyDescent="0.25">
      <c r="A110" s="11">
        <v>2023</v>
      </c>
      <c r="B110" s="12" t="s">
        <v>178</v>
      </c>
      <c r="C110" s="23">
        <v>1000</v>
      </c>
      <c r="D110" s="23">
        <v>7.1</v>
      </c>
      <c r="E110" s="23">
        <v>135.30000000000001</v>
      </c>
      <c r="F110" s="23">
        <v>12.5</v>
      </c>
      <c r="G110" s="23">
        <v>90.6</v>
      </c>
      <c r="H110" s="23">
        <v>20.3</v>
      </c>
      <c r="I110" s="23">
        <v>11.9</v>
      </c>
      <c r="J110" s="23">
        <v>59.4</v>
      </c>
      <c r="K110" s="23">
        <v>798.1</v>
      </c>
      <c r="L110" s="23">
        <v>98.9</v>
      </c>
      <c r="M110" s="23">
        <v>33.9</v>
      </c>
      <c r="N110" s="23">
        <v>28.1</v>
      </c>
      <c r="O110" s="23">
        <v>61</v>
      </c>
      <c r="P110" s="23">
        <v>81.7</v>
      </c>
      <c r="Q110" s="23">
        <v>138.9</v>
      </c>
      <c r="R110" s="23">
        <v>85.8</v>
      </c>
      <c r="S110" s="23">
        <v>50.5</v>
      </c>
      <c r="T110" s="23">
        <v>49.6</v>
      </c>
      <c r="U110" s="23">
        <v>58.1</v>
      </c>
      <c r="V110" s="23">
        <v>81.8</v>
      </c>
      <c r="W110" s="23">
        <v>13.9</v>
      </c>
      <c r="X110" s="23">
        <v>14.8</v>
      </c>
      <c r="Y110" s="23">
        <v>1.2</v>
      </c>
    </row>
  </sheetData>
  <hyperlinks>
    <hyperlink ref="A3" location="Cover_page!A1" display="Link to return to cover page" xr:uid="{00000000-0004-0000-1400-000000000000}"/>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16057</ReferenceId>
    <Notes xmlns="1e572c8d-6813-4013-8a4a-be491ac59459" xsi:nil="true"/>
    <TrackerId xmlns="1e572c8d-6813-4013-8a4a-be491ac59459">TRCK-4532</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713F1C-9512-41B0-B58D-A2417FE29C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B00D5DE-EAB8-41C3-9F0A-AA1BA847C2B2}">
  <ds:schemaRefs>
    <ds:schemaRef ds:uri="http://schemas.microsoft.com/sharepoint/v3/contenttype/forms"/>
  </ds:schemaRefs>
</ds:datastoreItem>
</file>

<file path=customXml/itemProps3.xml><?xml version="1.0" encoding="utf-8"?>
<ds:datastoreItem xmlns:ds="http://schemas.openxmlformats.org/officeDocument/2006/customXml" ds:itemID="{EF1140D0-A798-4FEA-887D-037B9C5D0B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Cover_page</vt:lpstr>
      <vt:lpstr>Notes</vt:lpstr>
      <vt:lpstr>CONTRIBUTIONS</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paddij</dc:creator>
  <cp:keywords/>
  <dc:description/>
  <cp:lastModifiedBy>Lippiatt, George</cp:lastModifiedBy>
  <cp:revision/>
  <dcterms:created xsi:type="dcterms:W3CDTF">2011-06-29T07:35:54Z</dcterms:created>
  <dcterms:modified xsi:type="dcterms:W3CDTF">2026-09-08T15:41:04Z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