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tris42.sharepoint.com/sites/OBR/Shared Documents/Outputs_and_Publications/EFO/2026_Autumn/Delivery/WEBSITE/3. DFTs/"/>
    </mc:Choice>
  </mc:AlternateContent>
  <xr:revisionPtr revIDLastSave="33" documentId="8_{E3F92BDA-835F-4FCE-9732-50D3BAE936FD}" xr6:coauthVersionLast="47" xr6:coauthVersionMax="47" xr10:uidLastSave="{1F31082F-0FCF-42A7-870D-1FA6A146A016}"/>
  <bookViews>
    <workbookView xWindow="-120" yWindow="-120" windowWidth="38640" windowHeight="21120" tabRatio="740" xr2:uid="{00000000-000D-0000-FFFF-FFFF00000000}"/>
  </bookViews>
  <sheets>
    <sheet name="Contents" sheetId="4" r:id="rId1"/>
    <sheet name="1.1" sheetId="156" r:id="rId2"/>
    <sheet name="1.2" sheetId="157" r:id="rId3"/>
    <sheet name="1.3" sheetId="144" r:id="rId4"/>
    <sheet name="1.4" sheetId="145" r:id="rId5"/>
    <sheet name="1.5" sheetId="158" r:id="rId6"/>
    <sheet name="1.6" sheetId="152" r:id="rId7"/>
    <sheet name="1.7" sheetId="159" r:id="rId8"/>
    <sheet name="1.8" sheetId="138" r:id="rId9"/>
    <sheet name="1.9" sheetId="139" r:id="rId10"/>
    <sheet name="1.10" sheetId="146" r:id="rId11"/>
    <sheet name="1.11" sheetId="147" r:id="rId12"/>
    <sheet name="1.11b" sheetId="160" r:id="rId13"/>
    <sheet name="1.12" sheetId="148" r:id="rId14"/>
    <sheet name="1.13" sheetId="153" r:id="rId15"/>
    <sheet name="1.14" sheetId="154" r:id="rId16"/>
    <sheet name="1.15" sheetId="151" r:id="rId17"/>
    <sheet name="1.16" sheetId="155" r:id="rId18"/>
    <sheet name="1.17" sheetId="149" r:id="rId19"/>
    <sheet name="1.18" sheetId="143" r:id="rId20"/>
    <sheet name="1.19" sheetId="162" r:id="rId21"/>
    <sheet name="1.19b" sheetId="163" r:id="rId22"/>
    <sheet name="1.20" sheetId="164" r:id="rId23"/>
  </sheets>
  <definedNames>
    <definedName name="__123Graph_A" localSheetId="11" hidden="1">#REF!</definedName>
    <definedName name="__123Graph_A" localSheetId="12" hidden="1">#REF!</definedName>
    <definedName name="__123Graph_A" localSheetId="15" hidden="1">#REF!</definedName>
    <definedName name="__123Graph_A" localSheetId="16" hidden="1">#REF!</definedName>
    <definedName name="__123Graph_A" localSheetId="17" hidden="1">#REF!</definedName>
    <definedName name="__123Graph_A" localSheetId="19" hidden="1">#REF!</definedName>
    <definedName name="__123Graph_A" localSheetId="20" hidden="1">#REF!</definedName>
    <definedName name="__123Graph_A" localSheetId="21" hidden="1">#REF!</definedName>
    <definedName name="__123Graph_A" localSheetId="6" hidden="1">#REF!</definedName>
    <definedName name="__123Graph_A" localSheetId="7" hidden="1">#REF!</definedName>
    <definedName name="__123Graph_A" hidden="1">#REF!</definedName>
    <definedName name="__123Graph_ACHGSPD1" localSheetId="15" hidden="1">#REF!</definedName>
    <definedName name="__123Graph_ACHGSPD1" localSheetId="17" hidden="1">#REF!</definedName>
    <definedName name="__123Graph_ACHGSPD1" localSheetId="20" hidden="1">#REF!</definedName>
    <definedName name="__123Graph_ACHGSPD1" localSheetId="21" hidden="1">#REF!</definedName>
    <definedName name="__123Graph_ACHGSPD1" hidden="1">#REF!</definedName>
    <definedName name="__123Graph_ACHGSPD2" localSheetId="15" hidden="1">#REF!</definedName>
    <definedName name="__123Graph_ACHGSPD2" localSheetId="17" hidden="1">#REF!</definedName>
    <definedName name="__123Graph_ACHGSPD2" localSheetId="20" hidden="1">#REF!</definedName>
    <definedName name="__123Graph_ACHGSPD2" localSheetId="21" hidden="1">#REF!</definedName>
    <definedName name="__123Graph_ACHGSPD2" hidden="1">#REF!</definedName>
    <definedName name="__123Graph_AEFF" localSheetId="11" hidden="1">#REF!</definedName>
    <definedName name="__123Graph_AEFF" localSheetId="12" hidden="1">#REF!</definedName>
    <definedName name="__123Graph_AEFF" localSheetId="15" hidden="1">#REF!</definedName>
    <definedName name="__123Graph_AEFF" localSheetId="16" hidden="1">#REF!</definedName>
    <definedName name="__123Graph_AEFF" localSheetId="17" hidden="1">#REF!</definedName>
    <definedName name="__123Graph_AEFF" localSheetId="19" hidden="1">#REF!</definedName>
    <definedName name="__123Graph_AEFF" localSheetId="20" hidden="1">#REF!</definedName>
    <definedName name="__123Graph_AEFF" localSheetId="21" hidden="1">#REF!</definedName>
    <definedName name="__123Graph_AEFF" localSheetId="6" hidden="1">#REF!</definedName>
    <definedName name="__123Graph_AEFF" localSheetId="7" hidden="1">#REF!</definedName>
    <definedName name="__123Graph_AEFF" hidden="1">#REF!</definedName>
    <definedName name="__123Graph_AEFG" hidden="1">#REF!</definedName>
    <definedName name="__123Graph_AGR14PBF1" localSheetId="15" hidden="1">#REF!</definedName>
    <definedName name="__123Graph_AGR14PBF1" localSheetId="17" hidden="1">#REF!</definedName>
    <definedName name="__123Graph_AGR14PBF1" localSheetId="20" hidden="1">#REF!</definedName>
    <definedName name="__123Graph_AGR14PBF1" localSheetId="21" hidden="1">#REF!</definedName>
    <definedName name="__123Graph_AGR14PBF1" hidden="1">#REF!</definedName>
    <definedName name="__123Graph_ALBFFIN" localSheetId="11" hidden="1">#REF!</definedName>
    <definedName name="__123Graph_ALBFFIN" localSheetId="12" hidden="1">#REF!</definedName>
    <definedName name="__123Graph_ALBFFIN" localSheetId="15" hidden="1">#REF!</definedName>
    <definedName name="__123Graph_ALBFFIN" localSheetId="16" hidden="1">#REF!</definedName>
    <definedName name="__123Graph_ALBFFIN" localSheetId="17" hidden="1">#REF!</definedName>
    <definedName name="__123Graph_ALBFFIN" localSheetId="19" hidden="1">#REF!</definedName>
    <definedName name="__123Graph_ALBFFIN" localSheetId="20" hidden="1">#REF!</definedName>
    <definedName name="__123Graph_ALBFFIN" localSheetId="21" hidden="1">#REF!</definedName>
    <definedName name="__123Graph_ALBFFIN" localSheetId="6" hidden="1">#REF!</definedName>
    <definedName name="__123Graph_ALBFFIN" localSheetId="7" hidden="1">#REF!</definedName>
    <definedName name="__123Graph_ALBFFIN" hidden="1">#REF!</definedName>
    <definedName name="__123Graph_ALBFFIN2" localSheetId="15" hidden="1">#REF!</definedName>
    <definedName name="__123Graph_ALBFFIN2" localSheetId="17" hidden="1">#REF!</definedName>
    <definedName name="__123Graph_ALBFFIN2" localSheetId="20" hidden="1">#REF!</definedName>
    <definedName name="__123Graph_ALBFFIN2" localSheetId="21" hidden="1">#REF!</definedName>
    <definedName name="__123Graph_ALBFFIN2" hidden="1">#REF!</definedName>
    <definedName name="__123Graph_ALBFFIO" hidden="1">#REF!</definedName>
    <definedName name="__123Graph_ALBFHIC2" localSheetId="15" hidden="1">#REF!</definedName>
    <definedName name="__123Graph_ALBFHIC2" localSheetId="17" hidden="1">#REF!</definedName>
    <definedName name="__123Graph_ALBFHIC2" localSheetId="20" hidden="1">#REF!</definedName>
    <definedName name="__123Graph_ALBFHIC2" localSheetId="21" hidden="1">#REF!</definedName>
    <definedName name="__123Graph_ALBFHIC2" hidden="1">#REF!</definedName>
    <definedName name="__123Graph_ALCB" localSheetId="15" hidden="1">#REF!</definedName>
    <definedName name="__123Graph_ALCB" localSheetId="17" hidden="1">#REF!</definedName>
    <definedName name="__123Graph_ALCB" localSheetId="20" hidden="1">#REF!</definedName>
    <definedName name="__123Graph_ALCB" localSheetId="21" hidden="1">#REF!</definedName>
    <definedName name="__123Graph_ALCB" hidden="1">#REF!</definedName>
    <definedName name="__123Graph_ANACFIN" localSheetId="15" hidden="1">#REF!</definedName>
    <definedName name="__123Graph_ANACFIN" localSheetId="17" hidden="1">#REF!</definedName>
    <definedName name="__123Graph_ANACFIN" localSheetId="20" hidden="1">#REF!</definedName>
    <definedName name="__123Graph_ANACFIN" localSheetId="21" hidden="1">#REF!</definedName>
    <definedName name="__123Graph_ANACFIN" hidden="1">#REF!</definedName>
    <definedName name="__123Graph_ANACHIC" localSheetId="15" hidden="1">#REF!</definedName>
    <definedName name="__123Graph_ANACHIC" localSheetId="17" hidden="1">#REF!</definedName>
    <definedName name="__123Graph_ANACHIC" localSheetId="20" hidden="1">#REF!</definedName>
    <definedName name="__123Graph_ANACHIC" localSheetId="21" hidden="1">#REF!</definedName>
    <definedName name="__123Graph_ANACHIC" hidden="1">#REF!</definedName>
    <definedName name="__123Graph_APIC" localSheetId="11" hidden="1">#REF!</definedName>
    <definedName name="__123Graph_APIC" localSheetId="12" hidden="1">#REF!</definedName>
    <definedName name="__123Graph_APIC" localSheetId="15" hidden="1">#REF!</definedName>
    <definedName name="__123Graph_APIC" localSheetId="16" hidden="1">#REF!</definedName>
    <definedName name="__123Graph_APIC" localSheetId="17" hidden="1">#REF!</definedName>
    <definedName name="__123Graph_APIC" localSheetId="19" hidden="1">#REF!</definedName>
    <definedName name="__123Graph_APIC" localSheetId="20" hidden="1">#REF!</definedName>
    <definedName name="__123Graph_APIC" localSheetId="21" hidden="1">#REF!</definedName>
    <definedName name="__123Graph_APIC" localSheetId="6" hidden="1">#REF!</definedName>
    <definedName name="__123Graph_APIC" localSheetId="7" hidden="1">#REF!</definedName>
    <definedName name="__123Graph_APIC" hidden="1">#REF!</definedName>
    <definedName name="__123Graph_APID" hidden="1">#REF!</definedName>
    <definedName name="__123Graph_B" localSheetId="11" hidden="1">#REF!</definedName>
    <definedName name="__123Graph_B" localSheetId="12" hidden="1">#REF!</definedName>
    <definedName name="__123Graph_B" localSheetId="15" hidden="1">#REF!</definedName>
    <definedName name="__123Graph_B" localSheetId="16" hidden="1">#REF!</definedName>
    <definedName name="__123Graph_B" localSheetId="17" hidden="1">#REF!</definedName>
    <definedName name="__123Graph_B" localSheetId="19" hidden="1">#REF!</definedName>
    <definedName name="__123Graph_B" localSheetId="20" hidden="1">#REF!</definedName>
    <definedName name="__123Graph_B" localSheetId="21" hidden="1">#REF!</definedName>
    <definedName name="__123Graph_B" localSheetId="6" hidden="1">#REF!</definedName>
    <definedName name="__123Graph_B" localSheetId="7" hidden="1">#REF!</definedName>
    <definedName name="__123Graph_B" hidden="1">#REF!</definedName>
    <definedName name="__123Graph_BCHGSPD1" localSheetId="15" hidden="1">#REF!</definedName>
    <definedName name="__123Graph_BCHGSPD1" localSheetId="17" hidden="1">#REF!</definedName>
    <definedName name="__123Graph_BCHGSPD1" localSheetId="20" hidden="1">#REF!</definedName>
    <definedName name="__123Graph_BCHGSPD1" localSheetId="21" hidden="1">#REF!</definedName>
    <definedName name="__123Graph_BCHGSPD1" hidden="1">#REF!</definedName>
    <definedName name="__123Graph_BCHGSPD2" localSheetId="15" hidden="1">#REF!</definedName>
    <definedName name="__123Graph_BCHGSPD2" localSheetId="17" hidden="1">#REF!</definedName>
    <definedName name="__123Graph_BCHGSPD2" localSheetId="20" hidden="1">#REF!</definedName>
    <definedName name="__123Graph_BCHGSPD2" localSheetId="21" hidden="1">#REF!</definedName>
    <definedName name="__123Graph_BCHGSPD2" hidden="1">#REF!</definedName>
    <definedName name="__123Graph_BEFF" localSheetId="11" hidden="1">#REF!</definedName>
    <definedName name="__123Graph_BEFF" localSheetId="12" hidden="1">#REF!</definedName>
    <definedName name="__123Graph_BEFF" localSheetId="15" hidden="1">#REF!</definedName>
    <definedName name="__123Graph_BEFF" localSheetId="16" hidden="1">#REF!</definedName>
    <definedName name="__123Graph_BEFF" localSheetId="17" hidden="1">#REF!</definedName>
    <definedName name="__123Graph_BEFF" localSheetId="19" hidden="1">#REF!</definedName>
    <definedName name="__123Graph_BEFF" localSheetId="20" hidden="1">#REF!</definedName>
    <definedName name="__123Graph_BEFF" localSheetId="21" hidden="1">#REF!</definedName>
    <definedName name="__123Graph_BEFF" localSheetId="6" hidden="1">#REF!</definedName>
    <definedName name="__123Graph_BEFF" localSheetId="7" hidden="1">#REF!</definedName>
    <definedName name="__123Graph_BEFF" hidden="1">#REF!</definedName>
    <definedName name="__123Graph_BEFG" hidden="1">#REF!</definedName>
    <definedName name="__123Graph_BLBF" localSheetId="11" hidden="1">#REF!</definedName>
    <definedName name="__123Graph_BLBF" localSheetId="12" hidden="1">#REF!</definedName>
    <definedName name="__123Graph_BLBF" localSheetId="15" hidden="1">#REF!</definedName>
    <definedName name="__123Graph_BLBF" localSheetId="16" hidden="1">#REF!</definedName>
    <definedName name="__123Graph_BLBF" localSheetId="17" hidden="1">#REF!</definedName>
    <definedName name="__123Graph_BLBF" localSheetId="19" hidden="1">#REF!</definedName>
    <definedName name="__123Graph_BLBF" localSheetId="20" hidden="1">#REF!</definedName>
    <definedName name="__123Graph_BLBF" localSheetId="21" hidden="1">#REF!</definedName>
    <definedName name="__123Graph_BLBF" localSheetId="6" hidden="1">#REF!</definedName>
    <definedName name="__123Graph_BLBF" localSheetId="7" hidden="1">#REF!</definedName>
    <definedName name="__123Graph_BLBF" hidden="1">#REF!</definedName>
    <definedName name="__123Graph_BLBFFIN" localSheetId="11" hidden="1">#REF!</definedName>
    <definedName name="__123Graph_BLBFFIN" localSheetId="12" hidden="1">#REF!</definedName>
    <definedName name="__123Graph_BLBFFIN" localSheetId="15" hidden="1">#REF!</definedName>
    <definedName name="__123Graph_BLBFFIN" localSheetId="16" hidden="1">#REF!</definedName>
    <definedName name="__123Graph_BLBFFIN" localSheetId="17" hidden="1">#REF!</definedName>
    <definedName name="__123Graph_BLBFFIN" localSheetId="19" hidden="1">#REF!</definedName>
    <definedName name="__123Graph_BLBFFIN" localSheetId="20" hidden="1">#REF!</definedName>
    <definedName name="__123Graph_BLBFFIN" localSheetId="21" hidden="1">#REF!</definedName>
    <definedName name="__123Graph_BLBFFIN" localSheetId="7" hidden="1">#REF!</definedName>
    <definedName name="__123Graph_BLBFFIN" hidden="1">#REF!</definedName>
    <definedName name="__123Graph_BLCB" localSheetId="15" hidden="1">#REF!</definedName>
    <definedName name="__123Graph_BLCB" localSheetId="17" hidden="1">#REF!</definedName>
    <definedName name="__123Graph_BLCB" localSheetId="20" hidden="1">#REF!</definedName>
    <definedName name="__123Graph_BLCB" localSheetId="21" hidden="1">#REF!</definedName>
    <definedName name="__123Graph_BLCB" hidden="1">#REF!</definedName>
    <definedName name="__123Graph_BPIC" localSheetId="11" hidden="1">#REF!</definedName>
    <definedName name="__123Graph_BPIC" localSheetId="12" hidden="1">#REF!</definedName>
    <definedName name="__123Graph_BPIC" localSheetId="15" hidden="1">#REF!</definedName>
    <definedName name="__123Graph_BPIC" localSheetId="16" hidden="1">#REF!</definedName>
    <definedName name="__123Graph_BPIC" localSheetId="17" hidden="1">#REF!</definedName>
    <definedName name="__123Graph_BPIC" localSheetId="19" hidden="1">#REF!</definedName>
    <definedName name="__123Graph_BPIC" localSheetId="20" hidden="1">#REF!</definedName>
    <definedName name="__123Graph_BPIC" localSheetId="21" hidden="1">#REF!</definedName>
    <definedName name="__123Graph_BPIC" localSheetId="6" hidden="1">#REF!</definedName>
    <definedName name="__123Graph_BPIC" localSheetId="7" hidden="1">#REF!</definedName>
    <definedName name="__123Graph_BPIC" hidden="1">#REF!</definedName>
    <definedName name="__123Graph_C" hidden="1">#REF!</definedName>
    <definedName name="__123Graph_CACT13BUD" localSheetId="11" hidden="1">#REF!</definedName>
    <definedName name="__123Graph_CACT13BUD" localSheetId="12" hidden="1">#REF!</definedName>
    <definedName name="__123Graph_CACT13BUD" localSheetId="15" hidden="1">#REF!</definedName>
    <definedName name="__123Graph_CACT13BUD" localSheetId="16" hidden="1">#REF!</definedName>
    <definedName name="__123Graph_CACT13BUD" localSheetId="17" hidden="1">#REF!</definedName>
    <definedName name="__123Graph_CACT13BUD" localSheetId="19" hidden="1">#REF!</definedName>
    <definedName name="__123Graph_CACT13BUD" localSheetId="20" hidden="1">#REF!</definedName>
    <definedName name="__123Graph_CACT13BUD" localSheetId="21" hidden="1">#REF!</definedName>
    <definedName name="__123Graph_CACT13BUD" localSheetId="6" hidden="1">#REF!</definedName>
    <definedName name="__123Graph_CACT13BUD" localSheetId="7" hidden="1">#REF!</definedName>
    <definedName name="__123Graph_CACT13BUD" hidden="1">#REF!</definedName>
    <definedName name="__123Graph_CEFF" localSheetId="11" hidden="1">#REF!</definedName>
    <definedName name="__123Graph_CEFF" localSheetId="12" hidden="1">#REF!</definedName>
    <definedName name="__123Graph_CEFF" localSheetId="15" hidden="1">#REF!</definedName>
    <definedName name="__123Graph_CEFF" localSheetId="16" hidden="1">#REF!</definedName>
    <definedName name="__123Graph_CEFF" localSheetId="17" hidden="1">#REF!</definedName>
    <definedName name="__123Graph_CEFF" localSheetId="19" hidden="1">#REF!</definedName>
    <definedName name="__123Graph_CEFF" localSheetId="20" hidden="1">#REF!</definedName>
    <definedName name="__123Graph_CEFF" localSheetId="21" hidden="1">#REF!</definedName>
    <definedName name="__123Graph_CEFF" localSheetId="7" hidden="1">#REF!</definedName>
    <definedName name="__123Graph_CEFF" hidden="1">#REF!</definedName>
    <definedName name="__123Graph_CGR14PBF1" localSheetId="15" hidden="1">#REF!</definedName>
    <definedName name="__123Graph_CGR14PBF1" localSheetId="17" hidden="1">#REF!</definedName>
    <definedName name="__123Graph_CGR14PBF1" localSheetId="20" hidden="1">#REF!</definedName>
    <definedName name="__123Graph_CGR14PBF1" localSheetId="21" hidden="1">#REF!</definedName>
    <definedName name="__123Graph_CGR14PBF1" hidden="1">#REF!</definedName>
    <definedName name="__123Graph_CLBF" localSheetId="11" hidden="1">#REF!</definedName>
    <definedName name="__123Graph_CLBF" localSheetId="12" hidden="1">#REF!</definedName>
    <definedName name="__123Graph_CLBF" localSheetId="15" hidden="1">#REF!</definedName>
    <definedName name="__123Graph_CLBF" localSheetId="16" hidden="1">#REF!</definedName>
    <definedName name="__123Graph_CLBF" localSheetId="17" hidden="1">#REF!</definedName>
    <definedName name="__123Graph_CLBF" localSheetId="19" hidden="1">#REF!</definedName>
    <definedName name="__123Graph_CLBF" localSheetId="20" hidden="1">#REF!</definedName>
    <definedName name="__123Graph_CLBF" localSheetId="21" hidden="1">#REF!</definedName>
    <definedName name="__123Graph_CLBF" localSheetId="6" hidden="1">#REF!</definedName>
    <definedName name="__123Graph_CLBF" localSheetId="7" hidden="1">#REF!</definedName>
    <definedName name="__123Graph_CLBF" hidden="1">#REF!</definedName>
    <definedName name="__123Graph_CPIC" localSheetId="11" hidden="1">#REF!</definedName>
    <definedName name="__123Graph_CPIC" localSheetId="12" hidden="1">#REF!</definedName>
    <definedName name="__123Graph_CPIC" localSheetId="15" hidden="1">#REF!</definedName>
    <definedName name="__123Graph_CPIC" localSheetId="16" hidden="1">#REF!</definedName>
    <definedName name="__123Graph_CPIC" localSheetId="17" hidden="1">#REF!</definedName>
    <definedName name="__123Graph_CPIC" localSheetId="19" hidden="1">#REF!</definedName>
    <definedName name="__123Graph_CPIC" localSheetId="20" hidden="1">#REF!</definedName>
    <definedName name="__123Graph_CPIC" localSheetId="21" hidden="1">#REF!</definedName>
    <definedName name="__123Graph_CPIC" localSheetId="6" hidden="1">#REF!</definedName>
    <definedName name="__123Graph_CPIC" localSheetId="7" hidden="1">#REF!</definedName>
    <definedName name="__123Graph_CPIC" hidden="1">#REF!</definedName>
    <definedName name="__123Graph_DACT13BUD" localSheetId="11" hidden="1">#REF!</definedName>
    <definedName name="__123Graph_DACT13BUD" localSheetId="12" hidden="1">#REF!</definedName>
    <definedName name="__123Graph_DACT13BUD" localSheetId="15" hidden="1">#REF!</definedName>
    <definedName name="__123Graph_DACT13BUD" localSheetId="16" hidden="1">#REF!</definedName>
    <definedName name="__123Graph_DACT13BUD" localSheetId="17" hidden="1">#REF!</definedName>
    <definedName name="__123Graph_DACT13BUD" localSheetId="19" hidden="1">#REF!</definedName>
    <definedName name="__123Graph_DACT13BUD" localSheetId="20" hidden="1">#REF!</definedName>
    <definedName name="__123Graph_DACT13BUD" localSheetId="21" hidden="1">#REF!</definedName>
    <definedName name="__123Graph_DACT13BUD" localSheetId="7" hidden="1">#REF!</definedName>
    <definedName name="__123Graph_DACT13BUD" hidden="1">#REF!</definedName>
    <definedName name="__123Graph_DEFF" localSheetId="11" hidden="1">#REF!</definedName>
    <definedName name="__123Graph_DEFF" localSheetId="12" hidden="1">#REF!</definedName>
    <definedName name="__123Graph_DEFF" localSheetId="15" hidden="1">#REF!</definedName>
    <definedName name="__123Graph_DEFF" localSheetId="16" hidden="1">#REF!</definedName>
    <definedName name="__123Graph_DEFF" localSheetId="17" hidden="1">#REF!</definedName>
    <definedName name="__123Graph_DEFF" localSheetId="19" hidden="1">#REF!</definedName>
    <definedName name="__123Graph_DEFF" localSheetId="20" hidden="1">#REF!</definedName>
    <definedName name="__123Graph_DEFF" localSheetId="21" hidden="1">#REF!</definedName>
    <definedName name="__123Graph_DEFF" localSheetId="7" hidden="1">#REF!</definedName>
    <definedName name="__123Graph_DEFF" hidden="1">#REF!</definedName>
    <definedName name="__123Graph_DGR14PBF1" localSheetId="15" hidden="1">#REF!</definedName>
    <definedName name="__123Graph_DGR14PBF1" localSheetId="17" hidden="1">#REF!</definedName>
    <definedName name="__123Graph_DGR14PBF1" localSheetId="20" hidden="1">#REF!</definedName>
    <definedName name="__123Graph_DGR14PBF1" localSheetId="21" hidden="1">#REF!</definedName>
    <definedName name="__123Graph_DGR14PBF1" hidden="1">#REF!</definedName>
    <definedName name="__123Graph_DLBF" localSheetId="11" hidden="1">#REF!</definedName>
    <definedName name="__123Graph_DLBF" localSheetId="12" hidden="1">#REF!</definedName>
    <definedName name="__123Graph_DLBF" localSheetId="15" hidden="1">#REF!</definedName>
    <definedName name="__123Graph_DLBF" localSheetId="16" hidden="1">#REF!</definedName>
    <definedName name="__123Graph_DLBF" localSheetId="17" hidden="1">#REF!</definedName>
    <definedName name="__123Graph_DLBF" localSheetId="19" hidden="1">#REF!</definedName>
    <definedName name="__123Graph_DLBF" localSheetId="20" hidden="1">#REF!</definedName>
    <definedName name="__123Graph_DLBF" localSheetId="21" hidden="1">#REF!</definedName>
    <definedName name="__123Graph_DLBF" localSheetId="6" hidden="1">#REF!</definedName>
    <definedName name="__123Graph_DLBF" localSheetId="7" hidden="1">#REF!</definedName>
    <definedName name="__123Graph_DLBF" hidden="1">#REF!</definedName>
    <definedName name="__123Graph_DPIC" localSheetId="11" hidden="1">#REF!</definedName>
    <definedName name="__123Graph_DPIC" localSheetId="12" hidden="1">#REF!</definedName>
    <definedName name="__123Graph_DPIC" localSheetId="15" hidden="1">#REF!</definedName>
    <definedName name="__123Graph_DPIC" localSheetId="16" hidden="1">#REF!</definedName>
    <definedName name="__123Graph_DPIC" localSheetId="17" hidden="1">#REF!</definedName>
    <definedName name="__123Graph_DPIC" localSheetId="19" hidden="1">#REF!</definedName>
    <definedName name="__123Graph_DPIC" localSheetId="20" hidden="1">#REF!</definedName>
    <definedName name="__123Graph_DPIC" localSheetId="21" hidden="1">#REF!</definedName>
    <definedName name="__123Graph_DPIC" localSheetId="6" hidden="1">#REF!</definedName>
    <definedName name="__123Graph_DPIC" localSheetId="7" hidden="1">#REF!</definedName>
    <definedName name="__123Graph_DPIC" hidden="1">#REF!</definedName>
    <definedName name="__123Graph_EACT13BUD" localSheetId="11" hidden="1">#REF!</definedName>
    <definedName name="__123Graph_EACT13BUD" localSheetId="12" hidden="1">#REF!</definedName>
    <definedName name="__123Graph_EACT13BUD" localSheetId="15" hidden="1">#REF!</definedName>
    <definedName name="__123Graph_EACT13BUD" localSheetId="16" hidden="1">#REF!</definedName>
    <definedName name="__123Graph_EACT13BUD" localSheetId="17" hidden="1">#REF!</definedName>
    <definedName name="__123Graph_EACT13BUD" localSheetId="19" hidden="1">#REF!</definedName>
    <definedName name="__123Graph_EACT13BUD" localSheetId="20" hidden="1">#REF!</definedName>
    <definedName name="__123Graph_EACT13BUD" localSheetId="21" hidden="1">#REF!</definedName>
    <definedName name="__123Graph_EACT13BUD" localSheetId="7" hidden="1">#REF!</definedName>
    <definedName name="__123Graph_EACT13BUD" hidden="1">#REF!</definedName>
    <definedName name="__123Graph_EEFF" localSheetId="11" hidden="1">#REF!</definedName>
    <definedName name="__123Graph_EEFF" localSheetId="12" hidden="1">#REF!</definedName>
    <definedName name="__123Graph_EEFF" localSheetId="15" hidden="1">#REF!</definedName>
    <definedName name="__123Graph_EEFF" localSheetId="16" hidden="1">#REF!</definedName>
    <definedName name="__123Graph_EEFF" localSheetId="17" hidden="1">#REF!</definedName>
    <definedName name="__123Graph_EEFF" localSheetId="19" hidden="1">#REF!</definedName>
    <definedName name="__123Graph_EEFF" localSheetId="20" hidden="1">#REF!</definedName>
    <definedName name="__123Graph_EEFF" localSheetId="21" hidden="1">#REF!</definedName>
    <definedName name="__123Graph_EEFF" localSheetId="7" hidden="1">#REF!</definedName>
    <definedName name="__123Graph_EEFF" hidden="1">#REF!</definedName>
    <definedName name="__123Graph_EEFFHIC" localSheetId="11" hidden="1">#REF!</definedName>
    <definedName name="__123Graph_EEFFHIC" localSheetId="12" hidden="1">#REF!</definedName>
    <definedName name="__123Graph_EEFFHIC" localSheetId="15" hidden="1">#REF!</definedName>
    <definedName name="__123Graph_EEFFHIC" localSheetId="16" hidden="1">#REF!</definedName>
    <definedName name="__123Graph_EEFFHIC" localSheetId="17" hidden="1">#REF!</definedName>
    <definedName name="__123Graph_EEFFHIC" localSheetId="19" hidden="1">#REF!</definedName>
    <definedName name="__123Graph_EEFFHIC" localSheetId="20" hidden="1">#REF!</definedName>
    <definedName name="__123Graph_EEFFHIC" localSheetId="21" hidden="1">#REF!</definedName>
    <definedName name="__123Graph_EEFFHIC" hidden="1">#REF!</definedName>
    <definedName name="__123Graph_EGR14PBF1" localSheetId="15" hidden="1">#REF!</definedName>
    <definedName name="__123Graph_EGR14PBF1" localSheetId="17" hidden="1">#REF!</definedName>
    <definedName name="__123Graph_EGR14PBF1" localSheetId="20" hidden="1">#REF!</definedName>
    <definedName name="__123Graph_EGR14PBF1" localSheetId="21" hidden="1">#REF!</definedName>
    <definedName name="__123Graph_EGR14PBF1" hidden="1">#REF!</definedName>
    <definedName name="__123Graph_ELBF" localSheetId="11" hidden="1">#REF!</definedName>
    <definedName name="__123Graph_ELBF" localSheetId="12" hidden="1">#REF!</definedName>
    <definedName name="__123Graph_ELBF" localSheetId="15" hidden="1">#REF!</definedName>
    <definedName name="__123Graph_ELBF" localSheetId="16" hidden="1">#REF!</definedName>
    <definedName name="__123Graph_ELBF" localSheetId="17" hidden="1">#REF!</definedName>
    <definedName name="__123Graph_ELBF" localSheetId="19" hidden="1">#REF!</definedName>
    <definedName name="__123Graph_ELBF" localSheetId="20" hidden="1">#REF!</definedName>
    <definedName name="__123Graph_ELBF" localSheetId="21" hidden="1">#REF!</definedName>
    <definedName name="__123Graph_ELBF" localSheetId="6" hidden="1">#REF!</definedName>
    <definedName name="__123Graph_ELBF" localSheetId="7" hidden="1">#REF!</definedName>
    <definedName name="__123Graph_ELBF" hidden="1">#REF!</definedName>
    <definedName name="__123Graph_EPIC" localSheetId="11" hidden="1">#REF!</definedName>
    <definedName name="__123Graph_EPIC" localSheetId="12" hidden="1">#REF!</definedName>
    <definedName name="__123Graph_EPIC" localSheetId="15" hidden="1">#REF!</definedName>
    <definedName name="__123Graph_EPIC" localSheetId="16" hidden="1">#REF!</definedName>
    <definedName name="__123Graph_EPIC" localSheetId="17" hidden="1">#REF!</definedName>
    <definedName name="__123Graph_EPIC" localSheetId="19" hidden="1">#REF!</definedName>
    <definedName name="__123Graph_EPIC" localSheetId="20" hidden="1">#REF!</definedName>
    <definedName name="__123Graph_EPIC" localSheetId="21" hidden="1">#REF!</definedName>
    <definedName name="__123Graph_EPIC" localSheetId="6" hidden="1">#REF!</definedName>
    <definedName name="__123Graph_EPIC" localSheetId="7" hidden="1">#REF!</definedName>
    <definedName name="__123Graph_EPIC" hidden="1">#REF!</definedName>
    <definedName name="__123Graph_FACT13BUD" localSheetId="11" hidden="1">#REF!</definedName>
    <definedName name="__123Graph_FACT13BUD" localSheetId="12" hidden="1">#REF!</definedName>
    <definedName name="__123Graph_FACT13BUD" localSheetId="15" hidden="1">#REF!</definedName>
    <definedName name="__123Graph_FACT13BUD" localSheetId="16" hidden="1">#REF!</definedName>
    <definedName name="__123Graph_FACT13BUD" localSheetId="17" hidden="1">#REF!</definedName>
    <definedName name="__123Graph_FACT13BUD" localSheetId="19" hidden="1">#REF!</definedName>
    <definedName name="__123Graph_FACT13BUD" localSheetId="20" hidden="1">#REF!</definedName>
    <definedName name="__123Graph_FACT13BUD" localSheetId="21" hidden="1">#REF!</definedName>
    <definedName name="__123Graph_FACT13BUD" localSheetId="7" hidden="1">#REF!</definedName>
    <definedName name="__123Graph_FACT13BUD" hidden="1">#REF!</definedName>
    <definedName name="__123Graph_FEFF" localSheetId="11" hidden="1">#REF!</definedName>
    <definedName name="__123Graph_FEFF" localSheetId="12" hidden="1">#REF!</definedName>
    <definedName name="__123Graph_FEFF" localSheetId="15" hidden="1">#REF!</definedName>
    <definedName name="__123Graph_FEFF" localSheetId="16" hidden="1">#REF!</definedName>
    <definedName name="__123Graph_FEFF" localSheetId="17" hidden="1">#REF!</definedName>
    <definedName name="__123Graph_FEFF" localSheetId="19" hidden="1">#REF!</definedName>
    <definedName name="__123Graph_FEFF" localSheetId="20" hidden="1">#REF!</definedName>
    <definedName name="__123Graph_FEFF" localSheetId="21" hidden="1">#REF!</definedName>
    <definedName name="__123Graph_FEFF" localSheetId="7" hidden="1">#REF!</definedName>
    <definedName name="__123Graph_FEFF" hidden="1">#REF!</definedName>
    <definedName name="__123Graph_FEFFHIC" localSheetId="11" hidden="1">#REF!</definedName>
    <definedName name="__123Graph_FEFFHIC" localSheetId="12" hidden="1">#REF!</definedName>
    <definedName name="__123Graph_FEFFHIC" localSheetId="15" hidden="1">#REF!</definedName>
    <definedName name="__123Graph_FEFFHIC" localSheetId="16" hidden="1">#REF!</definedName>
    <definedName name="__123Graph_FEFFHIC" localSheetId="17" hidden="1">#REF!</definedName>
    <definedName name="__123Graph_FEFFHIC" localSheetId="19" hidden="1">#REF!</definedName>
    <definedName name="__123Graph_FEFFHIC" localSheetId="20" hidden="1">#REF!</definedName>
    <definedName name="__123Graph_FEFFHIC" localSheetId="21" hidden="1">#REF!</definedName>
    <definedName name="__123Graph_FEFFHIC" hidden="1">#REF!</definedName>
    <definedName name="__123Graph_FGR14PBF1" localSheetId="15" hidden="1">#REF!</definedName>
    <definedName name="__123Graph_FGR14PBF1" localSheetId="17" hidden="1">#REF!</definedName>
    <definedName name="__123Graph_FGR14PBF1" localSheetId="20" hidden="1">#REF!</definedName>
    <definedName name="__123Graph_FGR14PBF1" localSheetId="21" hidden="1">#REF!</definedName>
    <definedName name="__123Graph_FGR14PBF1" hidden="1">#REF!</definedName>
    <definedName name="__123Graph_FLBF" localSheetId="11" hidden="1">#REF!</definedName>
    <definedName name="__123Graph_FLBF" localSheetId="12" hidden="1">#REF!</definedName>
    <definedName name="__123Graph_FLBF" localSheetId="15" hidden="1">#REF!</definedName>
    <definedName name="__123Graph_FLBF" localSheetId="16" hidden="1">#REF!</definedName>
    <definedName name="__123Graph_FLBF" localSheetId="17" hidden="1">#REF!</definedName>
    <definedName name="__123Graph_FLBF" localSheetId="19" hidden="1">#REF!</definedName>
    <definedName name="__123Graph_FLBF" localSheetId="20" hidden="1">#REF!</definedName>
    <definedName name="__123Graph_FLBF" localSheetId="21" hidden="1">#REF!</definedName>
    <definedName name="__123Graph_FLBF" localSheetId="6" hidden="1">#REF!</definedName>
    <definedName name="__123Graph_FLBF" localSheetId="7" hidden="1">#REF!</definedName>
    <definedName name="__123Graph_FLBF" hidden="1">#REF!</definedName>
    <definedName name="__123Graph_FPIC" localSheetId="11" hidden="1">#REF!</definedName>
    <definedName name="__123Graph_FPIC" localSheetId="12" hidden="1">#REF!</definedName>
    <definedName name="__123Graph_FPIC" localSheetId="15" hidden="1">#REF!</definedName>
    <definedName name="__123Graph_FPIC" localSheetId="16" hidden="1">#REF!</definedName>
    <definedName name="__123Graph_FPIC" localSheetId="17" hidden="1">#REF!</definedName>
    <definedName name="__123Graph_FPIC" localSheetId="19" hidden="1">#REF!</definedName>
    <definedName name="__123Graph_FPIC" localSheetId="20" hidden="1">#REF!</definedName>
    <definedName name="__123Graph_FPIC" localSheetId="21" hidden="1">#REF!</definedName>
    <definedName name="__123Graph_FPIC" localSheetId="6" hidden="1">#REF!</definedName>
    <definedName name="__123Graph_FPIC" localSheetId="7" hidden="1">#REF!</definedName>
    <definedName name="__123Graph_FPIC" hidden="1">#REF!</definedName>
    <definedName name="__123Graph_LBL_ARESID" localSheetId="15" hidden="1">#REF!</definedName>
    <definedName name="__123Graph_LBL_ARESID" localSheetId="17" hidden="1">#REF!</definedName>
    <definedName name="__123Graph_LBL_ARESID" localSheetId="20" hidden="1">#REF!</definedName>
    <definedName name="__123Graph_LBL_ARESID" localSheetId="21" hidden="1">#REF!</definedName>
    <definedName name="__123Graph_LBL_ARESID" hidden="1">#REF!</definedName>
    <definedName name="__123Graph_LBL_BRESID" localSheetId="15" hidden="1">#REF!</definedName>
    <definedName name="__123Graph_LBL_BRESID" localSheetId="17" hidden="1">#REF!</definedName>
    <definedName name="__123Graph_LBL_BRESID" localSheetId="20" hidden="1">#REF!</definedName>
    <definedName name="__123Graph_LBL_BRESID" localSheetId="21" hidden="1">#REF!</definedName>
    <definedName name="__123Graph_LBL_BRESID" hidden="1">#REF!</definedName>
    <definedName name="__123Graph_XACTHIC" localSheetId="11" hidden="1">#REF!</definedName>
    <definedName name="__123Graph_XACTHIC" localSheetId="12" hidden="1">#REF!</definedName>
    <definedName name="__123Graph_XACTHIC" localSheetId="15" hidden="1">#REF!</definedName>
    <definedName name="__123Graph_XACTHIC" localSheetId="16" hidden="1">#REF!</definedName>
    <definedName name="__123Graph_XACTHIC" localSheetId="17" hidden="1">#REF!</definedName>
    <definedName name="__123Graph_XACTHIC" localSheetId="19" hidden="1">#REF!</definedName>
    <definedName name="__123Graph_XACTHIC" localSheetId="20" hidden="1">#REF!</definedName>
    <definedName name="__123Graph_XACTHIC" localSheetId="21" hidden="1">#REF!</definedName>
    <definedName name="__123Graph_XACTHIC" localSheetId="6" hidden="1">#REF!</definedName>
    <definedName name="__123Graph_XACTHIC" localSheetId="7" hidden="1">#REF!</definedName>
    <definedName name="__123Graph_XACTHIC" hidden="1">#REF!</definedName>
    <definedName name="__123Graph_XCHGSPD1" localSheetId="15" hidden="1">#REF!</definedName>
    <definedName name="__123Graph_XCHGSPD1" localSheetId="17" hidden="1">#REF!</definedName>
    <definedName name="__123Graph_XCHGSPD1" localSheetId="20" hidden="1">#REF!</definedName>
    <definedName name="__123Graph_XCHGSPD1" localSheetId="21" hidden="1">#REF!</definedName>
    <definedName name="__123Graph_XCHGSPD1" hidden="1">#REF!</definedName>
    <definedName name="__123Graph_XCHGSPD2" localSheetId="15" hidden="1">#REF!</definedName>
    <definedName name="__123Graph_XCHGSPD2" localSheetId="17" hidden="1">#REF!</definedName>
    <definedName name="__123Graph_XCHGSPD2" localSheetId="20" hidden="1">#REF!</definedName>
    <definedName name="__123Graph_XCHGSPD2" localSheetId="21" hidden="1">#REF!</definedName>
    <definedName name="__123Graph_XCHGSPD2" hidden="1">#REF!</definedName>
    <definedName name="__123Graph_XEFF" localSheetId="11" hidden="1">#REF!</definedName>
    <definedName name="__123Graph_XEFF" localSheetId="12" hidden="1">#REF!</definedName>
    <definedName name="__123Graph_XEFF" localSheetId="15" hidden="1">#REF!</definedName>
    <definedName name="__123Graph_XEFF" localSheetId="16" hidden="1">#REF!</definedName>
    <definedName name="__123Graph_XEFF" localSheetId="17" hidden="1">#REF!</definedName>
    <definedName name="__123Graph_XEFF" localSheetId="19" hidden="1">#REF!</definedName>
    <definedName name="__123Graph_XEFF" localSheetId="20" hidden="1">#REF!</definedName>
    <definedName name="__123Graph_XEFF" localSheetId="21" hidden="1">#REF!</definedName>
    <definedName name="__123Graph_XEFF" localSheetId="6" hidden="1">#REF!</definedName>
    <definedName name="__123Graph_XEFF" localSheetId="7" hidden="1">#REF!</definedName>
    <definedName name="__123Graph_XEFF" hidden="1">#REF!</definedName>
    <definedName name="__123Graph_XGR14PBF1" localSheetId="15" hidden="1">#REF!</definedName>
    <definedName name="__123Graph_XGR14PBF1" localSheetId="17" hidden="1">#REF!</definedName>
    <definedName name="__123Graph_XGR14PBF1" localSheetId="20" hidden="1">#REF!</definedName>
    <definedName name="__123Graph_XGR14PBF1" localSheetId="21" hidden="1">#REF!</definedName>
    <definedName name="__123Graph_XGR14PBF1" hidden="1">#REF!</definedName>
    <definedName name="__123Graph_XLBF" localSheetId="11" hidden="1">#REF!</definedName>
    <definedName name="__123Graph_XLBF" localSheetId="12" hidden="1">#REF!</definedName>
    <definedName name="__123Graph_XLBF" localSheetId="15" hidden="1">#REF!</definedName>
    <definedName name="__123Graph_XLBF" localSheetId="16" hidden="1">#REF!</definedName>
    <definedName name="__123Graph_XLBF" localSheetId="17" hidden="1">#REF!</definedName>
    <definedName name="__123Graph_XLBF" localSheetId="19" hidden="1">#REF!</definedName>
    <definedName name="__123Graph_XLBF" localSheetId="20" hidden="1">#REF!</definedName>
    <definedName name="__123Graph_XLBF" localSheetId="21" hidden="1">#REF!</definedName>
    <definedName name="__123Graph_XLBF" localSheetId="6" hidden="1">#REF!</definedName>
    <definedName name="__123Graph_XLBF" localSheetId="7" hidden="1">#REF!</definedName>
    <definedName name="__123Graph_XLBF" hidden="1">#REF!</definedName>
    <definedName name="__123Graph_XLBFFIN2" localSheetId="15" hidden="1">#REF!</definedName>
    <definedName name="__123Graph_XLBFFIN2" localSheetId="17" hidden="1">#REF!</definedName>
    <definedName name="__123Graph_XLBFFIN2" localSheetId="20" hidden="1">#REF!</definedName>
    <definedName name="__123Graph_XLBFFIN2" localSheetId="21" hidden="1">#REF!</definedName>
    <definedName name="__123Graph_XLBFFIN2" hidden="1">#REF!</definedName>
    <definedName name="__123Graph_XLBFHIC" localSheetId="15" hidden="1">#REF!</definedName>
    <definedName name="__123Graph_XLBFHIC" localSheetId="17" hidden="1">#REF!</definedName>
    <definedName name="__123Graph_XLBFHIC" localSheetId="20" hidden="1">#REF!</definedName>
    <definedName name="__123Graph_XLBFHIC" localSheetId="21" hidden="1">#REF!</definedName>
    <definedName name="__123Graph_XLBFHIC" hidden="1">#REF!</definedName>
    <definedName name="__123Graph_XLBFHIC2" localSheetId="15" hidden="1">#REF!</definedName>
    <definedName name="__123Graph_XLBFHIC2" localSheetId="17" hidden="1">#REF!</definedName>
    <definedName name="__123Graph_XLBFHIC2" localSheetId="20" hidden="1">#REF!</definedName>
    <definedName name="__123Graph_XLBFHIC2" localSheetId="21" hidden="1">#REF!</definedName>
    <definedName name="__123Graph_XLBFHIC2" hidden="1">#REF!</definedName>
    <definedName name="__123Graph_XLCB" localSheetId="15" hidden="1">#REF!</definedName>
    <definedName name="__123Graph_XLCB" localSheetId="17" hidden="1">#REF!</definedName>
    <definedName name="__123Graph_XLCB" localSheetId="20" hidden="1">#REF!</definedName>
    <definedName name="__123Graph_XLCB" localSheetId="21" hidden="1">#REF!</definedName>
    <definedName name="__123Graph_XLCB" hidden="1">#REF!</definedName>
    <definedName name="__123Graph_XNACFIN" localSheetId="15" hidden="1">#REF!</definedName>
    <definedName name="__123Graph_XNACFIN" localSheetId="17" hidden="1">#REF!</definedName>
    <definedName name="__123Graph_XNACFIN" localSheetId="20" hidden="1">#REF!</definedName>
    <definedName name="__123Graph_XNACFIN" localSheetId="21" hidden="1">#REF!</definedName>
    <definedName name="__123Graph_XNACFIN" hidden="1">#REF!</definedName>
    <definedName name="__123Graph_XNACHIC" localSheetId="15" hidden="1">#REF!</definedName>
    <definedName name="__123Graph_XNACHIC" localSheetId="17" hidden="1">#REF!</definedName>
    <definedName name="__123Graph_XNACHIC" localSheetId="20" hidden="1">#REF!</definedName>
    <definedName name="__123Graph_XNACHIC" localSheetId="21" hidden="1">#REF!</definedName>
    <definedName name="__123Graph_XNACHIC" hidden="1">#REF!</definedName>
    <definedName name="__123Graph_XPIC" localSheetId="11" hidden="1">#REF!</definedName>
    <definedName name="__123Graph_XPIC" localSheetId="12" hidden="1">#REF!</definedName>
    <definedName name="__123Graph_XPIC" localSheetId="15" hidden="1">#REF!</definedName>
    <definedName name="__123Graph_XPIC" localSheetId="16" hidden="1">#REF!</definedName>
    <definedName name="__123Graph_XPIC" localSheetId="17" hidden="1">#REF!</definedName>
    <definedName name="__123Graph_XPIC" localSheetId="19" hidden="1">#REF!</definedName>
    <definedName name="__123Graph_XPIC" localSheetId="20" hidden="1">#REF!</definedName>
    <definedName name="__123Graph_XPIC" localSheetId="21" hidden="1">#REF!</definedName>
    <definedName name="__123Graph_XPIC" localSheetId="6" hidden="1">#REF!</definedName>
    <definedName name="__123Graph_XPIC" localSheetId="7" hidden="1">#REF!</definedName>
    <definedName name="__123Graph_XPIC" hidden="1">#REF!</definedName>
    <definedName name="_Regression_Out" localSheetId="11" hidden="1">#REF!</definedName>
    <definedName name="_Regression_Out" localSheetId="12" hidden="1">#REF!</definedName>
    <definedName name="_Regression_Out" localSheetId="15" hidden="1">#REF!</definedName>
    <definedName name="_Regression_Out" localSheetId="16" hidden="1">#REF!</definedName>
    <definedName name="_Regression_Out" localSheetId="17" hidden="1">#REF!</definedName>
    <definedName name="_Regression_Out" localSheetId="19" hidden="1">#REF!</definedName>
    <definedName name="_Regression_Out" localSheetId="20" hidden="1">#REF!</definedName>
    <definedName name="_Regression_Out" localSheetId="21" hidden="1">#REF!</definedName>
    <definedName name="_Regression_Out" localSheetId="6" hidden="1">#REF!</definedName>
    <definedName name="_Regression_Out" localSheetId="7" hidden="1">#REF!</definedName>
    <definedName name="_Regression_Out" hidden="1">#REF!</definedName>
    <definedName name="_Regression_X" localSheetId="11" hidden="1">#REF!</definedName>
    <definedName name="_Regression_X" localSheetId="12" hidden="1">#REF!</definedName>
    <definedName name="_Regression_X" localSheetId="15" hidden="1">#REF!</definedName>
    <definedName name="_Regression_X" localSheetId="16" hidden="1">#REF!</definedName>
    <definedName name="_Regression_X" localSheetId="17" hidden="1">#REF!</definedName>
    <definedName name="_Regression_X" localSheetId="19" hidden="1">#REF!</definedName>
    <definedName name="_Regression_X" localSheetId="20" hidden="1">#REF!</definedName>
    <definedName name="_Regression_X" localSheetId="21" hidden="1">#REF!</definedName>
    <definedName name="_Regression_X" localSheetId="6" hidden="1">#REF!</definedName>
    <definedName name="_Regression_X" localSheetId="7" hidden="1">#REF!</definedName>
    <definedName name="_Regression_X" hidden="1">#REF!</definedName>
    <definedName name="_Regression_Y" localSheetId="11" hidden="1">#REF!</definedName>
    <definedName name="_Regression_Y" localSheetId="12" hidden="1">#REF!</definedName>
    <definedName name="_Regression_Y" localSheetId="15" hidden="1">#REF!</definedName>
    <definedName name="_Regression_Y" localSheetId="16" hidden="1">#REF!</definedName>
    <definedName name="_Regression_Y" localSheetId="17" hidden="1">#REF!</definedName>
    <definedName name="_Regression_Y" localSheetId="19" hidden="1">#REF!</definedName>
    <definedName name="_Regression_Y" localSheetId="20" hidden="1">#REF!</definedName>
    <definedName name="_Regression_Y" localSheetId="21" hidden="1">#REF!</definedName>
    <definedName name="_Regression_Y" localSheetId="6" hidden="1">#REF!</definedName>
    <definedName name="_Regression_Y" localSheetId="7" hidden="1">#REF!</definedName>
    <definedName name="_Regression_Y" hidden="1">#REF!</definedName>
    <definedName name="asdas" localSheetId="1" hidden="1">{#N/A,#N/A,FALSE,"TMCOMP96";#N/A,#N/A,FALSE,"MAT96";#N/A,#N/A,FALSE,"FANDA96";#N/A,#N/A,FALSE,"INTRAN96";#N/A,#N/A,FALSE,"NAA9697";#N/A,#N/A,FALSE,"ECWEBB";#N/A,#N/A,FALSE,"MFT96";#N/A,#N/A,FALSE,"CTrecon"}</definedName>
    <definedName name="asdas" localSheetId="10" hidden="1">{#N/A,#N/A,FALSE,"TMCOMP96";#N/A,#N/A,FALSE,"MAT96";#N/A,#N/A,FALSE,"FANDA96";#N/A,#N/A,FALSE,"INTRAN96";#N/A,#N/A,FALSE,"NAA9697";#N/A,#N/A,FALSE,"ECWEBB";#N/A,#N/A,FALSE,"MFT96";#N/A,#N/A,FALSE,"CTrecon"}</definedName>
    <definedName name="asdas" localSheetId="11" hidden="1">{#N/A,#N/A,FALSE,"TMCOMP96";#N/A,#N/A,FALSE,"MAT96";#N/A,#N/A,FALSE,"FANDA96";#N/A,#N/A,FALSE,"INTRAN96";#N/A,#N/A,FALSE,"NAA9697";#N/A,#N/A,FALSE,"ECWEBB";#N/A,#N/A,FALSE,"MFT96";#N/A,#N/A,FALSE,"CTrecon"}</definedName>
    <definedName name="asdas" localSheetId="12" hidden="1">{#N/A,#N/A,FALSE,"TMCOMP96";#N/A,#N/A,FALSE,"MAT96";#N/A,#N/A,FALSE,"FANDA96";#N/A,#N/A,FALSE,"INTRAN96";#N/A,#N/A,FALSE,"NAA9697";#N/A,#N/A,FALSE,"ECWEBB";#N/A,#N/A,FALSE,"MFT96";#N/A,#N/A,FALSE,"CTrecon"}</definedName>
    <definedName name="asdas" localSheetId="13" hidden="1">{#N/A,#N/A,FALSE,"TMCOMP96";#N/A,#N/A,FALSE,"MAT96";#N/A,#N/A,FALSE,"FANDA96";#N/A,#N/A,FALSE,"INTRAN96";#N/A,#N/A,FALSE,"NAA9697";#N/A,#N/A,FALSE,"ECWEBB";#N/A,#N/A,FALSE,"MFT96";#N/A,#N/A,FALSE,"CTrecon"}</definedName>
    <definedName name="asdas" localSheetId="14" hidden="1">{#N/A,#N/A,FALSE,"TMCOMP96";#N/A,#N/A,FALSE,"MAT96";#N/A,#N/A,FALSE,"FANDA96";#N/A,#N/A,FALSE,"INTRAN96";#N/A,#N/A,FALSE,"NAA9697";#N/A,#N/A,FALSE,"ECWEBB";#N/A,#N/A,FALSE,"MFT96";#N/A,#N/A,FALSE,"CTrecon"}</definedName>
    <definedName name="asdas" localSheetId="15" hidden="1">{#N/A,#N/A,FALSE,"TMCOMP96";#N/A,#N/A,FALSE,"MAT96";#N/A,#N/A,FALSE,"FANDA96";#N/A,#N/A,FALSE,"INTRAN96";#N/A,#N/A,FALSE,"NAA9697";#N/A,#N/A,FALSE,"ECWEBB";#N/A,#N/A,FALSE,"MFT96";#N/A,#N/A,FALSE,"CTrecon"}</definedName>
    <definedName name="asdas" localSheetId="16" hidden="1">{#N/A,#N/A,FALSE,"TMCOMP96";#N/A,#N/A,FALSE,"MAT96";#N/A,#N/A,FALSE,"FANDA96";#N/A,#N/A,FALSE,"INTRAN96";#N/A,#N/A,FALSE,"NAA9697";#N/A,#N/A,FALSE,"ECWEBB";#N/A,#N/A,FALSE,"MFT96";#N/A,#N/A,FALSE,"CTrecon"}</definedName>
    <definedName name="asdas" localSheetId="17" hidden="1">{#N/A,#N/A,FALSE,"TMCOMP96";#N/A,#N/A,FALSE,"MAT96";#N/A,#N/A,FALSE,"FANDA96";#N/A,#N/A,FALSE,"INTRAN96";#N/A,#N/A,FALSE,"NAA9697";#N/A,#N/A,FALSE,"ECWEBB";#N/A,#N/A,FALSE,"MFT96";#N/A,#N/A,FALSE,"CTrecon"}</definedName>
    <definedName name="asdas" localSheetId="18" hidden="1">{#N/A,#N/A,FALSE,"TMCOMP96";#N/A,#N/A,FALSE,"MAT96";#N/A,#N/A,FALSE,"FANDA96";#N/A,#N/A,FALSE,"INTRAN96";#N/A,#N/A,FALSE,"NAA9697";#N/A,#N/A,FALSE,"ECWEBB";#N/A,#N/A,FALSE,"MFT96";#N/A,#N/A,FALSE,"CTrecon"}</definedName>
    <definedName name="asdas" localSheetId="19" hidden="1">{#N/A,#N/A,FALSE,"TMCOMP96";#N/A,#N/A,FALSE,"MAT96";#N/A,#N/A,FALSE,"FANDA96";#N/A,#N/A,FALSE,"INTRAN96";#N/A,#N/A,FALSE,"NAA9697";#N/A,#N/A,FALSE,"ECWEBB";#N/A,#N/A,FALSE,"MFT96";#N/A,#N/A,FALSE,"CTrecon"}</definedName>
    <definedName name="asdas" localSheetId="20" hidden="1">{#N/A,#N/A,FALSE,"TMCOMP96";#N/A,#N/A,FALSE,"MAT96";#N/A,#N/A,FALSE,"FANDA96";#N/A,#N/A,FALSE,"INTRAN96";#N/A,#N/A,FALSE,"NAA9697";#N/A,#N/A,FALSE,"ECWEBB";#N/A,#N/A,FALSE,"MFT96";#N/A,#N/A,FALSE,"CTrecon"}</definedName>
    <definedName name="asdas" localSheetId="21" hidden="1">{#N/A,#N/A,FALSE,"TMCOMP96";#N/A,#N/A,FALSE,"MAT96";#N/A,#N/A,FALSE,"FANDA96";#N/A,#N/A,FALSE,"INTRAN96";#N/A,#N/A,FALSE,"NAA9697";#N/A,#N/A,FALSE,"ECWEBB";#N/A,#N/A,FALSE,"MFT96";#N/A,#N/A,FALSE,"CTrecon"}</definedName>
    <definedName name="asdas" localSheetId="2" hidden="1">{#N/A,#N/A,FALSE,"TMCOMP96";#N/A,#N/A,FALSE,"MAT96";#N/A,#N/A,FALSE,"FANDA96";#N/A,#N/A,FALSE,"INTRAN96";#N/A,#N/A,FALSE,"NAA9697";#N/A,#N/A,FALSE,"ECWEBB";#N/A,#N/A,FALSE,"MFT96";#N/A,#N/A,FALSE,"CTrecon"}</definedName>
    <definedName name="asdas" localSheetId="3" hidden="1">{#N/A,#N/A,FALSE,"TMCOMP96";#N/A,#N/A,FALSE,"MAT96";#N/A,#N/A,FALSE,"FANDA96";#N/A,#N/A,FALSE,"INTRAN96";#N/A,#N/A,FALSE,"NAA9697";#N/A,#N/A,FALSE,"ECWEBB";#N/A,#N/A,FALSE,"MFT96";#N/A,#N/A,FALSE,"CTrecon"}</definedName>
    <definedName name="asdas" localSheetId="4" hidden="1">{#N/A,#N/A,FALSE,"TMCOMP96";#N/A,#N/A,FALSE,"MAT96";#N/A,#N/A,FALSE,"FANDA96";#N/A,#N/A,FALSE,"INTRAN96";#N/A,#N/A,FALSE,"NAA9697";#N/A,#N/A,FALSE,"ECWEBB";#N/A,#N/A,FALSE,"MFT96";#N/A,#N/A,FALSE,"CTrecon"}</definedName>
    <definedName name="asdas" localSheetId="5" hidden="1">{#N/A,#N/A,FALSE,"TMCOMP96";#N/A,#N/A,FALSE,"MAT96";#N/A,#N/A,FALSE,"FANDA96";#N/A,#N/A,FALSE,"INTRAN96";#N/A,#N/A,FALSE,"NAA9697";#N/A,#N/A,FALSE,"ECWEBB";#N/A,#N/A,FALSE,"MFT96";#N/A,#N/A,FALSE,"CTrecon"}</definedName>
    <definedName name="asdas" localSheetId="6" hidden="1">{#N/A,#N/A,FALSE,"TMCOMP96";#N/A,#N/A,FALSE,"MAT96";#N/A,#N/A,FALSE,"FANDA96";#N/A,#N/A,FALSE,"INTRAN96";#N/A,#N/A,FALSE,"NAA9697";#N/A,#N/A,FALSE,"ECWEBB";#N/A,#N/A,FALSE,"MFT96";#N/A,#N/A,FALSE,"CTrecon"}</definedName>
    <definedName name="asdas" localSheetId="7" hidden="1">{#N/A,#N/A,FALSE,"TMCOMP96";#N/A,#N/A,FALSE,"MAT96";#N/A,#N/A,FALSE,"FANDA96";#N/A,#N/A,FALSE,"INTRAN96";#N/A,#N/A,FALSE,"NAA9697";#N/A,#N/A,FALSE,"ECWEBB";#N/A,#N/A,FALSE,"MFT96";#N/A,#N/A,FALSE,"CTrecon"}</definedName>
    <definedName name="asdas" localSheetId="8" hidden="1">{#N/A,#N/A,FALSE,"TMCOMP96";#N/A,#N/A,FALSE,"MAT96";#N/A,#N/A,FALSE,"FANDA96";#N/A,#N/A,FALSE,"INTRAN96";#N/A,#N/A,FALSE,"NAA9697";#N/A,#N/A,FALSE,"ECWEBB";#N/A,#N/A,FALSE,"MFT96";#N/A,#N/A,FALSE,"CTrecon"}</definedName>
    <definedName name="asdas" localSheetId="9" hidden="1">{#N/A,#N/A,FALSE,"TMCOMP96";#N/A,#N/A,FALSE,"MAT96";#N/A,#N/A,FALSE,"FANDA96";#N/A,#N/A,FALSE,"INTRAN96";#N/A,#N/A,FALSE,"NAA9697";#N/A,#N/A,FALSE,"ECWEBB";#N/A,#N/A,FALSE,"MFT96";#N/A,#N/A,FALSE,"CTrecon"}</definedName>
    <definedName name="asdas" hidden="1">{#N/A,#N/A,FALSE,"TMCOMP96";#N/A,#N/A,FALSE,"MAT96";#N/A,#N/A,FALSE,"FANDA96";#N/A,#N/A,FALSE,"INTRAN96";#N/A,#N/A,FALSE,"NAA9697";#N/A,#N/A,FALSE,"ECWEBB";#N/A,#N/A,FALSE,"MFT96";#N/A,#N/A,FALSE,"CTrecon"}</definedName>
    <definedName name="BLPH1" hidden="1">#REF!</definedName>
    <definedName name="BLPH2" hidden="1">#REF!</definedName>
    <definedName name="BLPH3" hidden="1">#REF!</definedName>
    <definedName name="BLPH4" hidden="1">#REF!</definedName>
    <definedName name="BLPH5" hidden="1">#REF!</definedName>
    <definedName name="dgsgf" localSheetId="1" hidden="1">{#N/A,#N/A,FALSE,"TMCOMP96";#N/A,#N/A,FALSE,"MAT96";#N/A,#N/A,FALSE,"FANDA96";#N/A,#N/A,FALSE,"INTRAN96";#N/A,#N/A,FALSE,"NAA9697";#N/A,#N/A,FALSE,"ECWEBB";#N/A,#N/A,FALSE,"MFT96";#N/A,#N/A,FALSE,"CTrecon"}</definedName>
    <definedName name="dgsgf" localSheetId="10" hidden="1">{#N/A,#N/A,FALSE,"TMCOMP96";#N/A,#N/A,FALSE,"MAT96";#N/A,#N/A,FALSE,"FANDA96";#N/A,#N/A,FALSE,"INTRAN96";#N/A,#N/A,FALSE,"NAA9697";#N/A,#N/A,FALSE,"ECWEBB";#N/A,#N/A,FALSE,"MFT96";#N/A,#N/A,FALSE,"CTrecon"}</definedName>
    <definedName name="dgsgf" localSheetId="11" hidden="1">{#N/A,#N/A,FALSE,"TMCOMP96";#N/A,#N/A,FALSE,"MAT96";#N/A,#N/A,FALSE,"FANDA96";#N/A,#N/A,FALSE,"INTRAN96";#N/A,#N/A,FALSE,"NAA9697";#N/A,#N/A,FALSE,"ECWEBB";#N/A,#N/A,FALSE,"MFT96";#N/A,#N/A,FALSE,"CTrecon"}</definedName>
    <definedName name="dgsgf" localSheetId="12" hidden="1">{#N/A,#N/A,FALSE,"TMCOMP96";#N/A,#N/A,FALSE,"MAT96";#N/A,#N/A,FALSE,"FANDA96";#N/A,#N/A,FALSE,"INTRAN96";#N/A,#N/A,FALSE,"NAA9697";#N/A,#N/A,FALSE,"ECWEBB";#N/A,#N/A,FALSE,"MFT96";#N/A,#N/A,FALSE,"CTrecon"}</definedName>
    <definedName name="dgsgf" localSheetId="13" hidden="1">{#N/A,#N/A,FALSE,"TMCOMP96";#N/A,#N/A,FALSE,"MAT96";#N/A,#N/A,FALSE,"FANDA96";#N/A,#N/A,FALSE,"INTRAN96";#N/A,#N/A,FALSE,"NAA9697";#N/A,#N/A,FALSE,"ECWEBB";#N/A,#N/A,FALSE,"MFT96";#N/A,#N/A,FALSE,"CTrecon"}</definedName>
    <definedName name="dgsgf" localSheetId="14" hidden="1">{#N/A,#N/A,FALSE,"TMCOMP96";#N/A,#N/A,FALSE,"MAT96";#N/A,#N/A,FALSE,"FANDA96";#N/A,#N/A,FALSE,"INTRAN96";#N/A,#N/A,FALSE,"NAA9697";#N/A,#N/A,FALSE,"ECWEBB";#N/A,#N/A,FALSE,"MFT96";#N/A,#N/A,FALSE,"CTrecon"}</definedName>
    <definedName name="dgsgf" localSheetId="15" hidden="1">{#N/A,#N/A,FALSE,"TMCOMP96";#N/A,#N/A,FALSE,"MAT96";#N/A,#N/A,FALSE,"FANDA96";#N/A,#N/A,FALSE,"INTRAN96";#N/A,#N/A,FALSE,"NAA9697";#N/A,#N/A,FALSE,"ECWEBB";#N/A,#N/A,FALSE,"MFT96";#N/A,#N/A,FALSE,"CTrecon"}</definedName>
    <definedName name="dgsgf" localSheetId="16" hidden="1">{#N/A,#N/A,FALSE,"TMCOMP96";#N/A,#N/A,FALSE,"MAT96";#N/A,#N/A,FALSE,"FANDA96";#N/A,#N/A,FALSE,"INTRAN96";#N/A,#N/A,FALSE,"NAA9697";#N/A,#N/A,FALSE,"ECWEBB";#N/A,#N/A,FALSE,"MFT96";#N/A,#N/A,FALSE,"CTrecon"}</definedName>
    <definedName name="dgsgf" localSheetId="17" hidden="1">{#N/A,#N/A,FALSE,"TMCOMP96";#N/A,#N/A,FALSE,"MAT96";#N/A,#N/A,FALSE,"FANDA96";#N/A,#N/A,FALSE,"INTRAN96";#N/A,#N/A,FALSE,"NAA9697";#N/A,#N/A,FALSE,"ECWEBB";#N/A,#N/A,FALSE,"MFT96";#N/A,#N/A,FALSE,"CTrecon"}</definedName>
    <definedName name="dgsgf" localSheetId="18" hidden="1">{#N/A,#N/A,FALSE,"TMCOMP96";#N/A,#N/A,FALSE,"MAT96";#N/A,#N/A,FALSE,"FANDA96";#N/A,#N/A,FALSE,"INTRAN96";#N/A,#N/A,FALSE,"NAA9697";#N/A,#N/A,FALSE,"ECWEBB";#N/A,#N/A,FALSE,"MFT96";#N/A,#N/A,FALSE,"CTrecon"}</definedName>
    <definedName name="dgsgf" localSheetId="19" hidden="1">{#N/A,#N/A,FALSE,"TMCOMP96";#N/A,#N/A,FALSE,"MAT96";#N/A,#N/A,FALSE,"FANDA96";#N/A,#N/A,FALSE,"INTRAN96";#N/A,#N/A,FALSE,"NAA9697";#N/A,#N/A,FALSE,"ECWEBB";#N/A,#N/A,FALSE,"MFT96";#N/A,#N/A,FALSE,"CTrecon"}</definedName>
    <definedName name="dgsgf" localSheetId="20" hidden="1">{#N/A,#N/A,FALSE,"TMCOMP96";#N/A,#N/A,FALSE,"MAT96";#N/A,#N/A,FALSE,"FANDA96";#N/A,#N/A,FALSE,"INTRAN96";#N/A,#N/A,FALSE,"NAA9697";#N/A,#N/A,FALSE,"ECWEBB";#N/A,#N/A,FALSE,"MFT96";#N/A,#N/A,FALSE,"CTrecon"}</definedName>
    <definedName name="dgsgf" localSheetId="21" hidden="1">{#N/A,#N/A,FALSE,"TMCOMP96";#N/A,#N/A,FALSE,"MAT96";#N/A,#N/A,FALSE,"FANDA96";#N/A,#N/A,FALSE,"INTRAN96";#N/A,#N/A,FALSE,"NAA9697";#N/A,#N/A,FALSE,"ECWEBB";#N/A,#N/A,FALSE,"MFT96";#N/A,#N/A,FALSE,"CTrecon"}</definedName>
    <definedName name="dgsgf" localSheetId="2" hidden="1">{#N/A,#N/A,FALSE,"TMCOMP96";#N/A,#N/A,FALSE,"MAT96";#N/A,#N/A,FALSE,"FANDA96";#N/A,#N/A,FALSE,"INTRAN96";#N/A,#N/A,FALSE,"NAA9697";#N/A,#N/A,FALSE,"ECWEBB";#N/A,#N/A,FALSE,"MFT96";#N/A,#N/A,FALSE,"CTrecon"}</definedName>
    <definedName name="dgsgf" localSheetId="3" hidden="1">{#N/A,#N/A,FALSE,"TMCOMP96";#N/A,#N/A,FALSE,"MAT96";#N/A,#N/A,FALSE,"FANDA96";#N/A,#N/A,FALSE,"INTRAN96";#N/A,#N/A,FALSE,"NAA9697";#N/A,#N/A,FALSE,"ECWEBB";#N/A,#N/A,FALSE,"MFT96";#N/A,#N/A,FALSE,"CTrecon"}</definedName>
    <definedName name="dgsgf" localSheetId="4" hidden="1">{#N/A,#N/A,FALSE,"TMCOMP96";#N/A,#N/A,FALSE,"MAT96";#N/A,#N/A,FALSE,"FANDA96";#N/A,#N/A,FALSE,"INTRAN96";#N/A,#N/A,FALSE,"NAA9697";#N/A,#N/A,FALSE,"ECWEBB";#N/A,#N/A,FALSE,"MFT96";#N/A,#N/A,FALSE,"CTrecon"}</definedName>
    <definedName name="dgsgf" localSheetId="5" hidden="1">{#N/A,#N/A,FALSE,"TMCOMP96";#N/A,#N/A,FALSE,"MAT96";#N/A,#N/A,FALSE,"FANDA96";#N/A,#N/A,FALSE,"INTRAN96";#N/A,#N/A,FALSE,"NAA9697";#N/A,#N/A,FALSE,"ECWEBB";#N/A,#N/A,FALSE,"MFT96";#N/A,#N/A,FALSE,"CTrecon"}</definedName>
    <definedName name="dgsgf" localSheetId="6" hidden="1">{#N/A,#N/A,FALSE,"TMCOMP96";#N/A,#N/A,FALSE,"MAT96";#N/A,#N/A,FALSE,"FANDA96";#N/A,#N/A,FALSE,"INTRAN96";#N/A,#N/A,FALSE,"NAA9697";#N/A,#N/A,FALSE,"ECWEBB";#N/A,#N/A,FALSE,"MFT96";#N/A,#N/A,FALSE,"CTrecon"}</definedName>
    <definedName name="dgsgf" localSheetId="7" hidden="1">{#N/A,#N/A,FALSE,"TMCOMP96";#N/A,#N/A,FALSE,"MAT96";#N/A,#N/A,FALSE,"FANDA96";#N/A,#N/A,FALSE,"INTRAN96";#N/A,#N/A,FALSE,"NAA9697";#N/A,#N/A,FALSE,"ECWEBB";#N/A,#N/A,FALSE,"MFT96";#N/A,#N/A,FALSE,"CTrecon"}</definedName>
    <definedName name="dgsgf" localSheetId="8" hidden="1">{#N/A,#N/A,FALSE,"TMCOMP96";#N/A,#N/A,FALSE,"MAT96";#N/A,#N/A,FALSE,"FANDA96";#N/A,#N/A,FALSE,"INTRAN96";#N/A,#N/A,FALSE,"NAA9697";#N/A,#N/A,FALSE,"ECWEBB";#N/A,#N/A,FALSE,"MFT96";#N/A,#N/A,FALSE,"CTrecon"}</definedName>
    <definedName name="dgsgf" localSheetId="9" hidden="1">{#N/A,#N/A,FALSE,"TMCOMP96";#N/A,#N/A,FALSE,"MAT96";#N/A,#N/A,FALSE,"FANDA96";#N/A,#N/A,FALSE,"INTRAN96";#N/A,#N/A,FALSE,"NAA9697";#N/A,#N/A,FALSE,"ECWEBB";#N/A,#N/A,FALSE,"MFT96";#N/A,#N/A,FALSE,"CTrecon"}</definedName>
    <definedName name="dgsgf" hidden="1">{#N/A,#N/A,FALSE,"TMCOMP96";#N/A,#N/A,FALSE,"MAT96";#N/A,#N/A,FALSE,"FANDA96";#N/A,#N/A,FALSE,"INTRAN96";#N/A,#N/A,FALSE,"NAA9697";#N/A,#N/A,FALSE,"ECWEBB";#N/A,#N/A,FALSE,"MFT96";#N/A,#N/A,FALSE,"CTrecon"}</definedName>
    <definedName name="Distribution" localSheetId="11" hidden="1">#REF!</definedName>
    <definedName name="Distribution" localSheetId="12" hidden="1">#REF!</definedName>
    <definedName name="Distribution" localSheetId="15" hidden="1">#REF!</definedName>
    <definedName name="Distribution" localSheetId="16" hidden="1">#REF!</definedName>
    <definedName name="Distribution" localSheetId="17" hidden="1">#REF!</definedName>
    <definedName name="Distribution" localSheetId="19" hidden="1">#REF!</definedName>
    <definedName name="Distribution" localSheetId="20" hidden="1">#REF!</definedName>
    <definedName name="Distribution" localSheetId="21" hidden="1">#REF!</definedName>
    <definedName name="Distribution" localSheetId="6" hidden="1">#REF!</definedName>
    <definedName name="Distribution" localSheetId="7" hidden="1">#REF!</definedName>
    <definedName name="Distribution" hidden="1">#REF!</definedName>
    <definedName name="ExtraProfiles" localSheetId="11" hidden="1">#REF!</definedName>
    <definedName name="ExtraProfiles" localSheetId="12" hidden="1">#REF!</definedName>
    <definedName name="ExtraProfiles" localSheetId="15" hidden="1">#REF!</definedName>
    <definedName name="ExtraProfiles" localSheetId="16" hidden="1">#REF!</definedName>
    <definedName name="ExtraProfiles" localSheetId="17" hidden="1">#REF!</definedName>
    <definedName name="ExtraProfiles" localSheetId="19" hidden="1">#REF!</definedName>
    <definedName name="ExtraProfiles" localSheetId="20" hidden="1">#REF!</definedName>
    <definedName name="ExtraProfiles" localSheetId="21" hidden="1">#REF!</definedName>
    <definedName name="ExtraProfiles" localSheetId="6" hidden="1">#REF!</definedName>
    <definedName name="ExtraProfiles" localSheetId="7" hidden="1">#REF!</definedName>
    <definedName name="ExtraProfiles" hidden="1">#REF!</definedName>
    <definedName name="fg" localSheetId="1" hidden="1">{#N/A,#N/A,FALSE,"TMCOMP96";#N/A,#N/A,FALSE,"MAT96";#N/A,#N/A,FALSE,"FANDA96";#N/A,#N/A,FALSE,"INTRAN96";#N/A,#N/A,FALSE,"NAA9697";#N/A,#N/A,FALSE,"ECWEBB";#N/A,#N/A,FALSE,"MFT96";#N/A,#N/A,FALSE,"CTrecon"}</definedName>
    <definedName name="fg" localSheetId="10" hidden="1">{#N/A,#N/A,FALSE,"TMCOMP96";#N/A,#N/A,FALSE,"MAT96";#N/A,#N/A,FALSE,"FANDA96";#N/A,#N/A,FALSE,"INTRAN96";#N/A,#N/A,FALSE,"NAA9697";#N/A,#N/A,FALSE,"ECWEBB";#N/A,#N/A,FALSE,"MFT96";#N/A,#N/A,FALSE,"CTrecon"}</definedName>
    <definedName name="fg" localSheetId="11" hidden="1">{#N/A,#N/A,FALSE,"TMCOMP96";#N/A,#N/A,FALSE,"MAT96";#N/A,#N/A,FALSE,"FANDA96";#N/A,#N/A,FALSE,"INTRAN96";#N/A,#N/A,FALSE,"NAA9697";#N/A,#N/A,FALSE,"ECWEBB";#N/A,#N/A,FALSE,"MFT96";#N/A,#N/A,FALSE,"CTrecon"}</definedName>
    <definedName name="fg" localSheetId="12" hidden="1">{#N/A,#N/A,FALSE,"TMCOMP96";#N/A,#N/A,FALSE,"MAT96";#N/A,#N/A,FALSE,"FANDA96";#N/A,#N/A,FALSE,"INTRAN96";#N/A,#N/A,FALSE,"NAA9697";#N/A,#N/A,FALSE,"ECWEBB";#N/A,#N/A,FALSE,"MFT96";#N/A,#N/A,FALSE,"CTrecon"}</definedName>
    <definedName name="fg" localSheetId="13" hidden="1">{#N/A,#N/A,FALSE,"TMCOMP96";#N/A,#N/A,FALSE,"MAT96";#N/A,#N/A,FALSE,"FANDA96";#N/A,#N/A,FALSE,"INTRAN96";#N/A,#N/A,FALSE,"NAA9697";#N/A,#N/A,FALSE,"ECWEBB";#N/A,#N/A,FALSE,"MFT96";#N/A,#N/A,FALSE,"CTrecon"}</definedName>
    <definedName name="fg" localSheetId="14" hidden="1">{#N/A,#N/A,FALSE,"TMCOMP96";#N/A,#N/A,FALSE,"MAT96";#N/A,#N/A,FALSE,"FANDA96";#N/A,#N/A,FALSE,"INTRAN96";#N/A,#N/A,FALSE,"NAA9697";#N/A,#N/A,FALSE,"ECWEBB";#N/A,#N/A,FALSE,"MFT96";#N/A,#N/A,FALSE,"CTrecon"}</definedName>
    <definedName name="fg" localSheetId="15" hidden="1">{#N/A,#N/A,FALSE,"TMCOMP96";#N/A,#N/A,FALSE,"MAT96";#N/A,#N/A,FALSE,"FANDA96";#N/A,#N/A,FALSE,"INTRAN96";#N/A,#N/A,FALSE,"NAA9697";#N/A,#N/A,FALSE,"ECWEBB";#N/A,#N/A,FALSE,"MFT96";#N/A,#N/A,FALSE,"CTrecon"}</definedName>
    <definedName name="fg" localSheetId="16" hidden="1">{#N/A,#N/A,FALSE,"TMCOMP96";#N/A,#N/A,FALSE,"MAT96";#N/A,#N/A,FALSE,"FANDA96";#N/A,#N/A,FALSE,"INTRAN96";#N/A,#N/A,FALSE,"NAA9697";#N/A,#N/A,FALSE,"ECWEBB";#N/A,#N/A,FALSE,"MFT96";#N/A,#N/A,FALSE,"CTrecon"}</definedName>
    <definedName name="fg" localSheetId="17" hidden="1">{#N/A,#N/A,FALSE,"TMCOMP96";#N/A,#N/A,FALSE,"MAT96";#N/A,#N/A,FALSE,"FANDA96";#N/A,#N/A,FALSE,"INTRAN96";#N/A,#N/A,FALSE,"NAA9697";#N/A,#N/A,FALSE,"ECWEBB";#N/A,#N/A,FALSE,"MFT96";#N/A,#N/A,FALSE,"CTrecon"}</definedName>
    <definedName name="fg" localSheetId="18" hidden="1">{#N/A,#N/A,FALSE,"TMCOMP96";#N/A,#N/A,FALSE,"MAT96";#N/A,#N/A,FALSE,"FANDA96";#N/A,#N/A,FALSE,"INTRAN96";#N/A,#N/A,FALSE,"NAA9697";#N/A,#N/A,FALSE,"ECWEBB";#N/A,#N/A,FALSE,"MFT96";#N/A,#N/A,FALSE,"CTrecon"}</definedName>
    <definedName name="fg" localSheetId="19" hidden="1">{#N/A,#N/A,FALSE,"TMCOMP96";#N/A,#N/A,FALSE,"MAT96";#N/A,#N/A,FALSE,"FANDA96";#N/A,#N/A,FALSE,"INTRAN96";#N/A,#N/A,FALSE,"NAA9697";#N/A,#N/A,FALSE,"ECWEBB";#N/A,#N/A,FALSE,"MFT96";#N/A,#N/A,FALSE,"CTrecon"}</definedName>
    <definedName name="fg" localSheetId="20" hidden="1">{#N/A,#N/A,FALSE,"TMCOMP96";#N/A,#N/A,FALSE,"MAT96";#N/A,#N/A,FALSE,"FANDA96";#N/A,#N/A,FALSE,"INTRAN96";#N/A,#N/A,FALSE,"NAA9697";#N/A,#N/A,FALSE,"ECWEBB";#N/A,#N/A,FALSE,"MFT96";#N/A,#N/A,FALSE,"CTrecon"}</definedName>
    <definedName name="fg" localSheetId="21" hidden="1">{#N/A,#N/A,FALSE,"TMCOMP96";#N/A,#N/A,FALSE,"MAT96";#N/A,#N/A,FALSE,"FANDA96";#N/A,#N/A,FALSE,"INTRAN96";#N/A,#N/A,FALSE,"NAA9697";#N/A,#N/A,FALSE,"ECWEBB";#N/A,#N/A,FALSE,"MFT96";#N/A,#N/A,FALSE,"CTrecon"}</definedName>
    <definedName name="fg" localSheetId="2" hidden="1">{#N/A,#N/A,FALSE,"TMCOMP96";#N/A,#N/A,FALSE,"MAT96";#N/A,#N/A,FALSE,"FANDA96";#N/A,#N/A,FALSE,"INTRAN96";#N/A,#N/A,FALSE,"NAA9697";#N/A,#N/A,FALSE,"ECWEBB";#N/A,#N/A,FALSE,"MFT96";#N/A,#N/A,FALSE,"CTrecon"}</definedName>
    <definedName name="fg" localSheetId="3" hidden="1">{#N/A,#N/A,FALSE,"TMCOMP96";#N/A,#N/A,FALSE,"MAT96";#N/A,#N/A,FALSE,"FANDA96";#N/A,#N/A,FALSE,"INTRAN96";#N/A,#N/A,FALSE,"NAA9697";#N/A,#N/A,FALSE,"ECWEBB";#N/A,#N/A,FALSE,"MFT96";#N/A,#N/A,FALSE,"CTrecon"}</definedName>
    <definedName name="fg" localSheetId="4" hidden="1">{#N/A,#N/A,FALSE,"TMCOMP96";#N/A,#N/A,FALSE,"MAT96";#N/A,#N/A,FALSE,"FANDA96";#N/A,#N/A,FALSE,"INTRAN96";#N/A,#N/A,FALSE,"NAA9697";#N/A,#N/A,FALSE,"ECWEBB";#N/A,#N/A,FALSE,"MFT96";#N/A,#N/A,FALSE,"CTrecon"}</definedName>
    <definedName name="fg" localSheetId="5" hidden="1">{#N/A,#N/A,FALSE,"TMCOMP96";#N/A,#N/A,FALSE,"MAT96";#N/A,#N/A,FALSE,"FANDA96";#N/A,#N/A,FALSE,"INTRAN96";#N/A,#N/A,FALSE,"NAA9697";#N/A,#N/A,FALSE,"ECWEBB";#N/A,#N/A,FALSE,"MFT96";#N/A,#N/A,FALSE,"CTrecon"}</definedName>
    <definedName name="fg" localSheetId="6" hidden="1">{#N/A,#N/A,FALSE,"TMCOMP96";#N/A,#N/A,FALSE,"MAT96";#N/A,#N/A,FALSE,"FANDA96";#N/A,#N/A,FALSE,"INTRAN96";#N/A,#N/A,FALSE,"NAA9697";#N/A,#N/A,FALSE,"ECWEBB";#N/A,#N/A,FALSE,"MFT96";#N/A,#N/A,FALSE,"CTrecon"}</definedName>
    <definedName name="fg" localSheetId="7" hidden="1">{#N/A,#N/A,FALSE,"TMCOMP96";#N/A,#N/A,FALSE,"MAT96";#N/A,#N/A,FALSE,"FANDA96";#N/A,#N/A,FALSE,"INTRAN96";#N/A,#N/A,FALSE,"NAA9697";#N/A,#N/A,FALSE,"ECWEBB";#N/A,#N/A,FALSE,"MFT96";#N/A,#N/A,FALSE,"CTrecon"}</definedName>
    <definedName name="fg" localSheetId="8" hidden="1">{#N/A,#N/A,FALSE,"TMCOMP96";#N/A,#N/A,FALSE,"MAT96";#N/A,#N/A,FALSE,"FANDA96";#N/A,#N/A,FALSE,"INTRAN96";#N/A,#N/A,FALSE,"NAA9697";#N/A,#N/A,FALSE,"ECWEBB";#N/A,#N/A,FALSE,"MFT96";#N/A,#N/A,FALSE,"CTrecon"}</definedName>
    <definedName name="fg" localSheetId="9"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localSheetId="1" hidden="1">{#N/A,#N/A,FALSE,"TMCOMP96";#N/A,#N/A,FALSE,"MAT96";#N/A,#N/A,FALSE,"FANDA96";#N/A,#N/A,FALSE,"INTRAN96";#N/A,#N/A,FALSE,"NAA9697";#N/A,#N/A,FALSE,"ECWEBB";#N/A,#N/A,FALSE,"MFT96";#N/A,#N/A,FALSE,"CTrecon"}</definedName>
    <definedName name="fgfd" localSheetId="10" hidden="1">{#N/A,#N/A,FALSE,"TMCOMP96";#N/A,#N/A,FALSE,"MAT96";#N/A,#N/A,FALSE,"FANDA96";#N/A,#N/A,FALSE,"INTRAN96";#N/A,#N/A,FALSE,"NAA9697";#N/A,#N/A,FALSE,"ECWEBB";#N/A,#N/A,FALSE,"MFT96";#N/A,#N/A,FALSE,"CTrecon"}</definedName>
    <definedName name="fgfd" localSheetId="11" hidden="1">{#N/A,#N/A,FALSE,"TMCOMP96";#N/A,#N/A,FALSE,"MAT96";#N/A,#N/A,FALSE,"FANDA96";#N/A,#N/A,FALSE,"INTRAN96";#N/A,#N/A,FALSE,"NAA9697";#N/A,#N/A,FALSE,"ECWEBB";#N/A,#N/A,FALSE,"MFT96";#N/A,#N/A,FALSE,"CTrecon"}</definedName>
    <definedName name="fgfd" localSheetId="12" hidden="1">{#N/A,#N/A,FALSE,"TMCOMP96";#N/A,#N/A,FALSE,"MAT96";#N/A,#N/A,FALSE,"FANDA96";#N/A,#N/A,FALSE,"INTRAN96";#N/A,#N/A,FALSE,"NAA9697";#N/A,#N/A,FALSE,"ECWEBB";#N/A,#N/A,FALSE,"MFT96";#N/A,#N/A,FALSE,"CTrecon"}</definedName>
    <definedName name="fgfd" localSheetId="13" hidden="1">{#N/A,#N/A,FALSE,"TMCOMP96";#N/A,#N/A,FALSE,"MAT96";#N/A,#N/A,FALSE,"FANDA96";#N/A,#N/A,FALSE,"INTRAN96";#N/A,#N/A,FALSE,"NAA9697";#N/A,#N/A,FALSE,"ECWEBB";#N/A,#N/A,FALSE,"MFT96";#N/A,#N/A,FALSE,"CTrecon"}</definedName>
    <definedName name="fgfd" localSheetId="14" hidden="1">{#N/A,#N/A,FALSE,"TMCOMP96";#N/A,#N/A,FALSE,"MAT96";#N/A,#N/A,FALSE,"FANDA96";#N/A,#N/A,FALSE,"INTRAN96";#N/A,#N/A,FALSE,"NAA9697";#N/A,#N/A,FALSE,"ECWEBB";#N/A,#N/A,FALSE,"MFT96";#N/A,#N/A,FALSE,"CTrecon"}</definedName>
    <definedName name="fgfd" localSheetId="15" hidden="1">{#N/A,#N/A,FALSE,"TMCOMP96";#N/A,#N/A,FALSE,"MAT96";#N/A,#N/A,FALSE,"FANDA96";#N/A,#N/A,FALSE,"INTRAN96";#N/A,#N/A,FALSE,"NAA9697";#N/A,#N/A,FALSE,"ECWEBB";#N/A,#N/A,FALSE,"MFT96";#N/A,#N/A,FALSE,"CTrecon"}</definedName>
    <definedName name="fgfd" localSheetId="16" hidden="1">{#N/A,#N/A,FALSE,"TMCOMP96";#N/A,#N/A,FALSE,"MAT96";#N/A,#N/A,FALSE,"FANDA96";#N/A,#N/A,FALSE,"INTRAN96";#N/A,#N/A,FALSE,"NAA9697";#N/A,#N/A,FALSE,"ECWEBB";#N/A,#N/A,FALSE,"MFT96";#N/A,#N/A,FALSE,"CTrecon"}</definedName>
    <definedName name="fgfd" localSheetId="17" hidden="1">{#N/A,#N/A,FALSE,"TMCOMP96";#N/A,#N/A,FALSE,"MAT96";#N/A,#N/A,FALSE,"FANDA96";#N/A,#N/A,FALSE,"INTRAN96";#N/A,#N/A,FALSE,"NAA9697";#N/A,#N/A,FALSE,"ECWEBB";#N/A,#N/A,FALSE,"MFT96";#N/A,#N/A,FALSE,"CTrecon"}</definedName>
    <definedName name="fgfd" localSheetId="18" hidden="1">{#N/A,#N/A,FALSE,"TMCOMP96";#N/A,#N/A,FALSE,"MAT96";#N/A,#N/A,FALSE,"FANDA96";#N/A,#N/A,FALSE,"INTRAN96";#N/A,#N/A,FALSE,"NAA9697";#N/A,#N/A,FALSE,"ECWEBB";#N/A,#N/A,FALSE,"MFT96";#N/A,#N/A,FALSE,"CTrecon"}</definedName>
    <definedName name="fgfd" localSheetId="19" hidden="1">{#N/A,#N/A,FALSE,"TMCOMP96";#N/A,#N/A,FALSE,"MAT96";#N/A,#N/A,FALSE,"FANDA96";#N/A,#N/A,FALSE,"INTRAN96";#N/A,#N/A,FALSE,"NAA9697";#N/A,#N/A,FALSE,"ECWEBB";#N/A,#N/A,FALSE,"MFT96";#N/A,#N/A,FALSE,"CTrecon"}</definedName>
    <definedName name="fgfd" localSheetId="20" hidden="1">{#N/A,#N/A,FALSE,"TMCOMP96";#N/A,#N/A,FALSE,"MAT96";#N/A,#N/A,FALSE,"FANDA96";#N/A,#N/A,FALSE,"INTRAN96";#N/A,#N/A,FALSE,"NAA9697";#N/A,#N/A,FALSE,"ECWEBB";#N/A,#N/A,FALSE,"MFT96";#N/A,#N/A,FALSE,"CTrecon"}</definedName>
    <definedName name="fgfd" localSheetId="21" hidden="1">{#N/A,#N/A,FALSE,"TMCOMP96";#N/A,#N/A,FALSE,"MAT96";#N/A,#N/A,FALSE,"FANDA96";#N/A,#N/A,FALSE,"INTRAN96";#N/A,#N/A,FALSE,"NAA9697";#N/A,#N/A,FALSE,"ECWEBB";#N/A,#N/A,FALSE,"MFT96";#N/A,#N/A,FALSE,"CTrecon"}</definedName>
    <definedName name="fgfd" localSheetId="2" hidden="1">{#N/A,#N/A,FALSE,"TMCOMP96";#N/A,#N/A,FALSE,"MAT96";#N/A,#N/A,FALSE,"FANDA96";#N/A,#N/A,FALSE,"INTRAN96";#N/A,#N/A,FALSE,"NAA9697";#N/A,#N/A,FALSE,"ECWEBB";#N/A,#N/A,FALSE,"MFT96";#N/A,#N/A,FALSE,"CTrecon"}</definedName>
    <definedName name="fgfd" localSheetId="3" hidden="1">{#N/A,#N/A,FALSE,"TMCOMP96";#N/A,#N/A,FALSE,"MAT96";#N/A,#N/A,FALSE,"FANDA96";#N/A,#N/A,FALSE,"INTRAN96";#N/A,#N/A,FALSE,"NAA9697";#N/A,#N/A,FALSE,"ECWEBB";#N/A,#N/A,FALSE,"MFT96";#N/A,#N/A,FALSE,"CTrecon"}</definedName>
    <definedName name="fgfd" localSheetId="4" hidden="1">{#N/A,#N/A,FALSE,"TMCOMP96";#N/A,#N/A,FALSE,"MAT96";#N/A,#N/A,FALSE,"FANDA96";#N/A,#N/A,FALSE,"INTRAN96";#N/A,#N/A,FALSE,"NAA9697";#N/A,#N/A,FALSE,"ECWEBB";#N/A,#N/A,FALSE,"MFT96";#N/A,#N/A,FALSE,"CTrecon"}</definedName>
    <definedName name="fgfd" localSheetId="5" hidden="1">{#N/A,#N/A,FALSE,"TMCOMP96";#N/A,#N/A,FALSE,"MAT96";#N/A,#N/A,FALSE,"FANDA96";#N/A,#N/A,FALSE,"INTRAN96";#N/A,#N/A,FALSE,"NAA9697";#N/A,#N/A,FALSE,"ECWEBB";#N/A,#N/A,FALSE,"MFT96";#N/A,#N/A,FALSE,"CTrecon"}</definedName>
    <definedName name="fgfd" localSheetId="6" hidden="1">{#N/A,#N/A,FALSE,"TMCOMP96";#N/A,#N/A,FALSE,"MAT96";#N/A,#N/A,FALSE,"FANDA96";#N/A,#N/A,FALSE,"INTRAN96";#N/A,#N/A,FALSE,"NAA9697";#N/A,#N/A,FALSE,"ECWEBB";#N/A,#N/A,FALSE,"MFT96";#N/A,#N/A,FALSE,"CTrecon"}</definedName>
    <definedName name="fgfd" localSheetId="7" hidden="1">{#N/A,#N/A,FALSE,"TMCOMP96";#N/A,#N/A,FALSE,"MAT96";#N/A,#N/A,FALSE,"FANDA96";#N/A,#N/A,FALSE,"INTRAN96";#N/A,#N/A,FALSE,"NAA9697";#N/A,#N/A,FALSE,"ECWEBB";#N/A,#N/A,FALSE,"MFT96";#N/A,#N/A,FALSE,"CTrecon"}</definedName>
    <definedName name="fgfd" localSheetId="8" hidden="1">{#N/A,#N/A,FALSE,"TMCOMP96";#N/A,#N/A,FALSE,"MAT96";#N/A,#N/A,FALSE,"FANDA96";#N/A,#N/A,FALSE,"INTRAN96";#N/A,#N/A,FALSE,"NAA9697";#N/A,#N/A,FALSE,"ECWEBB";#N/A,#N/A,FALSE,"MFT96";#N/A,#N/A,FALSE,"CTrecon"}</definedName>
    <definedName name="fgfd" localSheetId="9"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localSheetId="1" hidden="1">{#N/A,#N/A,FALSE,"TMCOMP96";#N/A,#N/A,FALSE,"MAT96";#N/A,#N/A,FALSE,"FANDA96";#N/A,#N/A,FALSE,"INTRAN96";#N/A,#N/A,FALSE,"NAA9697";#N/A,#N/A,FALSE,"ECWEBB";#N/A,#N/A,FALSE,"MFT96";#N/A,#N/A,FALSE,"CTrecon"}</definedName>
    <definedName name="ghj" localSheetId="10" hidden="1">{#N/A,#N/A,FALSE,"TMCOMP96";#N/A,#N/A,FALSE,"MAT96";#N/A,#N/A,FALSE,"FANDA96";#N/A,#N/A,FALSE,"INTRAN96";#N/A,#N/A,FALSE,"NAA9697";#N/A,#N/A,FALSE,"ECWEBB";#N/A,#N/A,FALSE,"MFT96";#N/A,#N/A,FALSE,"CTrecon"}</definedName>
    <definedName name="ghj" localSheetId="11" hidden="1">{#N/A,#N/A,FALSE,"TMCOMP96";#N/A,#N/A,FALSE,"MAT96";#N/A,#N/A,FALSE,"FANDA96";#N/A,#N/A,FALSE,"INTRAN96";#N/A,#N/A,FALSE,"NAA9697";#N/A,#N/A,FALSE,"ECWEBB";#N/A,#N/A,FALSE,"MFT96";#N/A,#N/A,FALSE,"CTrecon"}</definedName>
    <definedName name="ghj" localSheetId="12" hidden="1">{#N/A,#N/A,FALSE,"TMCOMP96";#N/A,#N/A,FALSE,"MAT96";#N/A,#N/A,FALSE,"FANDA96";#N/A,#N/A,FALSE,"INTRAN96";#N/A,#N/A,FALSE,"NAA9697";#N/A,#N/A,FALSE,"ECWEBB";#N/A,#N/A,FALSE,"MFT96";#N/A,#N/A,FALSE,"CTrecon"}</definedName>
    <definedName name="ghj" localSheetId="13" hidden="1">{#N/A,#N/A,FALSE,"TMCOMP96";#N/A,#N/A,FALSE,"MAT96";#N/A,#N/A,FALSE,"FANDA96";#N/A,#N/A,FALSE,"INTRAN96";#N/A,#N/A,FALSE,"NAA9697";#N/A,#N/A,FALSE,"ECWEBB";#N/A,#N/A,FALSE,"MFT96";#N/A,#N/A,FALSE,"CTrecon"}</definedName>
    <definedName name="ghj" localSheetId="14" hidden="1">{#N/A,#N/A,FALSE,"TMCOMP96";#N/A,#N/A,FALSE,"MAT96";#N/A,#N/A,FALSE,"FANDA96";#N/A,#N/A,FALSE,"INTRAN96";#N/A,#N/A,FALSE,"NAA9697";#N/A,#N/A,FALSE,"ECWEBB";#N/A,#N/A,FALSE,"MFT96";#N/A,#N/A,FALSE,"CTrecon"}</definedName>
    <definedName name="ghj" localSheetId="15" hidden="1">{#N/A,#N/A,FALSE,"TMCOMP96";#N/A,#N/A,FALSE,"MAT96";#N/A,#N/A,FALSE,"FANDA96";#N/A,#N/A,FALSE,"INTRAN96";#N/A,#N/A,FALSE,"NAA9697";#N/A,#N/A,FALSE,"ECWEBB";#N/A,#N/A,FALSE,"MFT96";#N/A,#N/A,FALSE,"CTrecon"}</definedName>
    <definedName name="ghj" localSheetId="16" hidden="1">{#N/A,#N/A,FALSE,"TMCOMP96";#N/A,#N/A,FALSE,"MAT96";#N/A,#N/A,FALSE,"FANDA96";#N/A,#N/A,FALSE,"INTRAN96";#N/A,#N/A,FALSE,"NAA9697";#N/A,#N/A,FALSE,"ECWEBB";#N/A,#N/A,FALSE,"MFT96";#N/A,#N/A,FALSE,"CTrecon"}</definedName>
    <definedName name="ghj" localSheetId="17" hidden="1">{#N/A,#N/A,FALSE,"TMCOMP96";#N/A,#N/A,FALSE,"MAT96";#N/A,#N/A,FALSE,"FANDA96";#N/A,#N/A,FALSE,"INTRAN96";#N/A,#N/A,FALSE,"NAA9697";#N/A,#N/A,FALSE,"ECWEBB";#N/A,#N/A,FALSE,"MFT96";#N/A,#N/A,FALSE,"CTrecon"}</definedName>
    <definedName name="ghj" localSheetId="18" hidden="1">{#N/A,#N/A,FALSE,"TMCOMP96";#N/A,#N/A,FALSE,"MAT96";#N/A,#N/A,FALSE,"FANDA96";#N/A,#N/A,FALSE,"INTRAN96";#N/A,#N/A,FALSE,"NAA9697";#N/A,#N/A,FALSE,"ECWEBB";#N/A,#N/A,FALSE,"MFT96";#N/A,#N/A,FALSE,"CTrecon"}</definedName>
    <definedName name="ghj" localSheetId="19" hidden="1">{#N/A,#N/A,FALSE,"TMCOMP96";#N/A,#N/A,FALSE,"MAT96";#N/A,#N/A,FALSE,"FANDA96";#N/A,#N/A,FALSE,"INTRAN96";#N/A,#N/A,FALSE,"NAA9697";#N/A,#N/A,FALSE,"ECWEBB";#N/A,#N/A,FALSE,"MFT96";#N/A,#N/A,FALSE,"CTrecon"}</definedName>
    <definedName name="ghj" localSheetId="20" hidden="1">{#N/A,#N/A,FALSE,"TMCOMP96";#N/A,#N/A,FALSE,"MAT96";#N/A,#N/A,FALSE,"FANDA96";#N/A,#N/A,FALSE,"INTRAN96";#N/A,#N/A,FALSE,"NAA9697";#N/A,#N/A,FALSE,"ECWEBB";#N/A,#N/A,FALSE,"MFT96";#N/A,#N/A,FALSE,"CTrecon"}</definedName>
    <definedName name="ghj" localSheetId="21" hidden="1">{#N/A,#N/A,FALSE,"TMCOMP96";#N/A,#N/A,FALSE,"MAT96";#N/A,#N/A,FALSE,"FANDA96";#N/A,#N/A,FALSE,"INTRAN96";#N/A,#N/A,FALSE,"NAA9697";#N/A,#N/A,FALSE,"ECWEBB";#N/A,#N/A,FALSE,"MFT96";#N/A,#N/A,FALSE,"CTrecon"}</definedName>
    <definedName name="ghj" localSheetId="2" hidden="1">{#N/A,#N/A,FALSE,"TMCOMP96";#N/A,#N/A,FALSE,"MAT96";#N/A,#N/A,FALSE,"FANDA96";#N/A,#N/A,FALSE,"INTRAN96";#N/A,#N/A,FALSE,"NAA9697";#N/A,#N/A,FALSE,"ECWEBB";#N/A,#N/A,FALSE,"MFT96";#N/A,#N/A,FALSE,"CTrecon"}</definedName>
    <definedName name="ghj" localSheetId="3" hidden="1">{#N/A,#N/A,FALSE,"TMCOMP96";#N/A,#N/A,FALSE,"MAT96";#N/A,#N/A,FALSE,"FANDA96";#N/A,#N/A,FALSE,"INTRAN96";#N/A,#N/A,FALSE,"NAA9697";#N/A,#N/A,FALSE,"ECWEBB";#N/A,#N/A,FALSE,"MFT96";#N/A,#N/A,FALSE,"CTrecon"}</definedName>
    <definedName name="ghj" localSheetId="4" hidden="1">{#N/A,#N/A,FALSE,"TMCOMP96";#N/A,#N/A,FALSE,"MAT96";#N/A,#N/A,FALSE,"FANDA96";#N/A,#N/A,FALSE,"INTRAN96";#N/A,#N/A,FALSE,"NAA9697";#N/A,#N/A,FALSE,"ECWEBB";#N/A,#N/A,FALSE,"MFT96";#N/A,#N/A,FALSE,"CTrecon"}</definedName>
    <definedName name="ghj" localSheetId="5" hidden="1">{#N/A,#N/A,FALSE,"TMCOMP96";#N/A,#N/A,FALSE,"MAT96";#N/A,#N/A,FALSE,"FANDA96";#N/A,#N/A,FALSE,"INTRAN96";#N/A,#N/A,FALSE,"NAA9697";#N/A,#N/A,FALSE,"ECWEBB";#N/A,#N/A,FALSE,"MFT96";#N/A,#N/A,FALSE,"CTrecon"}</definedName>
    <definedName name="ghj" localSheetId="6" hidden="1">{#N/A,#N/A,FALSE,"TMCOMP96";#N/A,#N/A,FALSE,"MAT96";#N/A,#N/A,FALSE,"FANDA96";#N/A,#N/A,FALSE,"INTRAN96";#N/A,#N/A,FALSE,"NAA9697";#N/A,#N/A,FALSE,"ECWEBB";#N/A,#N/A,FALSE,"MFT96";#N/A,#N/A,FALSE,"CTrecon"}</definedName>
    <definedName name="ghj" localSheetId="7" hidden="1">{#N/A,#N/A,FALSE,"TMCOMP96";#N/A,#N/A,FALSE,"MAT96";#N/A,#N/A,FALSE,"FANDA96";#N/A,#N/A,FALSE,"INTRAN96";#N/A,#N/A,FALSE,"NAA9697";#N/A,#N/A,FALSE,"ECWEBB";#N/A,#N/A,FALSE,"MFT96";#N/A,#N/A,FALSE,"CTrecon"}</definedName>
    <definedName name="ghj" localSheetId="8" hidden="1">{#N/A,#N/A,FALSE,"TMCOMP96";#N/A,#N/A,FALSE,"MAT96";#N/A,#N/A,FALSE,"FANDA96";#N/A,#N/A,FALSE,"INTRAN96";#N/A,#N/A,FALSE,"NAA9697";#N/A,#N/A,FALSE,"ECWEBB";#N/A,#N/A,FALSE,"MFT96";#N/A,#N/A,FALSE,"CTrecon"}</definedName>
    <definedName name="ghj" localSheetId="9"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jhkgh" localSheetId="1" hidden="1">{#N/A,#N/A,FALSE,"TMCOMP96";#N/A,#N/A,FALSE,"MAT96";#N/A,#N/A,FALSE,"FANDA96";#N/A,#N/A,FALSE,"INTRAN96";#N/A,#N/A,FALSE,"NAA9697";#N/A,#N/A,FALSE,"ECWEBB";#N/A,#N/A,FALSE,"MFT96";#N/A,#N/A,FALSE,"CTrecon"}</definedName>
    <definedName name="jhkgh" localSheetId="10" hidden="1">{#N/A,#N/A,FALSE,"TMCOMP96";#N/A,#N/A,FALSE,"MAT96";#N/A,#N/A,FALSE,"FANDA96";#N/A,#N/A,FALSE,"INTRAN96";#N/A,#N/A,FALSE,"NAA9697";#N/A,#N/A,FALSE,"ECWEBB";#N/A,#N/A,FALSE,"MFT96";#N/A,#N/A,FALSE,"CTrecon"}</definedName>
    <definedName name="jhkgh" localSheetId="11" hidden="1">{#N/A,#N/A,FALSE,"TMCOMP96";#N/A,#N/A,FALSE,"MAT96";#N/A,#N/A,FALSE,"FANDA96";#N/A,#N/A,FALSE,"INTRAN96";#N/A,#N/A,FALSE,"NAA9697";#N/A,#N/A,FALSE,"ECWEBB";#N/A,#N/A,FALSE,"MFT96";#N/A,#N/A,FALSE,"CTrecon"}</definedName>
    <definedName name="jhkgh" localSheetId="12" hidden="1">{#N/A,#N/A,FALSE,"TMCOMP96";#N/A,#N/A,FALSE,"MAT96";#N/A,#N/A,FALSE,"FANDA96";#N/A,#N/A,FALSE,"INTRAN96";#N/A,#N/A,FALSE,"NAA9697";#N/A,#N/A,FALSE,"ECWEBB";#N/A,#N/A,FALSE,"MFT96";#N/A,#N/A,FALSE,"CTrecon"}</definedName>
    <definedName name="jhkgh" localSheetId="13" hidden="1">{#N/A,#N/A,FALSE,"TMCOMP96";#N/A,#N/A,FALSE,"MAT96";#N/A,#N/A,FALSE,"FANDA96";#N/A,#N/A,FALSE,"INTRAN96";#N/A,#N/A,FALSE,"NAA9697";#N/A,#N/A,FALSE,"ECWEBB";#N/A,#N/A,FALSE,"MFT96";#N/A,#N/A,FALSE,"CTrecon"}</definedName>
    <definedName name="jhkgh" localSheetId="14" hidden="1">{#N/A,#N/A,FALSE,"TMCOMP96";#N/A,#N/A,FALSE,"MAT96";#N/A,#N/A,FALSE,"FANDA96";#N/A,#N/A,FALSE,"INTRAN96";#N/A,#N/A,FALSE,"NAA9697";#N/A,#N/A,FALSE,"ECWEBB";#N/A,#N/A,FALSE,"MFT96";#N/A,#N/A,FALSE,"CTrecon"}</definedName>
    <definedName name="jhkgh" localSheetId="15" hidden="1">{#N/A,#N/A,FALSE,"TMCOMP96";#N/A,#N/A,FALSE,"MAT96";#N/A,#N/A,FALSE,"FANDA96";#N/A,#N/A,FALSE,"INTRAN96";#N/A,#N/A,FALSE,"NAA9697";#N/A,#N/A,FALSE,"ECWEBB";#N/A,#N/A,FALSE,"MFT96";#N/A,#N/A,FALSE,"CTrecon"}</definedName>
    <definedName name="jhkgh" localSheetId="16" hidden="1">{#N/A,#N/A,FALSE,"TMCOMP96";#N/A,#N/A,FALSE,"MAT96";#N/A,#N/A,FALSE,"FANDA96";#N/A,#N/A,FALSE,"INTRAN96";#N/A,#N/A,FALSE,"NAA9697";#N/A,#N/A,FALSE,"ECWEBB";#N/A,#N/A,FALSE,"MFT96";#N/A,#N/A,FALSE,"CTrecon"}</definedName>
    <definedName name="jhkgh" localSheetId="17" hidden="1">{#N/A,#N/A,FALSE,"TMCOMP96";#N/A,#N/A,FALSE,"MAT96";#N/A,#N/A,FALSE,"FANDA96";#N/A,#N/A,FALSE,"INTRAN96";#N/A,#N/A,FALSE,"NAA9697";#N/A,#N/A,FALSE,"ECWEBB";#N/A,#N/A,FALSE,"MFT96";#N/A,#N/A,FALSE,"CTrecon"}</definedName>
    <definedName name="jhkgh" localSheetId="18" hidden="1">{#N/A,#N/A,FALSE,"TMCOMP96";#N/A,#N/A,FALSE,"MAT96";#N/A,#N/A,FALSE,"FANDA96";#N/A,#N/A,FALSE,"INTRAN96";#N/A,#N/A,FALSE,"NAA9697";#N/A,#N/A,FALSE,"ECWEBB";#N/A,#N/A,FALSE,"MFT96";#N/A,#N/A,FALSE,"CTrecon"}</definedName>
    <definedName name="jhkgh" localSheetId="19" hidden="1">{#N/A,#N/A,FALSE,"TMCOMP96";#N/A,#N/A,FALSE,"MAT96";#N/A,#N/A,FALSE,"FANDA96";#N/A,#N/A,FALSE,"INTRAN96";#N/A,#N/A,FALSE,"NAA9697";#N/A,#N/A,FALSE,"ECWEBB";#N/A,#N/A,FALSE,"MFT96";#N/A,#N/A,FALSE,"CTrecon"}</definedName>
    <definedName name="jhkgh" localSheetId="20" hidden="1">{#N/A,#N/A,FALSE,"TMCOMP96";#N/A,#N/A,FALSE,"MAT96";#N/A,#N/A,FALSE,"FANDA96";#N/A,#N/A,FALSE,"INTRAN96";#N/A,#N/A,FALSE,"NAA9697";#N/A,#N/A,FALSE,"ECWEBB";#N/A,#N/A,FALSE,"MFT96";#N/A,#N/A,FALSE,"CTrecon"}</definedName>
    <definedName name="jhkgh" localSheetId="21" hidden="1">{#N/A,#N/A,FALSE,"TMCOMP96";#N/A,#N/A,FALSE,"MAT96";#N/A,#N/A,FALSE,"FANDA96";#N/A,#N/A,FALSE,"INTRAN96";#N/A,#N/A,FALSE,"NAA9697";#N/A,#N/A,FALSE,"ECWEBB";#N/A,#N/A,FALSE,"MFT96";#N/A,#N/A,FALSE,"CTrecon"}</definedName>
    <definedName name="jhkgh" localSheetId="2" hidden="1">{#N/A,#N/A,FALSE,"TMCOMP96";#N/A,#N/A,FALSE,"MAT96";#N/A,#N/A,FALSE,"FANDA96";#N/A,#N/A,FALSE,"INTRAN96";#N/A,#N/A,FALSE,"NAA9697";#N/A,#N/A,FALSE,"ECWEBB";#N/A,#N/A,FALSE,"MFT96";#N/A,#N/A,FALSE,"CTrecon"}</definedName>
    <definedName name="jhkgh" localSheetId="3" hidden="1">{#N/A,#N/A,FALSE,"TMCOMP96";#N/A,#N/A,FALSE,"MAT96";#N/A,#N/A,FALSE,"FANDA96";#N/A,#N/A,FALSE,"INTRAN96";#N/A,#N/A,FALSE,"NAA9697";#N/A,#N/A,FALSE,"ECWEBB";#N/A,#N/A,FALSE,"MFT96";#N/A,#N/A,FALSE,"CTrecon"}</definedName>
    <definedName name="jhkgh" localSheetId="4" hidden="1">{#N/A,#N/A,FALSE,"TMCOMP96";#N/A,#N/A,FALSE,"MAT96";#N/A,#N/A,FALSE,"FANDA96";#N/A,#N/A,FALSE,"INTRAN96";#N/A,#N/A,FALSE,"NAA9697";#N/A,#N/A,FALSE,"ECWEBB";#N/A,#N/A,FALSE,"MFT96";#N/A,#N/A,FALSE,"CTrecon"}</definedName>
    <definedName name="jhkgh" localSheetId="5" hidden="1">{#N/A,#N/A,FALSE,"TMCOMP96";#N/A,#N/A,FALSE,"MAT96";#N/A,#N/A,FALSE,"FANDA96";#N/A,#N/A,FALSE,"INTRAN96";#N/A,#N/A,FALSE,"NAA9697";#N/A,#N/A,FALSE,"ECWEBB";#N/A,#N/A,FALSE,"MFT96";#N/A,#N/A,FALSE,"CTrecon"}</definedName>
    <definedName name="jhkgh" localSheetId="6" hidden="1">{#N/A,#N/A,FALSE,"TMCOMP96";#N/A,#N/A,FALSE,"MAT96";#N/A,#N/A,FALSE,"FANDA96";#N/A,#N/A,FALSE,"INTRAN96";#N/A,#N/A,FALSE,"NAA9697";#N/A,#N/A,FALSE,"ECWEBB";#N/A,#N/A,FALSE,"MFT96";#N/A,#N/A,FALSE,"CTrecon"}</definedName>
    <definedName name="jhkgh" localSheetId="7" hidden="1">{#N/A,#N/A,FALSE,"TMCOMP96";#N/A,#N/A,FALSE,"MAT96";#N/A,#N/A,FALSE,"FANDA96";#N/A,#N/A,FALSE,"INTRAN96";#N/A,#N/A,FALSE,"NAA9697";#N/A,#N/A,FALSE,"ECWEBB";#N/A,#N/A,FALSE,"MFT96";#N/A,#N/A,FALSE,"CTrecon"}</definedName>
    <definedName name="jhkgh" localSheetId="8" hidden="1">{#N/A,#N/A,FALSE,"TMCOMP96";#N/A,#N/A,FALSE,"MAT96";#N/A,#N/A,FALSE,"FANDA96";#N/A,#N/A,FALSE,"INTRAN96";#N/A,#N/A,FALSE,"NAA9697";#N/A,#N/A,FALSE,"ECWEBB";#N/A,#N/A,FALSE,"MFT96";#N/A,#N/A,FALSE,"CTrecon"}</definedName>
    <definedName name="jhkgh" localSheetId="9" hidden="1">{#N/A,#N/A,FALSE,"TMCOMP96";#N/A,#N/A,FALSE,"MAT96";#N/A,#N/A,FALSE,"FANDA96";#N/A,#N/A,FALSE,"INTRAN96";#N/A,#N/A,FALSE,"NAA9697";#N/A,#N/A,FALSE,"ECWEBB";#N/A,#N/A,FALSE,"MFT96";#N/A,#N/A,FALSE,"CTrecon"}</definedName>
    <definedName name="jhkgh" hidden="1">{#N/A,#N/A,FALSE,"TMCOMP96";#N/A,#N/A,FALSE,"MAT96";#N/A,#N/A,FALSE,"FANDA96";#N/A,#N/A,FALSE,"INTRAN96";#N/A,#N/A,FALSE,"NAA9697";#N/A,#N/A,FALSE,"ECWEBB";#N/A,#N/A,FALSE,"MFT96";#N/A,#N/A,FALSE,"CTrecon"}</definedName>
    <definedName name="jhkgh2" localSheetId="1" hidden="1">{#N/A,#N/A,FALSE,"TMCOMP96";#N/A,#N/A,FALSE,"MAT96";#N/A,#N/A,FALSE,"FANDA96";#N/A,#N/A,FALSE,"INTRAN96";#N/A,#N/A,FALSE,"NAA9697";#N/A,#N/A,FALSE,"ECWEBB";#N/A,#N/A,FALSE,"MFT96";#N/A,#N/A,FALSE,"CTrecon"}</definedName>
    <definedName name="jhkgh2" localSheetId="10" hidden="1">{#N/A,#N/A,FALSE,"TMCOMP96";#N/A,#N/A,FALSE,"MAT96";#N/A,#N/A,FALSE,"FANDA96";#N/A,#N/A,FALSE,"INTRAN96";#N/A,#N/A,FALSE,"NAA9697";#N/A,#N/A,FALSE,"ECWEBB";#N/A,#N/A,FALSE,"MFT96";#N/A,#N/A,FALSE,"CTrecon"}</definedName>
    <definedName name="jhkgh2" localSheetId="11" hidden="1">{#N/A,#N/A,FALSE,"TMCOMP96";#N/A,#N/A,FALSE,"MAT96";#N/A,#N/A,FALSE,"FANDA96";#N/A,#N/A,FALSE,"INTRAN96";#N/A,#N/A,FALSE,"NAA9697";#N/A,#N/A,FALSE,"ECWEBB";#N/A,#N/A,FALSE,"MFT96";#N/A,#N/A,FALSE,"CTrecon"}</definedName>
    <definedName name="jhkgh2" localSheetId="12" hidden="1">{#N/A,#N/A,FALSE,"TMCOMP96";#N/A,#N/A,FALSE,"MAT96";#N/A,#N/A,FALSE,"FANDA96";#N/A,#N/A,FALSE,"INTRAN96";#N/A,#N/A,FALSE,"NAA9697";#N/A,#N/A,FALSE,"ECWEBB";#N/A,#N/A,FALSE,"MFT96";#N/A,#N/A,FALSE,"CTrecon"}</definedName>
    <definedName name="jhkgh2" localSheetId="13" hidden="1">{#N/A,#N/A,FALSE,"TMCOMP96";#N/A,#N/A,FALSE,"MAT96";#N/A,#N/A,FALSE,"FANDA96";#N/A,#N/A,FALSE,"INTRAN96";#N/A,#N/A,FALSE,"NAA9697";#N/A,#N/A,FALSE,"ECWEBB";#N/A,#N/A,FALSE,"MFT96";#N/A,#N/A,FALSE,"CTrecon"}</definedName>
    <definedName name="jhkgh2" localSheetId="14" hidden="1">{#N/A,#N/A,FALSE,"TMCOMP96";#N/A,#N/A,FALSE,"MAT96";#N/A,#N/A,FALSE,"FANDA96";#N/A,#N/A,FALSE,"INTRAN96";#N/A,#N/A,FALSE,"NAA9697";#N/A,#N/A,FALSE,"ECWEBB";#N/A,#N/A,FALSE,"MFT96";#N/A,#N/A,FALSE,"CTrecon"}</definedName>
    <definedName name="jhkgh2" localSheetId="15" hidden="1">{#N/A,#N/A,FALSE,"TMCOMP96";#N/A,#N/A,FALSE,"MAT96";#N/A,#N/A,FALSE,"FANDA96";#N/A,#N/A,FALSE,"INTRAN96";#N/A,#N/A,FALSE,"NAA9697";#N/A,#N/A,FALSE,"ECWEBB";#N/A,#N/A,FALSE,"MFT96";#N/A,#N/A,FALSE,"CTrecon"}</definedName>
    <definedName name="jhkgh2" localSheetId="16" hidden="1">{#N/A,#N/A,FALSE,"TMCOMP96";#N/A,#N/A,FALSE,"MAT96";#N/A,#N/A,FALSE,"FANDA96";#N/A,#N/A,FALSE,"INTRAN96";#N/A,#N/A,FALSE,"NAA9697";#N/A,#N/A,FALSE,"ECWEBB";#N/A,#N/A,FALSE,"MFT96";#N/A,#N/A,FALSE,"CTrecon"}</definedName>
    <definedName name="jhkgh2" localSheetId="17" hidden="1">{#N/A,#N/A,FALSE,"TMCOMP96";#N/A,#N/A,FALSE,"MAT96";#N/A,#N/A,FALSE,"FANDA96";#N/A,#N/A,FALSE,"INTRAN96";#N/A,#N/A,FALSE,"NAA9697";#N/A,#N/A,FALSE,"ECWEBB";#N/A,#N/A,FALSE,"MFT96";#N/A,#N/A,FALSE,"CTrecon"}</definedName>
    <definedName name="jhkgh2" localSheetId="18" hidden="1">{#N/A,#N/A,FALSE,"TMCOMP96";#N/A,#N/A,FALSE,"MAT96";#N/A,#N/A,FALSE,"FANDA96";#N/A,#N/A,FALSE,"INTRAN96";#N/A,#N/A,FALSE,"NAA9697";#N/A,#N/A,FALSE,"ECWEBB";#N/A,#N/A,FALSE,"MFT96";#N/A,#N/A,FALSE,"CTrecon"}</definedName>
    <definedName name="jhkgh2" localSheetId="19" hidden="1">{#N/A,#N/A,FALSE,"TMCOMP96";#N/A,#N/A,FALSE,"MAT96";#N/A,#N/A,FALSE,"FANDA96";#N/A,#N/A,FALSE,"INTRAN96";#N/A,#N/A,FALSE,"NAA9697";#N/A,#N/A,FALSE,"ECWEBB";#N/A,#N/A,FALSE,"MFT96";#N/A,#N/A,FALSE,"CTrecon"}</definedName>
    <definedName name="jhkgh2" localSheetId="20" hidden="1">{#N/A,#N/A,FALSE,"TMCOMP96";#N/A,#N/A,FALSE,"MAT96";#N/A,#N/A,FALSE,"FANDA96";#N/A,#N/A,FALSE,"INTRAN96";#N/A,#N/A,FALSE,"NAA9697";#N/A,#N/A,FALSE,"ECWEBB";#N/A,#N/A,FALSE,"MFT96";#N/A,#N/A,FALSE,"CTrecon"}</definedName>
    <definedName name="jhkgh2" localSheetId="21" hidden="1">{#N/A,#N/A,FALSE,"TMCOMP96";#N/A,#N/A,FALSE,"MAT96";#N/A,#N/A,FALSE,"FANDA96";#N/A,#N/A,FALSE,"INTRAN96";#N/A,#N/A,FALSE,"NAA9697";#N/A,#N/A,FALSE,"ECWEBB";#N/A,#N/A,FALSE,"MFT96";#N/A,#N/A,FALSE,"CTrecon"}</definedName>
    <definedName name="jhkgh2" localSheetId="2" hidden="1">{#N/A,#N/A,FALSE,"TMCOMP96";#N/A,#N/A,FALSE,"MAT96";#N/A,#N/A,FALSE,"FANDA96";#N/A,#N/A,FALSE,"INTRAN96";#N/A,#N/A,FALSE,"NAA9697";#N/A,#N/A,FALSE,"ECWEBB";#N/A,#N/A,FALSE,"MFT96";#N/A,#N/A,FALSE,"CTrecon"}</definedName>
    <definedName name="jhkgh2" localSheetId="3" hidden="1">{#N/A,#N/A,FALSE,"TMCOMP96";#N/A,#N/A,FALSE,"MAT96";#N/A,#N/A,FALSE,"FANDA96";#N/A,#N/A,FALSE,"INTRAN96";#N/A,#N/A,FALSE,"NAA9697";#N/A,#N/A,FALSE,"ECWEBB";#N/A,#N/A,FALSE,"MFT96";#N/A,#N/A,FALSE,"CTrecon"}</definedName>
    <definedName name="jhkgh2" localSheetId="4" hidden="1">{#N/A,#N/A,FALSE,"TMCOMP96";#N/A,#N/A,FALSE,"MAT96";#N/A,#N/A,FALSE,"FANDA96";#N/A,#N/A,FALSE,"INTRAN96";#N/A,#N/A,FALSE,"NAA9697";#N/A,#N/A,FALSE,"ECWEBB";#N/A,#N/A,FALSE,"MFT96";#N/A,#N/A,FALSE,"CTrecon"}</definedName>
    <definedName name="jhkgh2" localSheetId="5" hidden="1">{#N/A,#N/A,FALSE,"TMCOMP96";#N/A,#N/A,FALSE,"MAT96";#N/A,#N/A,FALSE,"FANDA96";#N/A,#N/A,FALSE,"INTRAN96";#N/A,#N/A,FALSE,"NAA9697";#N/A,#N/A,FALSE,"ECWEBB";#N/A,#N/A,FALSE,"MFT96";#N/A,#N/A,FALSE,"CTrecon"}</definedName>
    <definedName name="jhkgh2" localSheetId="6" hidden="1">{#N/A,#N/A,FALSE,"TMCOMP96";#N/A,#N/A,FALSE,"MAT96";#N/A,#N/A,FALSE,"FANDA96";#N/A,#N/A,FALSE,"INTRAN96";#N/A,#N/A,FALSE,"NAA9697";#N/A,#N/A,FALSE,"ECWEBB";#N/A,#N/A,FALSE,"MFT96";#N/A,#N/A,FALSE,"CTrecon"}</definedName>
    <definedName name="jhkgh2" localSheetId="7" hidden="1">{#N/A,#N/A,FALSE,"TMCOMP96";#N/A,#N/A,FALSE,"MAT96";#N/A,#N/A,FALSE,"FANDA96";#N/A,#N/A,FALSE,"INTRAN96";#N/A,#N/A,FALSE,"NAA9697";#N/A,#N/A,FALSE,"ECWEBB";#N/A,#N/A,FALSE,"MFT96";#N/A,#N/A,FALSE,"CTrecon"}</definedName>
    <definedName name="jhkgh2" localSheetId="8" hidden="1">{#N/A,#N/A,FALSE,"TMCOMP96";#N/A,#N/A,FALSE,"MAT96";#N/A,#N/A,FALSE,"FANDA96";#N/A,#N/A,FALSE,"INTRAN96";#N/A,#N/A,FALSE,"NAA9697";#N/A,#N/A,FALSE,"ECWEBB";#N/A,#N/A,FALSE,"MFT96";#N/A,#N/A,FALSE,"CTrecon"}</definedName>
    <definedName name="jhkgh2" localSheetId="9"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Option2" localSheetId="1" hidden="1">{#N/A,#N/A,FALSE,"TMCOMP96";#N/A,#N/A,FALSE,"MAT96";#N/A,#N/A,FALSE,"FANDA96";#N/A,#N/A,FALSE,"INTRAN96";#N/A,#N/A,FALSE,"NAA9697";#N/A,#N/A,FALSE,"ECWEBB";#N/A,#N/A,FALSE,"MFT96";#N/A,#N/A,FALSE,"CTrecon"}</definedName>
    <definedName name="Option2" localSheetId="10" hidden="1">{#N/A,#N/A,FALSE,"TMCOMP96";#N/A,#N/A,FALSE,"MAT96";#N/A,#N/A,FALSE,"FANDA96";#N/A,#N/A,FALSE,"INTRAN96";#N/A,#N/A,FALSE,"NAA9697";#N/A,#N/A,FALSE,"ECWEBB";#N/A,#N/A,FALSE,"MFT96";#N/A,#N/A,FALSE,"CTrecon"}</definedName>
    <definedName name="Option2" localSheetId="11" hidden="1">{#N/A,#N/A,FALSE,"TMCOMP96";#N/A,#N/A,FALSE,"MAT96";#N/A,#N/A,FALSE,"FANDA96";#N/A,#N/A,FALSE,"INTRAN96";#N/A,#N/A,FALSE,"NAA9697";#N/A,#N/A,FALSE,"ECWEBB";#N/A,#N/A,FALSE,"MFT96";#N/A,#N/A,FALSE,"CTrecon"}</definedName>
    <definedName name="Option2" localSheetId="12" hidden="1">{#N/A,#N/A,FALSE,"TMCOMP96";#N/A,#N/A,FALSE,"MAT96";#N/A,#N/A,FALSE,"FANDA96";#N/A,#N/A,FALSE,"INTRAN96";#N/A,#N/A,FALSE,"NAA9697";#N/A,#N/A,FALSE,"ECWEBB";#N/A,#N/A,FALSE,"MFT96";#N/A,#N/A,FALSE,"CTrecon"}</definedName>
    <definedName name="Option2" localSheetId="13" hidden="1">{#N/A,#N/A,FALSE,"TMCOMP96";#N/A,#N/A,FALSE,"MAT96";#N/A,#N/A,FALSE,"FANDA96";#N/A,#N/A,FALSE,"INTRAN96";#N/A,#N/A,FALSE,"NAA9697";#N/A,#N/A,FALSE,"ECWEBB";#N/A,#N/A,FALSE,"MFT96";#N/A,#N/A,FALSE,"CTrecon"}</definedName>
    <definedName name="Option2" localSheetId="14" hidden="1">{#N/A,#N/A,FALSE,"TMCOMP96";#N/A,#N/A,FALSE,"MAT96";#N/A,#N/A,FALSE,"FANDA96";#N/A,#N/A,FALSE,"INTRAN96";#N/A,#N/A,FALSE,"NAA9697";#N/A,#N/A,FALSE,"ECWEBB";#N/A,#N/A,FALSE,"MFT96";#N/A,#N/A,FALSE,"CTrecon"}</definedName>
    <definedName name="Option2" localSheetId="15" hidden="1">{#N/A,#N/A,FALSE,"TMCOMP96";#N/A,#N/A,FALSE,"MAT96";#N/A,#N/A,FALSE,"FANDA96";#N/A,#N/A,FALSE,"INTRAN96";#N/A,#N/A,FALSE,"NAA9697";#N/A,#N/A,FALSE,"ECWEBB";#N/A,#N/A,FALSE,"MFT96";#N/A,#N/A,FALSE,"CTrecon"}</definedName>
    <definedName name="Option2" localSheetId="16" hidden="1">{#N/A,#N/A,FALSE,"TMCOMP96";#N/A,#N/A,FALSE,"MAT96";#N/A,#N/A,FALSE,"FANDA96";#N/A,#N/A,FALSE,"INTRAN96";#N/A,#N/A,FALSE,"NAA9697";#N/A,#N/A,FALSE,"ECWEBB";#N/A,#N/A,FALSE,"MFT96";#N/A,#N/A,FALSE,"CTrecon"}</definedName>
    <definedName name="Option2" localSheetId="17" hidden="1">{#N/A,#N/A,FALSE,"TMCOMP96";#N/A,#N/A,FALSE,"MAT96";#N/A,#N/A,FALSE,"FANDA96";#N/A,#N/A,FALSE,"INTRAN96";#N/A,#N/A,FALSE,"NAA9697";#N/A,#N/A,FALSE,"ECWEBB";#N/A,#N/A,FALSE,"MFT96";#N/A,#N/A,FALSE,"CTrecon"}</definedName>
    <definedName name="Option2" localSheetId="18" hidden="1">{#N/A,#N/A,FALSE,"TMCOMP96";#N/A,#N/A,FALSE,"MAT96";#N/A,#N/A,FALSE,"FANDA96";#N/A,#N/A,FALSE,"INTRAN96";#N/A,#N/A,FALSE,"NAA9697";#N/A,#N/A,FALSE,"ECWEBB";#N/A,#N/A,FALSE,"MFT96";#N/A,#N/A,FALSE,"CTrecon"}</definedName>
    <definedName name="Option2" localSheetId="19" hidden="1">{#N/A,#N/A,FALSE,"TMCOMP96";#N/A,#N/A,FALSE,"MAT96";#N/A,#N/A,FALSE,"FANDA96";#N/A,#N/A,FALSE,"INTRAN96";#N/A,#N/A,FALSE,"NAA9697";#N/A,#N/A,FALSE,"ECWEBB";#N/A,#N/A,FALSE,"MFT96";#N/A,#N/A,FALSE,"CTrecon"}</definedName>
    <definedName name="Option2" localSheetId="20" hidden="1">{#N/A,#N/A,FALSE,"TMCOMP96";#N/A,#N/A,FALSE,"MAT96";#N/A,#N/A,FALSE,"FANDA96";#N/A,#N/A,FALSE,"INTRAN96";#N/A,#N/A,FALSE,"NAA9697";#N/A,#N/A,FALSE,"ECWEBB";#N/A,#N/A,FALSE,"MFT96";#N/A,#N/A,FALSE,"CTrecon"}</definedName>
    <definedName name="Option2" localSheetId="21" hidden="1">{#N/A,#N/A,FALSE,"TMCOMP96";#N/A,#N/A,FALSE,"MAT96";#N/A,#N/A,FALSE,"FANDA96";#N/A,#N/A,FALSE,"INTRAN96";#N/A,#N/A,FALSE,"NAA9697";#N/A,#N/A,FALSE,"ECWEBB";#N/A,#N/A,FALSE,"MFT96";#N/A,#N/A,FALSE,"CTrecon"}</definedName>
    <definedName name="Option2" localSheetId="2" hidden="1">{#N/A,#N/A,FALSE,"TMCOMP96";#N/A,#N/A,FALSE,"MAT96";#N/A,#N/A,FALSE,"FANDA96";#N/A,#N/A,FALSE,"INTRAN96";#N/A,#N/A,FALSE,"NAA9697";#N/A,#N/A,FALSE,"ECWEBB";#N/A,#N/A,FALSE,"MFT96";#N/A,#N/A,FALSE,"CTrecon"}</definedName>
    <definedName name="Option2" localSheetId="3" hidden="1">{#N/A,#N/A,FALSE,"TMCOMP96";#N/A,#N/A,FALSE,"MAT96";#N/A,#N/A,FALSE,"FANDA96";#N/A,#N/A,FALSE,"INTRAN96";#N/A,#N/A,FALSE,"NAA9697";#N/A,#N/A,FALSE,"ECWEBB";#N/A,#N/A,FALSE,"MFT96";#N/A,#N/A,FALSE,"CTrecon"}</definedName>
    <definedName name="Option2" localSheetId="4" hidden="1">{#N/A,#N/A,FALSE,"TMCOMP96";#N/A,#N/A,FALSE,"MAT96";#N/A,#N/A,FALSE,"FANDA96";#N/A,#N/A,FALSE,"INTRAN96";#N/A,#N/A,FALSE,"NAA9697";#N/A,#N/A,FALSE,"ECWEBB";#N/A,#N/A,FALSE,"MFT96";#N/A,#N/A,FALSE,"CTrecon"}</definedName>
    <definedName name="Option2" localSheetId="5" hidden="1">{#N/A,#N/A,FALSE,"TMCOMP96";#N/A,#N/A,FALSE,"MAT96";#N/A,#N/A,FALSE,"FANDA96";#N/A,#N/A,FALSE,"INTRAN96";#N/A,#N/A,FALSE,"NAA9697";#N/A,#N/A,FALSE,"ECWEBB";#N/A,#N/A,FALSE,"MFT96";#N/A,#N/A,FALSE,"CTrecon"}</definedName>
    <definedName name="Option2" localSheetId="6" hidden="1">{#N/A,#N/A,FALSE,"TMCOMP96";#N/A,#N/A,FALSE,"MAT96";#N/A,#N/A,FALSE,"FANDA96";#N/A,#N/A,FALSE,"INTRAN96";#N/A,#N/A,FALSE,"NAA9697";#N/A,#N/A,FALSE,"ECWEBB";#N/A,#N/A,FALSE,"MFT96";#N/A,#N/A,FALSE,"CTrecon"}</definedName>
    <definedName name="Option2" localSheetId="7" hidden="1">{#N/A,#N/A,FALSE,"TMCOMP96";#N/A,#N/A,FALSE,"MAT96";#N/A,#N/A,FALSE,"FANDA96";#N/A,#N/A,FALSE,"INTRAN96";#N/A,#N/A,FALSE,"NAA9697";#N/A,#N/A,FALSE,"ECWEBB";#N/A,#N/A,FALSE,"MFT96";#N/A,#N/A,FALSE,"CTrecon"}</definedName>
    <definedName name="Option2" localSheetId="8" hidden="1">{#N/A,#N/A,FALSE,"TMCOMP96";#N/A,#N/A,FALSE,"MAT96";#N/A,#N/A,FALSE,"FANDA96";#N/A,#N/A,FALSE,"INTRAN96";#N/A,#N/A,FALSE,"NAA9697";#N/A,#N/A,FALSE,"ECWEBB";#N/A,#N/A,FALSE,"MFT96";#N/A,#N/A,FALSE,"CTrecon"}</definedName>
    <definedName name="Option2" localSheetId="9"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op" localSheetId="11" hidden="1">#REF!</definedName>
    <definedName name="Pop" localSheetId="12" hidden="1">#REF!</definedName>
    <definedName name="Pop" localSheetId="15" hidden="1">#REF!</definedName>
    <definedName name="Pop" localSheetId="16" hidden="1">#REF!</definedName>
    <definedName name="Pop" localSheetId="17" hidden="1">#REF!</definedName>
    <definedName name="Pop" localSheetId="19" hidden="1">#REF!</definedName>
    <definedName name="Pop" localSheetId="20" hidden="1">#REF!</definedName>
    <definedName name="Pop" localSheetId="21" hidden="1">#REF!</definedName>
    <definedName name="Pop" hidden="1">#REF!</definedName>
    <definedName name="Population" localSheetId="11" hidden="1">#REF!</definedName>
    <definedName name="Population" localSheetId="12" hidden="1">#REF!</definedName>
    <definedName name="Population" localSheetId="15" hidden="1">#REF!</definedName>
    <definedName name="Population" localSheetId="16" hidden="1">#REF!</definedName>
    <definedName name="Population" localSheetId="17" hidden="1">#REF!</definedName>
    <definedName name="Population" localSheetId="19" hidden="1">#REF!</definedName>
    <definedName name="Population" localSheetId="20" hidden="1">#REF!</definedName>
    <definedName name="Population" localSheetId="21" hidden="1">#REF!</definedName>
    <definedName name="Population" localSheetId="6" hidden="1">#REF!</definedName>
    <definedName name="Population" localSheetId="7" hidden="1">#REF!</definedName>
    <definedName name="Population" hidden="1">#REF!</definedName>
    <definedName name="_xlnm.Print_Area" localSheetId="1">'1.1'!$B$2:$S$166</definedName>
    <definedName name="_xlnm.Print_Area" localSheetId="10">'1.10'!#REF!</definedName>
    <definedName name="_xlnm.Print_Area" localSheetId="11">'1.11'!$B$2:$X$134</definedName>
    <definedName name="_xlnm.Print_Area" localSheetId="12">'1.11b'!$B$2:$I$121</definedName>
    <definedName name="_xlnm.Print_Area" localSheetId="13">'1.12'!$B$2:$I$129</definedName>
    <definedName name="_xlnm.Print_Area" localSheetId="14">'1.13'!$B$2:$J$6</definedName>
    <definedName name="_xlnm.Print_Area" localSheetId="15">'1.14'!$B$2:$C$329</definedName>
    <definedName name="_xlnm.Print_Area" localSheetId="16">'1.15'!$B$2:$T$99</definedName>
    <definedName name="_xlnm.Print_Area" localSheetId="17">'1.16'!$B$2:$J$154</definedName>
    <definedName name="_xlnm.Print_Area" localSheetId="18">'1.17'!#REF!</definedName>
    <definedName name="_xlnm.Print_Area" localSheetId="19">'1.18'!$B$2:$J$14</definedName>
    <definedName name="_xlnm.Print_Area" localSheetId="20">'1.19'!$B$2:$G$82</definedName>
    <definedName name="_xlnm.Print_Area" localSheetId="21">'1.19b'!$B$2:$G$15</definedName>
    <definedName name="_xlnm.Print_Area" localSheetId="2">'1.2'!$B$2:$P$164</definedName>
    <definedName name="_xlnm.Print_Area" localSheetId="3">'1.3'!$A$1:$I$169</definedName>
    <definedName name="_xlnm.Print_Area" localSheetId="4">'1.4'!$B$2:$F$141</definedName>
    <definedName name="_xlnm.Print_Area" localSheetId="5">'1.5'!$B$2:$K$157</definedName>
    <definedName name="_xlnm.Print_Area" localSheetId="6">'1.6'!$B$2:$Y$168</definedName>
    <definedName name="_xlnm.Print_Area" localSheetId="7">'1.7'!$B$2:$V$160</definedName>
    <definedName name="_xlnm.Print_Area" localSheetId="8">'1.8'!#REF!</definedName>
    <definedName name="_xlnm.Print_Area" localSheetId="9">'1.9'!$B$2:$L$161</definedName>
    <definedName name="_xlnm.Print_Area" localSheetId="0">Contents!$B$2:$B$25</definedName>
    <definedName name="Profiles" localSheetId="11" hidden="1">#REF!</definedName>
    <definedName name="Profiles" localSheetId="12" hidden="1">#REF!</definedName>
    <definedName name="Profiles" localSheetId="15" hidden="1">#REF!</definedName>
    <definedName name="Profiles" localSheetId="16" hidden="1">#REF!</definedName>
    <definedName name="Profiles" localSheetId="17" hidden="1">#REF!</definedName>
    <definedName name="Profiles" localSheetId="19" hidden="1">#REF!</definedName>
    <definedName name="Profiles" localSheetId="20" hidden="1">#REF!</definedName>
    <definedName name="Profiles" localSheetId="21" hidden="1">#REF!</definedName>
    <definedName name="Profiles" localSheetId="6" hidden="1">#REF!</definedName>
    <definedName name="Profiles" localSheetId="7" hidden="1">#REF!</definedName>
    <definedName name="Profiles" hidden="1">#REF!</definedName>
    <definedName name="Projections" localSheetId="11" hidden="1">#REF!</definedName>
    <definedName name="Projections" localSheetId="12" hidden="1">#REF!</definedName>
    <definedName name="Projections" localSheetId="15" hidden="1">#REF!</definedName>
    <definedName name="Projections" localSheetId="16" hidden="1">#REF!</definedName>
    <definedName name="Projections" localSheetId="17" hidden="1">#REF!</definedName>
    <definedName name="Projections" localSheetId="19" hidden="1">#REF!</definedName>
    <definedName name="Projections" localSheetId="20" hidden="1">#REF!</definedName>
    <definedName name="Projections" localSheetId="21" hidden="1">#REF!</definedName>
    <definedName name="Projections" localSheetId="6" hidden="1">#REF!</definedName>
    <definedName name="Projections" localSheetId="7" hidden="1">#REF!</definedName>
    <definedName name="Projections" hidden="1">#REF!</definedName>
    <definedName name="Results" hidden="1">#REF!</definedName>
    <definedName name="sdf" localSheetId="1" hidden="1">{#N/A,#N/A,FALSE,"TMCOMP96";#N/A,#N/A,FALSE,"MAT96";#N/A,#N/A,FALSE,"FANDA96";#N/A,#N/A,FALSE,"INTRAN96";#N/A,#N/A,FALSE,"NAA9697";#N/A,#N/A,FALSE,"ECWEBB";#N/A,#N/A,FALSE,"MFT96";#N/A,#N/A,FALSE,"CTrecon"}</definedName>
    <definedName name="sdf" localSheetId="10" hidden="1">{#N/A,#N/A,FALSE,"TMCOMP96";#N/A,#N/A,FALSE,"MAT96";#N/A,#N/A,FALSE,"FANDA96";#N/A,#N/A,FALSE,"INTRAN96";#N/A,#N/A,FALSE,"NAA9697";#N/A,#N/A,FALSE,"ECWEBB";#N/A,#N/A,FALSE,"MFT96";#N/A,#N/A,FALSE,"CTrecon"}</definedName>
    <definedName name="sdf" localSheetId="11" hidden="1">{#N/A,#N/A,FALSE,"TMCOMP96";#N/A,#N/A,FALSE,"MAT96";#N/A,#N/A,FALSE,"FANDA96";#N/A,#N/A,FALSE,"INTRAN96";#N/A,#N/A,FALSE,"NAA9697";#N/A,#N/A,FALSE,"ECWEBB";#N/A,#N/A,FALSE,"MFT96";#N/A,#N/A,FALSE,"CTrecon"}</definedName>
    <definedName name="sdf" localSheetId="12" hidden="1">{#N/A,#N/A,FALSE,"TMCOMP96";#N/A,#N/A,FALSE,"MAT96";#N/A,#N/A,FALSE,"FANDA96";#N/A,#N/A,FALSE,"INTRAN96";#N/A,#N/A,FALSE,"NAA9697";#N/A,#N/A,FALSE,"ECWEBB";#N/A,#N/A,FALSE,"MFT96";#N/A,#N/A,FALSE,"CTrecon"}</definedName>
    <definedName name="sdf" localSheetId="13" hidden="1">{#N/A,#N/A,FALSE,"TMCOMP96";#N/A,#N/A,FALSE,"MAT96";#N/A,#N/A,FALSE,"FANDA96";#N/A,#N/A,FALSE,"INTRAN96";#N/A,#N/A,FALSE,"NAA9697";#N/A,#N/A,FALSE,"ECWEBB";#N/A,#N/A,FALSE,"MFT96";#N/A,#N/A,FALSE,"CTrecon"}</definedName>
    <definedName name="sdf" localSheetId="14" hidden="1">{#N/A,#N/A,FALSE,"TMCOMP96";#N/A,#N/A,FALSE,"MAT96";#N/A,#N/A,FALSE,"FANDA96";#N/A,#N/A,FALSE,"INTRAN96";#N/A,#N/A,FALSE,"NAA9697";#N/A,#N/A,FALSE,"ECWEBB";#N/A,#N/A,FALSE,"MFT96";#N/A,#N/A,FALSE,"CTrecon"}</definedName>
    <definedName name="sdf" localSheetId="15" hidden="1">{#N/A,#N/A,FALSE,"TMCOMP96";#N/A,#N/A,FALSE,"MAT96";#N/A,#N/A,FALSE,"FANDA96";#N/A,#N/A,FALSE,"INTRAN96";#N/A,#N/A,FALSE,"NAA9697";#N/A,#N/A,FALSE,"ECWEBB";#N/A,#N/A,FALSE,"MFT96";#N/A,#N/A,FALSE,"CTrecon"}</definedName>
    <definedName name="sdf" localSheetId="16" hidden="1">{#N/A,#N/A,FALSE,"TMCOMP96";#N/A,#N/A,FALSE,"MAT96";#N/A,#N/A,FALSE,"FANDA96";#N/A,#N/A,FALSE,"INTRAN96";#N/A,#N/A,FALSE,"NAA9697";#N/A,#N/A,FALSE,"ECWEBB";#N/A,#N/A,FALSE,"MFT96";#N/A,#N/A,FALSE,"CTrecon"}</definedName>
    <definedName name="sdf" localSheetId="17" hidden="1">{#N/A,#N/A,FALSE,"TMCOMP96";#N/A,#N/A,FALSE,"MAT96";#N/A,#N/A,FALSE,"FANDA96";#N/A,#N/A,FALSE,"INTRAN96";#N/A,#N/A,FALSE,"NAA9697";#N/A,#N/A,FALSE,"ECWEBB";#N/A,#N/A,FALSE,"MFT96";#N/A,#N/A,FALSE,"CTrecon"}</definedName>
    <definedName name="sdf" localSheetId="18" hidden="1">{#N/A,#N/A,FALSE,"TMCOMP96";#N/A,#N/A,FALSE,"MAT96";#N/A,#N/A,FALSE,"FANDA96";#N/A,#N/A,FALSE,"INTRAN96";#N/A,#N/A,FALSE,"NAA9697";#N/A,#N/A,FALSE,"ECWEBB";#N/A,#N/A,FALSE,"MFT96";#N/A,#N/A,FALSE,"CTrecon"}</definedName>
    <definedName name="sdf" localSheetId="19" hidden="1">{#N/A,#N/A,FALSE,"TMCOMP96";#N/A,#N/A,FALSE,"MAT96";#N/A,#N/A,FALSE,"FANDA96";#N/A,#N/A,FALSE,"INTRAN96";#N/A,#N/A,FALSE,"NAA9697";#N/A,#N/A,FALSE,"ECWEBB";#N/A,#N/A,FALSE,"MFT96";#N/A,#N/A,FALSE,"CTrecon"}</definedName>
    <definedName name="sdf" localSheetId="20" hidden="1">{#N/A,#N/A,FALSE,"TMCOMP96";#N/A,#N/A,FALSE,"MAT96";#N/A,#N/A,FALSE,"FANDA96";#N/A,#N/A,FALSE,"INTRAN96";#N/A,#N/A,FALSE,"NAA9697";#N/A,#N/A,FALSE,"ECWEBB";#N/A,#N/A,FALSE,"MFT96";#N/A,#N/A,FALSE,"CTrecon"}</definedName>
    <definedName name="sdf" localSheetId="21" hidden="1">{#N/A,#N/A,FALSE,"TMCOMP96";#N/A,#N/A,FALSE,"MAT96";#N/A,#N/A,FALSE,"FANDA96";#N/A,#N/A,FALSE,"INTRAN96";#N/A,#N/A,FALSE,"NAA9697";#N/A,#N/A,FALSE,"ECWEBB";#N/A,#N/A,FALSE,"MFT96";#N/A,#N/A,FALSE,"CTrecon"}</definedName>
    <definedName name="sdf" localSheetId="2" hidden="1">{#N/A,#N/A,FALSE,"TMCOMP96";#N/A,#N/A,FALSE,"MAT96";#N/A,#N/A,FALSE,"FANDA96";#N/A,#N/A,FALSE,"INTRAN96";#N/A,#N/A,FALSE,"NAA9697";#N/A,#N/A,FALSE,"ECWEBB";#N/A,#N/A,FALSE,"MFT96";#N/A,#N/A,FALSE,"CTrecon"}</definedName>
    <definedName name="sdf" localSheetId="3" hidden="1">{#N/A,#N/A,FALSE,"TMCOMP96";#N/A,#N/A,FALSE,"MAT96";#N/A,#N/A,FALSE,"FANDA96";#N/A,#N/A,FALSE,"INTRAN96";#N/A,#N/A,FALSE,"NAA9697";#N/A,#N/A,FALSE,"ECWEBB";#N/A,#N/A,FALSE,"MFT96";#N/A,#N/A,FALSE,"CTrecon"}</definedName>
    <definedName name="sdf" localSheetId="4" hidden="1">{#N/A,#N/A,FALSE,"TMCOMP96";#N/A,#N/A,FALSE,"MAT96";#N/A,#N/A,FALSE,"FANDA96";#N/A,#N/A,FALSE,"INTRAN96";#N/A,#N/A,FALSE,"NAA9697";#N/A,#N/A,FALSE,"ECWEBB";#N/A,#N/A,FALSE,"MFT96";#N/A,#N/A,FALSE,"CTrecon"}</definedName>
    <definedName name="sdf" localSheetId="5" hidden="1">{#N/A,#N/A,FALSE,"TMCOMP96";#N/A,#N/A,FALSE,"MAT96";#N/A,#N/A,FALSE,"FANDA96";#N/A,#N/A,FALSE,"INTRAN96";#N/A,#N/A,FALSE,"NAA9697";#N/A,#N/A,FALSE,"ECWEBB";#N/A,#N/A,FALSE,"MFT96";#N/A,#N/A,FALSE,"CTrecon"}</definedName>
    <definedName name="sdf" localSheetId="6" hidden="1">{#N/A,#N/A,FALSE,"TMCOMP96";#N/A,#N/A,FALSE,"MAT96";#N/A,#N/A,FALSE,"FANDA96";#N/A,#N/A,FALSE,"INTRAN96";#N/A,#N/A,FALSE,"NAA9697";#N/A,#N/A,FALSE,"ECWEBB";#N/A,#N/A,FALSE,"MFT96";#N/A,#N/A,FALSE,"CTrecon"}</definedName>
    <definedName name="sdf" localSheetId="7" hidden="1">{#N/A,#N/A,FALSE,"TMCOMP96";#N/A,#N/A,FALSE,"MAT96";#N/A,#N/A,FALSE,"FANDA96";#N/A,#N/A,FALSE,"INTRAN96";#N/A,#N/A,FALSE,"NAA9697";#N/A,#N/A,FALSE,"ECWEBB";#N/A,#N/A,FALSE,"MFT96";#N/A,#N/A,FALSE,"CTrecon"}</definedName>
    <definedName name="sdf" localSheetId="8" hidden="1">{#N/A,#N/A,FALSE,"TMCOMP96";#N/A,#N/A,FALSE,"MAT96";#N/A,#N/A,FALSE,"FANDA96";#N/A,#N/A,FALSE,"INTRAN96";#N/A,#N/A,FALSE,"NAA9697";#N/A,#N/A,FALSE,"ECWEBB";#N/A,#N/A,FALSE,"MFT96";#N/A,#N/A,FALSE,"CTrecon"}</definedName>
    <definedName name="sdf" localSheetId="9" hidden="1">{#N/A,#N/A,FALSE,"TMCOMP96";#N/A,#N/A,FALSE,"MAT96";#N/A,#N/A,FALSE,"FANDA96";#N/A,#N/A,FALSE,"INTRAN96";#N/A,#N/A,FALSE,"NAA9697";#N/A,#N/A,FALSE,"ECWEBB";#N/A,#N/A,FALSE,"MFT96";#N/A,#N/A,FALSE,"CTrecon"}</definedName>
    <definedName name="sdf" hidden="1">{#N/A,#N/A,FALSE,"TMCOMP96";#N/A,#N/A,FALSE,"MAT96";#N/A,#N/A,FALSE,"FANDA96";#N/A,#N/A,FALSE,"INTRAN96";#N/A,#N/A,FALSE,"NAA9697";#N/A,#N/A,FALSE,"ECWEBB";#N/A,#N/A,FALSE,"MFT96";#N/A,#N/A,FALSE,"CTrecon"}</definedName>
    <definedName name="sdff" localSheetId="1" hidden="1">{#N/A,#N/A,FALSE,"TMCOMP96";#N/A,#N/A,FALSE,"MAT96";#N/A,#N/A,FALSE,"FANDA96";#N/A,#N/A,FALSE,"INTRAN96";#N/A,#N/A,FALSE,"NAA9697";#N/A,#N/A,FALSE,"ECWEBB";#N/A,#N/A,FALSE,"MFT96";#N/A,#N/A,FALSE,"CTrecon"}</definedName>
    <definedName name="sdff" localSheetId="10" hidden="1">{#N/A,#N/A,FALSE,"TMCOMP96";#N/A,#N/A,FALSE,"MAT96";#N/A,#N/A,FALSE,"FANDA96";#N/A,#N/A,FALSE,"INTRAN96";#N/A,#N/A,FALSE,"NAA9697";#N/A,#N/A,FALSE,"ECWEBB";#N/A,#N/A,FALSE,"MFT96";#N/A,#N/A,FALSE,"CTrecon"}</definedName>
    <definedName name="sdff" localSheetId="11" hidden="1">{#N/A,#N/A,FALSE,"TMCOMP96";#N/A,#N/A,FALSE,"MAT96";#N/A,#N/A,FALSE,"FANDA96";#N/A,#N/A,FALSE,"INTRAN96";#N/A,#N/A,FALSE,"NAA9697";#N/A,#N/A,FALSE,"ECWEBB";#N/A,#N/A,FALSE,"MFT96";#N/A,#N/A,FALSE,"CTrecon"}</definedName>
    <definedName name="sdff" localSheetId="12" hidden="1">{#N/A,#N/A,FALSE,"TMCOMP96";#N/A,#N/A,FALSE,"MAT96";#N/A,#N/A,FALSE,"FANDA96";#N/A,#N/A,FALSE,"INTRAN96";#N/A,#N/A,FALSE,"NAA9697";#N/A,#N/A,FALSE,"ECWEBB";#N/A,#N/A,FALSE,"MFT96";#N/A,#N/A,FALSE,"CTrecon"}</definedName>
    <definedName name="sdff" localSheetId="13" hidden="1">{#N/A,#N/A,FALSE,"TMCOMP96";#N/A,#N/A,FALSE,"MAT96";#N/A,#N/A,FALSE,"FANDA96";#N/A,#N/A,FALSE,"INTRAN96";#N/A,#N/A,FALSE,"NAA9697";#N/A,#N/A,FALSE,"ECWEBB";#N/A,#N/A,FALSE,"MFT96";#N/A,#N/A,FALSE,"CTrecon"}</definedName>
    <definedName name="sdff" localSheetId="14" hidden="1">{#N/A,#N/A,FALSE,"TMCOMP96";#N/A,#N/A,FALSE,"MAT96";#N/A,#N/A,FALSE,"FANDA96";#N/A,#N/A,FALSE,"INTRAN96";#N/A,#N/A,FALSE,"NAA9697";#N/A,#N/A,FALSE,"ECWEBB";#N/A,#N/A,FALSE,"MFT96";#N/A,#N/A,FALSE,"CTrecon"}</definedName>
    <definedName name="sdff" localSheetId="15" hidden="1">{#N/A,#N/A,FALSE,"TMCOMP96";#N/A,#N/A,FALSE,"MAT96";#N/A,#N/A,FALSE,"FANDA96";#N/A,#N/A,FALSE,"INTRAN96";#N/A,#N/A,FALSE,"NAA9697";#N/A,#N/A,FALSE,"ECWEBB";#N/A,#N/A,FALSE,"MFT96";#N/A,#N/A,FALSE,"CTrecon"}</definedName>
    <definedName name="sdff" localSheetId="16" hidden="1">{#N/A,#N/A,FALSE,"TMCOMP96";#N/A,#N/A,FALSE,"MAT96";#N/A,#N/A,FALSE,"FANDA96";#N/A,#N/A,FALSE,"INTRAN96";#N/A,#N/A,FALSE,"NAA9697";#N/A,#N/A,FALSE,"ECWEBB";#N/A,#N/A,FALSE,"MFT96";#N/A,#N/A,FALSE,"CTrecon"}</definedName>
    <definedName name="sdff" localSheetId="17" hidden="1">{#N/A,#N/A,FALSE,"TMCOMP96";#N/A,#N/A,FALSE,"MAT96";#N/A,#N/A,FALSE,"FANDA96";#N/A,#N/A,FALSE,"INTRAN96";#N/A,#N/A,FALSE,"NAA9697";#N/A,#N/A,FALSE,"ECWEBB";#N/A,#N/A,FALSE,"MFT96";#N/A,#N/A,FALSE,"CTrecon"}</definedName>
    <definedName name="sdff" localSheetId="18" hidden="1">{#N/A,#N/A,FALSE,"TMCOMP96";#N/A,#N/A,FALSE,"MAT96";#N/A,#N/A,FALSE,"FANDA96";#N/A,#N/A,FALSE,"INTRAN96";#N/A,#N/A,FALSE,"NAA9697";#N/A,#N/A,FALSE,"ECWEBB";#N/A,#N/A,FALSE,"MFT96";#N/A,#N/A,FALSE,"CTrecon"}</definedName>
    <definedName name="sdff" localSheetId="19" hidden="1">{#N/A,#N/A,FALSE,"TMCOMP96";#N/A,#N/A,FALSE,"MAT96";#N/A,#N/A,FALSE,"FANDA96";#N/A,#N/A,FALSE,"INTRAN96";#N/A,#N/A,FALSE,"NAA9697";#N/A,#N/A,FALSE,"ECWEBB";#N/A,#N/A,FALSE,"MFT96";#N/A,#N/A,FALSE,"CTrecon"}</definedName>
    <definedName name="sdff" localSheetId="20" hidden="1">{#N/A,#N/A,FALSE,"TMCOMP96";#N/A,#N/A,FALSE,"MAT96";#N/A,#N/A,FALSE,"FANDA96";#N/A,#N/A,FALSE,"INTRAN96";#N/A,#N/A,FALSE,"NAA9697";#N/A,#N/A,FALSE,"ECWEBB";#N/A,#N/A,FALSE,"MFT96";#N/A,#N/A,FALSE,"CTrecon"}</definedName>
    <definedName name="sdff" localSheetId="21" hidden="1">{#N/A,#N/A,FALSE,"TMCOMP96";#N/A,#N/A,FALSE,"MAT96";#N/A,#N/A,FALSE,"FANDA96";#N/A,#N/A,FALSE,"INTRAN96";#N/A,#N/A,FALSE,"NAA9697";#N/A,#N/A,FALSE,"ECWEBB";#N/A,#N/A,FALSE,"MFT96";#N/A,#N/A,FALSE,"CTrecon"}</definedName>
    <definedName name="sdff" localSheetId="2" hidden="1">{#N/A,#N/A,FALSE,"TMCOMP96";#N/A,#N/A,FALSE,"MAT96";#N/A,#N/A,FALSE,"FANDA96";#N/A,#N/A,FALSE,"INTRAN96";#N/A,#N/A,FALSE,"NAA9697";#N/A,#N/A,FALSE,"ECWEBB";#N/A,#N/A,FALSE,"MFT96";#N/A,#N/A,FALSE,"CTrecon"}</definedName>
    <definedName name="sdff" localSheetId="3" hidden="1">{#N/A,#N/A,FALSE,"TMCOMP96";#N/A,#N/A,FALSE,"MAT96";#N/A,#N/A,FALSE,"FANDA96";#N/A,#N/A,FALSE,"INTRAN96";#N/A,#N/A,FALSE,"NAA9697";#N/A,#N/A,FALSE,"ECWEBB";#N/A,#N/A,FALSE,"MFT96";#N/A,#N/A,FALSE,"CTrecon"}</definedName>
    <definedName name="sdff" localSheetId="4" hidden="1">{#N/A,#N/A,FALSE,"TMCOMP96";#N/A,#N/A,FALSE,"MAT96";#N/A,#N/A,FALSE,"FANDA96";#N/A,#N/A,FALSE,"INTRAN96";#N/A,#N/A,FALSE,"NAA9697";#N/A,#N/A,FALSE,"ECWEBB";#N/A,#N/A,FALSE,"MFT96";#N/A,#N/A,FALSE,"CTrecon"}</definedName>
    <definedName name="sdff" localSheetId="5" hidden="1">{#N/A,#N/A,FALSE,"TMCOMP96";#N/A,#N/A,FALSE,"MAT96";#N/A,#N/A,FALSE,"FANDA96";#N/A,#N/A,FALSE,"INTRAN96";#N/A,#N/A,FALSE,"NAA9697";#N/A,#N/A,FALSE,"ECWEBB";#N/A,#N/A,FALSE,"MFT96";#N/A,#N/A,FALSE,"CTrecon"}</definedName>
    <definedName name="sdff" localSheetId="6" hidden="1">{#N/A,#N/A,FALSE,"TMCOMP96";#N/A,#N/A,FALSE,"MAT96";#N/A,#N/A,FALSE,"FANDA96";#N/A,#N/A,FALSE,"INTRAN96";#N/A,#N/A,FALSE,"NAA9697";#N/A,#N/A,FALSE,"ECWEBB";#N/A,#N/A,FALSE,"MFT96";#N/A,#N/A,FALSE,"CTrecon"}</definedName>
    <definedName name="sdff" localSheetId="7" hidden="1">{#N/A,#N/A,FALSE,"TMCOMP96";#N/A,#N/A,FALSE,"MAT96";#N/A,#N/A,FALSE,"FANDA96";#N/A,#N/A,FALSE,"INTRAN96";#N/A,#N/A,FALSE,"NAA9697";#N/A,#N/A,FALSE,"ECWEBB";#N/A,#N/A,FALSE,"MFT96";#N/A,#N/A,FALSE,"CTrecon"}</definedName>
    <definedName name="sdff" localSheetId="8" hidden="1">{#N/A,#N/A,FALSE,"TMCOMP96";#N/A,#N/A,FALSE,"MAT96";#N/A,#N/A,FALSE,"FANDA96";#N/A,#N/A,FALSE,"INTRAN96";#N/A,#N/A,FALSE,"NAA9697";#N/A,#N/A,FALSE,"ECWEBB";#N/A,#N/A,FALSE,"MFT96";#N/A,#N/A,FALSE,"CTrecon"}</definedName>
    <definedName name="sdff" localSheetId="9"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localSheetId="1" hidden="1">{#N/A,#N/A,FALSE,"TMCOMP96";#N/A,#N/A,FALSE,"MAT96";#N/A,#N/A,FALSE,"FANDA96";#N/A,#N/A,FALSE,"INTRAN96";#N/A,#N/A,FALSE,"NAA9697";#N/A,#N/A,FALSE,"ECWEBB";#N/A,#N/A,FALSE,"MFT96";#N/A,#N/A,FALSE,"CTrecon"}</definedName>
    <definedName name="sfad" localSheetId="10" hidden="1">{#N/A,#N/A,FALSE,"TMCOMP96";#N/A,#N/A,FALSE,"MAT96";#N/A,#N/A,FALSE,"FANDA96";#N/A,#N/A,FALSE,"INTRAN96";#N/A,#N/A,FALSE,"NAA9697";#N/A,#N/A,FALSE,"ECWEBB";#N/A,#N/A,FALSE,"MFT96";#N/A,#N/A,FALSE,"CTrecon"}</definedName>
    <definedName name="sfad" localSheetId="11" hidden="1">{#N/A,#N/A,FALSE,"TMCOMP96";#N/A,#N/A,FALSE,"MAT96";#N/A,#N/A,FALSE,"FANDA96";#N/A,#N/A,FALSE,"INTRAN96";#N/A,#N/A,FALSE,"NAA9697";#N/A,#N/A,FALSE,"ECWEBB";#N/A,#N/A,FALSE,"MFT96";#N/A,#N/A,FALSE,"CTrecon"}</definedName>
    <definedName name="sfad" localSheetId="12" hidden="1">{#N/A,#N/A,FALSE,"TMCOMP96";#N/A,#N/A,FALSE,"MAT96";#N/A,#N/A,FALSE,"FANDA96";#N/A,#N/A,FALSE,"INTRAN96";#N/A,#N/A,FALSE,"NAA9697";#N/A,#N/A,FALSE,"ECWEBB";#N/A,#N/A,FALSE,"MFT96";#N/A,#N/A,FALSE,"CTrecon"}</definedName>
    <definedName name="sfad" localSheetId="13" hidden="1">{#N/A,#N/A,FALSE,"TMCOMP96";#N/A,#N/A,FALSE,"MAT96";#N/A,#N/A,FALSE,"FANDA96";#N/A,#N/A,FALSE,"INTRAN96";#N/A,#N/A,FALSE,"NAA9697";#N/A,#N/A,FALSE,"ECWEBB";#N/A,#N/A,FALSE,"MFT96";#N/A,#N/A,FALSE,"CTrecon"}</definedName>
    <definedName name="sfad" localSheetId="14" hidden="1">{#N/A,#N/A,FALSE,"TMCOMP96";#N/A,#N/A,FALSE,"MAT96";#N/A,#N/A,FALSE,"FANDA96";#N/A,#N/A,FALSE,"INTRAN96";#N/A,#N/A,FALSE,"NAA9697";#N/A,#N/A,FALSE,"ECWEBB";#N/A,#N/A,FALSE,"MFT96";#N/A,#N/A,FALSE,"CTrecon"}</definedName>
    <definedName name="sfad" localSheetId="15" hidden="1">{#N/A,#N/A,FALSE,"TMCOMP96";#N/A,#N/A,FALSE,"MAT96";#N/A,#N/A,FALSE,"FANDA96";#N/A,#N/A,FALSE,"INTRAN96";#N/A,#N/A,FALSE,"NAA9697";#N/A,#N/A,FALSE,"ECWEBB";#N/A,#N/A,FALSE,"MFT96";#N/A,#N/A,FALSE,"CTrecon"}</definedName>
    <definedName name="sfad" localSheetId="16" hidden="1">{#N/A,#N/A,FALSE,"TMCOMP96";#N/A,#N/A,FALSE,"MAT96";#N/A,#N/A,FALSE,"FANDA96";#N/A,#N/A,FALSE,"INTRAN96";#N/A,#N/A,FALSE,"NAA9697";#N/A,#N/A,FALSE,"ECWEBB";#N/A,#N/A,FALSE,"MFT96";#N/A,#N/A,FALSE,"CTrecon"}</definedName>
    <definedName name="sfad" localSheetId="17" hidden="1">{#N/A,#N/A,FALSE,"TMCOMP96";#N/A,#N/A,FALSE,"MAT96";#N/A,#N/A,FALSE,"FANDA96";#N/A,#N/A,FALSE,"INTRAN96";#N/A,#N/A,FALSE,"NAA9697";#N/A,#N/A,FALSE,"ECWEBB";#N/A,#N/A,FALSE,"MFT96";#N/A,#N/A,FALSE,"CTrecon"}</definedName>
    <definedName name="sfad" localSheetId="18" hidden="1">{#N/A,#N/A,FALSE,"TMCOMP96";#N/A,#N/A,FALSE,"MAT96";#N/A,#N/A,FALSE,"FANDA96";#N/A,#N/A,FALSE,"INTRAN96";#N/A,#N/A,FALSE,"NAA9697";#N/A,#N/A,FALSE,"ECWEBB";#N/A,#N/A,FALSE,"MFT96";#N/A,#N/A,FALSE,"CTrecon"}</definedName>
    <definedName name="sfad" localSheetId="19" hidden="1">{#N/A,#N/A,FALSE,"TMCOMP96";#N/A,#N/A,FALSE,"MAT96";#N/A,#N/A,FALSE,"FANDA96";#N/A,#N/A,FALSE,"INTRAN96";#N/A,#N/A,FALSE,"NAA9697";#N/A,#N/A,FALSE,"ECWEBB";#N/A,#N/A,FALSE,"MFT96";#N/A,#N/A,FALSE,"CTrecon"}</definedName>
    <definedName name="sfad" localSheetId="20" hidden="1">{#N/A,#N/A,FALSE,"TMCOMP96";#N/A,#N/A,FALSE,"MAT96";#N/A,#N/A,FALSE,"FANDA96";#N/A,#N/A,FALSE,"INTRAN96";#N/A,#N/A,FALSE,"NAA9697";#N/A,#N/A,FALSE,"ECWEBB";#N/A,#N/A,FALSE,"MFT96";#N/A,#N/A,FALSE,"CTrecon"}</definedName>
    <definedName name="sfad" localSheetId="21" hidden="1">{#N/A,#N/A,FALSE,"TMCOMP96";#N/A,#N/A,FALSE,"MAT96";#N/A,#N/A,FALSE,"FANDA96";#N/A,#N/A,FALSE,"INTRAN96";#N/A,#N/A,FALSE,"NAA9697";#N/A,#N/A,FALSE,"ECWEBB";#N/A,#N/A,FALSE,"MFT96";#N/A,#N/A,FALSE,"CTrecon"}</definedName>
    <definedName name="sfad" localSheetId="2" hidden="1">{#N/A,#N/A,FALSE,"TMCOMP96";#N/A,#N/A,FALSE,"MAT96";#N/A,#N/A,FALSE,"FANDA96";#N/A,#N/A,FALSE,"INTRAN96";#N/A,#N/A,FALSE,"NAA9697";#N/A,#N/A,FALSE,"ECWEBB";#N/A,#N/A,FALSE,"MFT96";#N/A,#N/A,FALSE,"CTrecon"}</definedName>
    <definedName name="sfad" localSheetId="3" hidden="1">{#N/A,#N/A,FALSE,"TMCOMP96";#N/A,#N/A,FALSE,"MAT96";#N/A,#N/A,FALSE,"FANDA96";#N/A,#N/A,FALSE,"INTRAN96";#N/A,#N/A,FALSE,"NAA9697";#N/A,#N/A,FALSE,"ECWEBB";#N/A,#N/A,FALSE,"MFT96";#N/A,#N/A,FALSE,"CTrecon"}</definedName>
    <definedName name="sfad" localSheetId="4" hidden="1">{#N/A,#N/A,FALSE,"TMCOMP96";#N/A,#N/A,FALSE,"MAT96";#N/A,#N/A,FALSE,"FANDA96";#N/A,#N/A,FALSE,"INTRAN96";#N/A,#N/A,FALSE,"NAA9697";#N/A,#N/A,FALSE,"ECWEBB";#N/A,#N/A,FALSE,"MFT96";#N/A,#N/A,FALSE,"CTrecon"}</definedName>
    <definedName name="sfad" localSheetId="5" hidden="1">{#N/A,#N/A,FALSE,"TMCOMP96";#N/A,#N/A,FALSE,"MAT96";#N/A,#N/A,FALSE,"FANDA96";#N/A,#N/A,FALSE,"INTRAN96";#N/A,#N/A,FALSE,"NAA9697";#N/A,#N/A,FALSE,"ECWEBB";#N/A,#N/A,FALSE,"MFT96";#N/A,#N/A,FALSE,"CTrecon"}</definedName>
    <definedName name="sfad" localSheetId="6" hidden="1">{#N/A,#N/A,FALSE,"TMCOMP96";#N/A,#N/A,FALSE,"MAT96";#N/A,#N/A,FALSE,"FANDA96";#N/A,#N/A,FALSE,"INTRAN96";#N/A,#N/A,FALSE,"NAA9697";#N/A,#N/A,FALSE,"ECWEBB";#N/A,#N/A,FALSE,"MFT96";#N/A,#N/A,FALSE,"CTrecon"}</definedName>
    <definedName name="sfad" localSheetId="7" hidden="1">{#N/A,#N/A,FALSE,"TMCOMP96";#N/A,#N/A,FALSE,"MAT96";#N/A,#N/A,FALSE,"FANDA96";#N/A,#N/A,FALSE,"INTRAN96";#N/A,#N/A,FALSE,"NAA9697";#N/A,#N/A,FALSE,"ECWEBB";#N/A,#N/A,FALSE,"MFT96";#N/A,#N/A,FALSE,"CTrecon"}</definedName>
    <definedName name="sfad" localSheetId="8" hidden="1">{#N/A,#N/A,FALSE,"TMCOMP96";#N/A,#N/A,FALSE,"MAT96";#N/A,#N/A,FALSE,"FANDA96";#N/A,#N/A,FALSE,"INTRAN96";#N/A,#N/A,FALSE,"NAA9697";#N/A,#N/A,FALSE,"ECWEBB";#N/A,#N/A,FALSE,"MFT96";#N/A,#N/A,FALSE,"CTrecon"}</definedName>
    <definedName name="sfad" localSheetId="9"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localSheetId="1" hidden="1">{#N/A,#N/A,FALSE,"TMCOMP96";#N/A,#N/A,FALSE,"MAT96";#N/A,#N/A,FALSE,"FANDA96";#N/A,#N/A,FALSE,"INTRAN96";#N/A,#N/A,FALSE,"NAA9697";#N/A,#N/A,FALSE,"ECWEBB";#N/A,#N/A,FALSE,"MFT96";#N/A,#N/A,FALSE,"CTrecon"}</definedName>
    <definedName name="trggh" localSheetId="10" hidden="1">{#N/A,#N/A,FALSE,"TMCOMP96";#N/A,#N/A,FALSE,"MAT96";#N/A,#N/A,FALSE,"FANDA96";#N/A,#N/A,FALSE,"INTRAN96";#N/A,#N/A,FALSE,"NAA9697";#N/A,#N/A,FALSE,"ECWEBB";#N/A,#N/A,FALSE,"MFT96";#N/A,#N/A,FALSE,"CTrecon"}</definedName>
    <definedName name="trggh" localSheetId="11" hidden="1">{#N/A,#N/A,FALSE,"TMCOMP96";#N/A,#N/A,FALSE,"MAT96";#N/A,#N/A,FALSE,"FANDA96";#N/A,#N/A,FALSE,"INTRAN96";#N/A,#N/A,FALSE,"NAA9697";#N/A,#N/A,FALSE,"ECWEBB";#N/A,#N/A,FALSE,"MFT96";#N/A,#N/A,FALSE,"CTrecon"}</definedName>
    <definedName name="trggh" localSheetId="12" hidden="1">{#N/A,#N/A,FALSE,"TMCOMP96";#N/A,#N/A,FALSE,"MAT96";#N/A,#N/A,FALSE,"FANDA96";#N/A,#N/A,FALSE,"INTRAN96";#N/A,#N/A,FALSE,"NAA9697";#N/A,#N/A,FALSE,"ECWEBB";#N/A,#N/A,FALSE,"MFT96";#N/A,#N/A,FALSE,"CTrecon"}</definedName>
    <definedName name="trggh" localSheetId="13" hidden="1">{#N/A,#N/A,FALSE,"TMCOMP96";#N/A,#N/A,FALSE,"MAT96";#N/A,#N/A,FALSE,"FANDA96";#N/A,#N/A,FALSE,"INTRAN96";#N/A,#N/A,FALSE,"NAA9697";#N/A,#N/A,FALSE,"ECWEBB";#N/A,#N/A,FALSE,"MFT96";#N/A,#N/A,FALSE,"CTrecon"}</definedName>
    <definedName name="trggh" localSheetId="14" hidden="1">{#N/A,#N/A,FALSE,"TMCOMP96";#N/A,#N/A,FALSE,"MAT96";#N/A,#N/A,FALSE,"FANDA96";#N/A,#N/A,FALSE,"INTRAN96";#N/A,#N/A,FALSE,"NAA9697";#N/A,#N/A,FALSE,"ECWEBB";#N/A,#N/A,FALSE,"MFT96";#N/A,#N/A,FALSE,"CTrecon"}</definedName>
    <definedName name="trggh" localSheetId="15" hidden="1">{#N/A,#N/A,FALSE,"TMCOMP96";#N/A,#N/A,FALSE,"MAT96";#N/A,#N/A,FALSE,"FANDA96";#N/A,#N/A,FALSE,"INTRAN96";#N/A,#N/A,FALSE,"NAA9697";#N/A,#N/A,FALSE,"ECWEBB";#N/A,#N/A,FALSE,"MFT96";#N/A,#N/A,FALSE,"CTrecon"}</definedName>
    <definedName name="trggh" localSheetId="16" hidden="1">{#N/A,#N/A,FALSE,"TMCOMP96";#N/A,#N/A,FALSE,"MAT96";#N/A,#N/A,FALSE,"FANDA96";#N/A,#N/A,FALSE,"INTRAN96";#N/A,#N/A,FALSE,"NAA9697";#N/A,#N/A,FALSE,"ECWEBB";#N/A,#N/A,FALSE,"MFT96";#N/A,#N/A,FALSE,"CTrecon"}</definedName>
    <definedName name="trggh" localSheetId="17" hidden="1">{#N/A,#N/A,FALSE,"TMCOMP96";#N/A,#N/A,FALSE,"MAT96";#N/A,#N/A,FALSE,"FANDA96";#N/A,#N/A,FALSE,"INTRAN96";#N/A,#N/A,FALSE,"NAA9697";#N/A,#N/A,FALSE,"ECWEBB";#N/A,#N/A,FALSE,"MFT96";#N/A,#N/A,FALSE,"CTrecon"}</definedName>
    <definedName name="trggh" localSheetId="18" hidden="1">{#N/A,#N/A,FALSE,"TMCOMP96";#N/A,#N/A,FALSE,"MAT96";#N/A,#N/A,FALSE,"FANDA96";#N/A,#N/A,FALSE,"INTRAN96";#N/A,#N/A,FALSE,"NAA9697";#N/A,#N/A,FALSE,"ECWEBB";#N/A,#N/A,FALSE,"MFT96";#N/A,#N/A,FALSE,"CTrecon"}</definedName>
    <definedName name="trggh" localSheetId="19" hidden="1">{#N/A,#N/A,FALSE,"TMCOMP96";#N/A,#N/A,FALSE,"MAT96";#N/A,#N/A,FALSE,"FANDA96";#N/A,#N/A,FALSE,"INTRAN96";#N/A,#N/A,FALSE,"NAA9697";#N/A,#N/A,FALSE,"ECWEBB";#N/A,#N/A,FALSE,"MFT96";#N/A,#N/A,FALSE,"CTrecon"}</definedName>
    <definedName name="trggh" localSheetId="20" hidden="1">{#N/A,#N/A,FALSE,"TMCOMP96";#N/A,#N/A,FALSE,"MAT96";#N/A,#N/A,FALSE,"FANDA96";#N/A,#N/A,FALSE,"INTRAN96";#N/A,#N/A,FALSE,"NAA9697";#N/A,#N/A,FALSE,"ECWEBB";#N/A,#N/A,FALSE,"MFT96";#N/A,#N/A,FALSE,"CTrecon"}</definedName>
    <definedName name="trggh" localSheetId="21" hidden="1">{#N/A,#N/A,FALSE,"TMCOMP96";#N/A,#N/A,FALSE,"MAT96";#N/A,#N/A,FALSE,"FANDA96";#N/A,#N/A,FALSE,"INTRAN96";#N/A,#N/A,FALSE,"NAA9697";#N/A,#N/A,FALSE,"ECWEBB";#N/A,#N/A,FALSE,"MFT96";#N/A,#N/A,FALSE,"CTrecon"}</definedName>
    <definedName name="trggh" localSheetId="2" hidden="1">{#N/A,#N/A,FALSE,"TMCOMP96";#N/A,#N/A,FALSE,"MAT96";#N/A,#N/A,FALSE,"FANDA96";#N/A,#N/A,FALSE,"INTRAN96";#N/A,#N/A,FALSE,"NAA9697";#N/A,#N/A,FALSE,"ECWEBB";#N/A,#N/A,FALSE,"MFT96";#N/A,#N/A,FALSE,"CTrecon"}</definedName>
    <definedName name="trggh" localSheetId="3" hidden="1">{#N/A,#N/A,FALSE,"TMCOMP96";#N/A,#N/A,FALSE,"MAT96";#N/A,#N/A,FALSE,"FANDA96";#N/A,#N/A,FALSE,"INTRAN96";#N/A,#N/A,FALSE,"NAA9697";#N/A,#N/A,FALSE,"ECWEBB";#N/A,#N/A,FALSE,"MFT96";#N/A,#N/A,FALSE,"CTrecon"}</definedName>
    <definedName name="trggh" localSheetId="4" hidden="1">{#N/A,#N/A,FALSE,"TMCOMP96";#N/A,#N/A,FALSE,"MAT96";#N/A,#N/A,FALSE,"FANDA96";#N/A,#N/A,FALSE,"INTRAN96";#N/A,#N/A,FALSE,"NAA9697";#N/A,#N/A,FALSE,"ECWEBB";#N/A,#N/A,FALSE,"MFT96";#N/A,#N/A,FALSE,"CTrecon"}</definedName>
    <definedName name="trggh" localSheetId="5" hidden="1">{#N/A,#N/A,FALSE,"TMCOMP96";#N/A,#N/A,FALSE,"MAT96";#N/A,#N/A,FALSE,"FANDA96";#N/A,#N/A,FALSE,"INTRAN96";#N/A,#N/A,FALSE,"NAA9697";#N/A,#N/A,FALSE,"ECWEBB";#N/A,#N/A,FALSE,"MFT96";#N/A,#N/A,FALSE,"CTrecon"}</definedName>
    <definedName name="trggh" localSheetId="6" hidden="1">{#N/A,#N/A,FALSE,"TMCOMP96";#N/A,#N/A,FALSE,"MAT96";#N/A,#N/A,FALSE,"FANDA96";#N/A,#N/A,FALSE,"INTRAN96";#N/A,#N/A,FALSE,"NAA9697";#N/A,#N/A,FALSE,"ECWEBB";#N/A,#N/A,FALSE,"MFT96";#N/A,#N/A,FALSE,"CTrecon"}</definedName>
    <definedName name="trggh" localSheetId="7" hidden="1">{#N/A,#N/A,FALSE,"TMCOMP96";#N/A,#N/A,FALSE,"MAT96";#N/A,#N/A,FALSE,"FANDA96";#N/A,#N/A,FALSE,"INTRAN96";#N/A,#N/A,FALSE,"NAA9697";#N/A,#N/A,FALSE,"ECWEBB";#N/A,#N/A,FALSE,"MFT96";#N/A,#N/A,FALSE,"CTrecon"}</definedName>
    <definedName name="trggh" localSheetId="8" hidden="1">{#N/A,#N/A,FALSE,"TMCOMP96";#N/A,#N/A,FALSE,"MAT96";#N/A,#N/A,FALSE,"FANDA96";#N/A,#N/A,FALSE,"INTRAN96";#N/A,#N/A,FALSE,"NAA9697";#N/A,#N/A,FALSE,"ECWEBB";#N/A,#N/A,FALSE,"MFT96";#N/A,#N/A,FALSE,"CTrecon"}</definedName>
    <definedName name="trggh" localSheetId="9"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localSheetId="1" hidden="1">{#N/A,#N/A,FALSE,"TMCOMP96";#N/A,#N/A,FALSE,"MAT96";#N/A,#N/A,FALSE,"FANDA96";#N/A,#N/A,FALSE,"INTRAN96";#N/A,#N/A,FALSE,"NAA9697";#N/A,#N/A,FALSE,"ECWEBB";#N/A,#N/A,FALSE,"MFT96";#N/A,#N/A,FALSE,"CTrecon"}</definedName>
    <definedName name="wrn.TMCOMP." localSheetId="10" hidden="1">{#N/A,#N/A,FALSE,"TMCOMP96";#N/A,#N/A,FALSE,"MAT96";#N/A,#N/A,FALSE,"FANDA96";#N/A,#N/A,FALSE,"INTRAN96";#N/A,#N/A,FALSE,"NAA9697";#N/A,#N/A,FALSE,"ECWEBB";#N/A,#N/A,FALSE,"MFT96";#N/A,#N/A,FALSE,"CTrecon"}</definedName>
    <definedName name="wrn.TMCOMP." localSheetId="11" hidden="1">{#N/A,#N/A,FALSE,"TMCOMP96";#N/A,#N/A,FALSE,"MAT96";#N/A,#N/A,FALSE,"FANDA96";#N/A,#N/A,FALSE,"INTRAN96";#N/A,#N/A,FALSE,"NAA9697";#N/A,#N/A,FALSE,"ECWEBB";#N/A,#N/A,FALSE,"MFT96";#N/A,#N/A,FALSE,"CTrecon"}</definedName>
    <definedName name="wrn.TMCOMP." localSheetId="12" hidden="1">{#N/A,#N/A,FALSE,"TMCOMP96";#N/A,#N/A,FALSE,"MAT96";#N/A,#N/A,FALSE,"FANDA96";#N/A,#N/A,FALSE,"INTRAN96";#N/A,#N/A,FALSE,"NAA9697";#N/A,#N/A,FALSE,"ECWEBB";#N/A,#N/A,FALSE,"MFT96";#N/A,#N/A,FALSE,"CTrecon"}</definedName>
    <definedName name="wrn.TMCOMP." localSheetId="13" hidden="1">{#N/A,#N/A,FALSE,"TMCOMP96";#N/A,#N/A,FALSE,"MAT96";#N/A,#N/A,FALSE,"FANDA96";#N/A,#N/A,FALSE,"INTRAN96";#N/A,#N/A,FALSE,"NAA9697";#N/A,#N/A,FALSE,"ECWEBB";#N/A,#N/A,FALSE,"MFT96";#N/A,#N/A,FALSE,"CTrecon"}</definedName>
    <definedName name="wrn.TMCOMP." localSheetId="14" hidden="1">{#N/A,#N/A,FALSE,"TMCOMP96";#N/A,#N/A,FALSE,"MAT96";#N/A,#N/A,FALSE,"FANDA96";#N/A,#N/A,FALSE,"INTRAN96";#N/A,#N/A,FALSE,"NAA9697";#N/A,#N/A,FALSE,"ECWEBB";#N/A,#N/A,FALSE,"MFT96";#N/A,#N/A,FALSE,"CTrecon"}</definedName>
    <definedName name="wrn.TMCOMP." localSheetId="15" hidden="1">{#N/A,#N/A,FALSE,"TMCOMP96";#N/A,#N/A,FALSE,"MAT96";#N/A,#N/A,FALSE,"FANDA96";#N/A,#N/A,FALSE,"INTRAN96";#N/A,#N/A,FALSE,"NAA9697";#N/A,#N/A,FALSE,"ECWEBB";#N/A,#N/A,FALSE,"MFT96";#N/A,#N/A,FALSE,"CTrecon"}</definedName>
    <definedName name="wrn.TMCOMP." localSheetId="16" hidden="1">{#N/A,#N/A,FALSE,"TMCOMP96";#N/A,#N/A,FALSE,"MAT96";#N/A,#N/A,FALSE,"FANDA96";#N/A,#N/A,FALSE,"INTRAN96";#N/A,#N/A,FALSE,"NAA9697";#N/A,#N/A,FALSE,"ECWEBB";#N/A,#N/A,FALSE,"MFT96";#N/A,#N/A,FALSE,"CTrecon"}</definedName>
    <definedName name="wrn.TMCOMP." localSheetId="17" hidden="1">{#N/A,#N/A,FALSE,"TMCOMP96";#N/A,#N/A,FALSE,"MAT96";#N/A,#N/A,FALSE,"FANDA96";#N/A,#N/A,FALSE,"INTRAN96";#N/A,#N/A,FALSE,"NAA9697";#N/A,#N/A,FALSE,"ECWEBB";#N/A,#N/A,FALSE,"MFT96";#N/A,#N/A,FALSE,"CTrecon"}</definedName>
    <definedName name="wrn.TMCOMP." localSheetId="18" hidden="1">{#N/A,#N/A,FALSE,"TMCOMP96";#N/A,#N/A,FALSE,"MAT96";#N/A,#N/A,FALSE,"FANDA96";#N/A,#N/A,FALSE,"INTRAN96";#N/A,#N/A,FALSE,"NAA9697";#N/A,#N/A,FALSE,"ECWEBB";#N/A,#N/A,FALSE,"MFT96";#N/A,#N/A,FALSE,"CTrecon"}</definedName>
    <definedName name="wrn.TMCOMP." localSheetId="19" hidden="1">{#N/A,#N/A,FALSE,"TMCOMP96";#N/A,#N/A,FALSE,"MAT96";#N/A,#N/A,FALSE,"FANDA96";#N/A,#N/A,FALSE,"INTRAN96";#N/A,#N/A,FALSE,"NAA9697";#N/A,#N/A,FALSE,"ECWEBB";#N/A,#N/A,FALSE,"MFT96";#N/A,#N/A,FALSE,"CTrecon"}</definedName>
    <definedName name="wrn.TMCOMP." localSheetId="20" hidden="1">{#N/A,#N/A,FALSE,"TMCOMP96";#N/A,#N/A,FALSE,"MAT96";#N/A,#N/A,FALSE,"FANDA96";#N/A,#N/A,FALSE,"INTRAN96";#N/A,#N/A,FALSE,"NAA9697";#N/A,#N/A,FALSE,"ECWEBB";#N/A,#N/A,FALSE,"MFT96";#N/A,#N/A,FALSE,"CTrecon"}</definedName>
    <definedName name="wrn.TMCOMP." localSheetId="21" hidden="1">{#N/A,#N/A,FALSE,"TMCOMP96";#N/A,#N/A,FALSE,"MAT96";#N/A,#N/A,FALSE,"FANDA96";#N/A,#N/A,FALSE,"INTRAN96";#N/A,#N/A,FALSE,"NAA9697";#N/A,#N/A,FALSE,"ECWEBB";#N/A,#N/A,FALSE,"MFT96";#N/A,#N/A,FALSE,"CTrecon"}</definedName>
    <definedName name="wrn.TMCOMP." localSheetId="2" hidden="1">{#N/A,#N/A,FALSE,"TMCOMP96";#N/A,#N/A,FALSE,"MAT96";#N/A,#N/A,FALSE,"FANDA96";#N/A,#N/A,FALSE,"INTRAN96";#N/A,#N/A,FALSE,"NAA9697";#N/A,#N/A,FALSE,"ECWEBB";#N/A,#N/A,FALSE,"MFT96";#N/A,#N/A,FALSE,"CTrecon"}</definedName>
    <definedName name="wrn.TMCOMP." localSheetId="3" hidden="1">{#N/A,#N/A,FALSE,"TMCOMP96";#N/A,#N/A,FALSE,"MAT96";#N/A,#N/A,FALSE,"FANDA96";#N/A,#N/A,FALSE,"INTRAN96";#N/A,#N/A,FALSE,"NAA9697";#N/A,#N/A,FALSE,"ECWEBB";#N/A,#N/A,FALSE,"MFT96";#N/A,#N/A,FALSE,"CTrecon"}</definedName>
    <definedName name="wrn.TMCOMP." localSheetId="4" hidden="1">{#N/A,#N/A,FALSE,"TMCOMP96";#N/A,#N/A,FALSE,"MAT96";#N/A,#N/A,FALSE,"FANDA96";#N/A,#N/A,FALSE,"INTRAN96";#N/A,#N/A,FALSE,"NAA9697";#N/A,#N/A,FALSE,"ECWEBB";#N/A,#N/A,FALSE,"MFT96";#N/A,#N/A,FALSE,"CTrecon"}</definedName>
    <definedName name="wrn.TMCOMP." localSheetId="5" hidden="1">{#N/A,#N/A,FALSE,"TMCOMP96";#N/A,#N/A,FALSE,"MAT96";#N/A,#N/A,FALSE,"FANDA96";#N/A,#N/A,FALSE,"INTRAN96";#N/A,#N/A,FALSE,"NAA9697";#N/A,#N/A,FALSE,"ECWEBB";#N/A,#N/A,FALSE,"MFT96";#N/A,#N/A,FALSE,"CTrecon"}</definedName>
    <definedName name="wrn.TMCOMP." localSheetId="6" hidden="1">{#N/A,#N/A,FALSE,"TMCOMP96";#N/A,#N/A,FALSE,"MAT96";#N/A,#N/A,FALSE,"FANDA96";#N/A,#N/A,FALSE,"INTRAN96";#N/A,#N/A,FALSE,"NAA9697";#N/A,#N/A,FALSE,"ECWEBB";#N/A,#N/A,FALSE,"MFT96";#N/A,#N/A,FALSE,"CTrecon"}</definedName>
    <definedName name="wrn.TMCOMP." localSheetId="7" hidden="1">{#N/A,#N/A,FALSE,"TMCOMP96";#N/A,#N/A,FALSE,"MAT96";#N/A,#N/A,FALSE,"FANDA96";#N/A,#N/A,FALSE,"INTRAN96";#N/A,#N/A,FALSE,"NAA9697";#N/A,#N/A,FALSE,"ECWEBB";#N/A,#N/A,FALSE,"MFT96";#N/A,#N/A,FALSE,"CTrecon"}</definedName>
    <definedName name="wrn.TMCOMP." localSheetId="8" hidden="1">{#N/A,#N/A,FALSE,"TMCOMP96";#N/A,#N/A,FALSE,"MAT96";#N/A,#N/A,FALSE,"FANDA96";#N/A,#N/A,FALSE,"INTRAN96";#N/A,#N/A,FALSE,"NAA9697";#N/A,#N/A,FALSE,"ECWEBB";#N/A,#N/A,FALSE,"MFT96";#N/A,#N/A,FALSE,"CTrecon"}</definedName>
    <definedName name="wrn.TMCOMP." localSheetId="9"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8" i="154" l="1"/>
  <c r="C304" i="154"/>
  <c r="C296" i="154"/>
  <c r="C292" i="154"/>
  <c r="C290" i="154"/>
  <c r="C284" i="154"/>
  <c r="C282" i="154"/>
  <c r="C276" i="154"/>
  <c r="C299" i="154" l="1"/>
  <c r="C303" i="154"/>
  <c r="C309" i="154"/>
  <c r="C298" i="154"/>
  <c r="C300" i="154"/>
  <c r="C306" i="154"/>
  <c r="C308" i="154"/>
  <c r="C305" i="154"/>
  <c r="C301" i="154"/>
  <c r="C307" i="154"/>
  <c r="C278" i="154"/>
  <c r="C286" i="154"/>
  <c r="C294" i="154"/>
  <c r="C302" i="154"/>
  <c r="C310" i="154"/>
  <c r="C225" i="154"/>
  <c r="C227" i="154"/>
  <c r="C279" i="154"/>
  <c r="C287" i="154"/>
  <c r="C295" i="154"/>
  <c r="C280" i="154"/>
  <c r="C289" i="154"/>
  <c r="C226" i="154"/>
  <c r="C228" i="154"/>
  <c r="C234" i="154"/>
  <c r="C236" i="154"/>
  <c r="C238" i="154"/>
  <c r="C244" i="154"/>
  <c r="C250" i="154"/>
  <c r="C275" i="154"/>
  <c r="C283" i="154"/>
  <c r="C291" i="154"/>
  <c r="C297" i="154"/>
  <c r="C221" i="154"/>
  <c r="C281" i="154"/>
  <c r="C277" i="154"/>
  <c r="C285" i="154"/>
  <c r="C293" i="154"/>
  <c r="C223" i="154"/>
  <c r="C231" i="154"/>
  <c r="C239" i="154"/>
  <c r="C255" i="154"/>
  <c r="C224" i="154"/>
  <c r="C232" i="154"/>
  <c r="C240" i="154"/>
  <c r="C248" i="154"/>
  <c r="C233" i="154"/>
  <c r="C241" i="154"/>
  <c r="C249" i="154"/>
  <c r="C242" i="154"/>
  <c r="C243" i="154"/>
  <c r="C252" i="154"/>
  <c r="C251" i="154"/>
  <c r="C229" i="154"/>
  <c r="C237" i="154"/>
  <c r="C245" i="154"/>
  <c r="C253" i="154"/>
  <c r="C235" i="154"/>
  <c r="C222" i="154"/>
  <c r="C230" i="154"/>
  <c r="C246" i="154"/>
  <c r="C254" i="154"/>
  <c r="C247" i="154"/>
  <c r="E120" i="155" l="1"/>
  <c r="E108" i="155"/>
  <c r="E118" i="155"/>
  <c r="E147" i="155"/>
  <c r="E143" i="155"/>
  <c r="E141" i="155"/>
  <c r="E139" i="155"/>
  <c r="E135" i="155"/>
  <c r="E133" i="155"/>
  <c r="E131" i="155"/>
  <c r="E129" i="155"/>
  <c r="E127" i="155"/>
  <c r="E125" i="155"/>
  <c r="E140" i="155"/>
  <c r="E136" i="155"/>
  <c r="E128" i="155"/>
  <c r="E124" i="155"/>
  <c r="E132" i="155"/>
  <c r="E116" i="155"/>
  <c r="E106" i="155"/>
  <c r="E142" i="155"/>
  <c r="E130" i="155"/>
  <c r="E110" i="155"/>
  <c r="E146" i="155"/>
  <c r="E138" i="155"/>
  <c r="E122" i="155"/>
  <c r="E144" i="155"/>
  <c r="E123" i="155"/>
  <c r="E121" i="155"/>
  <c r="E119" i="155"/>
  <c r="E134" i="155"/>
  <c r="E109" i="155"/>
  <c r="E107" i="155"/>
  <c r="E126" i="155"/>
  <c r="E148" i="155"/>
  <c r="E117" i="155"/>
  <c r="E111" i="155"/>
  <c r="C70" i="162"/>
  <c r="D70" i="162"/>
  <c r="E70" i="162"/>
  <c r="F70" i="162"/>
  <c r="G70" i="162"/>
  <c r="C83" i="162" l="1"/>
  <c r="D83" i="162"/>
  <c r="E83" i="162"/>
  <c r="F83" i="162"/>
  <c r="G83" i="162"/>
  <c r="E112" i="155"/>
  <c r="E102" i="155"/>
  <c r="E101" i="155"/>
  <c r="E115" i="155" l="1"/>
  <c r="E137" i="155"/>
  <c r="E105" i="155"/>
  <c r="E145" i="155"/>
  <c r="E113" i="155"/>
  <c r="E114" i="155"/>
  <c r="E104" i="155"/>
  <c r="E103" i="155"/>
  <c r="J100" i="155"/>
  <c r="J98" i="155"/>
  <c r="I125" i="147"/>
  <c r="I105" i="147"/>
  <c r="E125" i="160"/>
  <c r="C125" i="160"/>
  <c r="D125" i="160"/>
  <c r="F125" i="160"/>
  <c r="G125" i="160"/>
  <c r="H125" i="160"/>
  <c r="C105" i="160"/>
  <c r="D105" i="160"/>
  <c r="E105" i="160"/>
  <c r="F105" i="160"/>
  <c r="G105" i="160"/>
  <c r="H105" i="160"/>
  <c r="W125" i="147"/>
  <c r="X125" i="147"/>
  <c r="P125" i="147"/>
  <c r="Q125" i="147"/>
  <c r="R125" i="147"/>
  <c r="T125" i="147"/>
  <c r="U125" i="147"/>
  <c r="P105" i="147"/>
  <c r="Q105" i="147"/>
  <c r="R105" i="147"/>
  <c r="T105" i="147"/>
  <c r="U105" i="147"/>
  <c r="W105" i="147"/>
  <c r="X105" i="147"/>
  <c r="C105" i="147"/>
  <c r="D105" i="147"/>
  <c r="E105" i="147"/>
  <c r="F105" i="147"/>
  <c r="G105" i="147"/>
  <c r="H105" i="147"/>
  <c r="J105" i="147"/>
  <c r="K105" i="147"/>
  <c r="L105" i="147"/>
  <c r="M105" i="147"/>
  <c r="N105" i="147"/>
  <c r="E98" i="149"/>
  <c r="C124" i="149"/>
  <c r="D124" i="149"/>
  <c r="C148" i="149"/>
  <c r="D148" i="149"/>
  <c r="S125" i="147"/>
  <c r="S105" i="147"/>
  <c r="L99" i="146" l="1"/>
  <c r="L125" i="146"/>
  <c r="E97" i="149"/>
  <c r="C148" i="145"/>
  <c r="C104" i="164"/>
  <c r="E148" i="144"/>
  <c r="G98" i="146"/>
  <c r="G149" i="146"/>
  <c r="G125" i="146"/>
  <c r="L149" i="146"/>
  <c r="E99" i="149"/>
  <c r="J124" i="155"/>
  <c r="J148" i="155"/>
  <c r="J97" i="155"/>
  <c r="J99" i="155"/>
  <c r="E148" i="149"/>
  <c r="E124" i="149"/>
  <c r="E100" i="149"/>
  <c r="L101" i="146"/>
  <c r="G101" i="146"/>
  <c r="L98" i="146"/>
  <c r="G99" i="146"/>
  <c r="L100" i="146"/>
  <c r="G100" i="146"/>
  <c r="E124" i="144"/>
  <c r="E100" i="144"/>
  <c r="E98" i="144"/>
  <c r="E97" i="144"/>
  <c r="E99" i="144"/>
  <c r="C106" i="160" l="1"/>
  <c r="C86" i="160"/>
  <c r="C88" i="147"/>
  <c r="C87" i="147"/>
  <c r="J147" i="155"/>
  <c r="J146" i="155"/>
  <c r="J145" i="155"/>
  <c r="J144" i="155"/>
  <c r="J143" i="155"/>
  <c r="J142" i="155"/>
  <c r="J141" i="155"/>
  <c r="J140" i="155"/>
  <c r="J139" i="155"/>
  <c r="J138" i="155"/>
  <c r="J137" i="155"/>
  <c r="J136" i="155"/>
  <c r="J135" i="155"/>
  <c r="J134" i="155"/>
  <c r="J133" i="155"/>
  <c r="J132" i="155"/>
  <c r="J131" i="155"/>
  <c r="J130" i="155"/>
  <c r="J129" i="155"/>
  <c r="J128" i="155"/>
  <c r="J127" i="155"/>
  <c r="J126" i="155"/>
  <c r="J125" i="155"/>
  <c r="J123" i="155"/>
  <c r="J122" i="155"/>
  <c r="J121" i="155"/>
  <c r="J120" i="155"/>
  <c r="J119" i="155"/>
  <c r="J118" i="155"/>
  <c r="J117" i="155"/>
  <c r="J116" i="155"/>
  <c r="J115" i="155"/>
  <c r="J114" i="155"/>
  <c r="J113" i="155"/>
  <c r="J112" i="155"/>
  <c r="J111" i="155"/>
  <c r="J110" i="155"/>
  <c r="J109" i="155"/>
  <c r="J108" i="155"/>
  <c r="J107" i="155"/>
  <c r="J106" i="155"/>
  <c r="J105" i="155"/>
  <c r="J104" i="155"/>
  <c r="J103" i="155"/>
  <c r="J102" i="155"/>
  <c r="J101" i="155"/>
  <c r="J4" i="155"/>
  <c r="E4" i="149" l="1"/>
  <c r="C58" i="162"/>
  <c r="E4" i="144"/>
  <c r="G62" i="162" l="1"/>
  <c r="F74" i="162"/>
  <c r="C61" i="162"/>
  <c r="C67" i="162"/>
  <c r="G59" i="162"/>
  <c r="G60" i="162"/>
  <c r="C63" i="162"/>
  <c r="F80" i="162"/>
  <c r="C65" i="162"/>
  <c r="F81" i="162"/>
  <c r="G64" i="162"/>
  <c r="F78" i="162"/>
  <c r="G69" i="162"/>
  <c r="F76" i="162"/>
  <c r="F62" i="162"/>
  <c r="F60" i="162"/>
  <c r="F66" i="162"/>
  <c r="F64" i="162"/>
  <c r="E76" i="162"/>
  <c r="F69" i="162"/>
  <c r="E74" i="162"/>
  <c r="E80" i="162"/>
  <c r="D80" i="162"/>
  <c r="F59" i="162"/>
  <c r="E78" i="162"/>
  <c r="C62" i="162"/>
  <c r="G61" i="162"/>
  <c r="F73" i="162"/>
  <c r="G67" i="162"/>
  <c r="C66" i="162"/>
  <c r="G65" i="162"/>
  <c r="F77" i="162"/>
  <c r="C64" i="162"/>
  <c r="F82" i="162"/>
  <c r="C69" i="162"/>
  <c r="G68" i="162"/>
  <c r="D74" i="162"/>
  <c r="E64" i="162"/>
  <c r="F72" i="162"/>
  <c r="C59" i="162"/>
  <c r="G63" i="162"/>
  <c r="F75" i="162"/>
  <c r="C60" i="162"/>
  <c r="F79" i="162"/>
  <c r="E72" i="162"/>
  <c r="F63" i="162"/>
  <c r="E75" i="162"/>
  <c r="F61" i="162"/>
  <c r="E73" i="162"/>
  <c r="F67" i="162"/>
  <c r="E79" i="162"/>
  <c r="F65" i="162"/>
  <c r="E77" i="162"/>
  <c r="E82" i="162"/>
  <c r="F68" i="162"/>
  <c r="E62" i="162"/>
  <c r="E60" i="162"/>
  <c r="E66" i="162"/>
  <c r="D72" i="162"/>
  <c r="E63" i="162"/>
  <c r="D75" i="162"/>
  <c r="E61" i="162"/>
  <c r="D73" i="162"/>
  <c r="E67" i="162"/>
  <c r="D79" i="162"/>
  <c r="E65" i="162"/>
  <c r="D77" i="162"/>
  <c r="D82" i="162"/>
  <c r="E68" i="162"/>
  <c r="E59" i="162"/>
  <c r="D78" i="162"/>
  <c r="C72" i="162"/>
  <c r="D63" i="162"/>
  <c r="C75" i="162"/>
  <c r="G74" i="162"/>
  <c r="D61" i="162"/>
  <c r="C73" i="162"/>
  <c r="G80" i="162"/>
  <c r="D67" i="162"/>
  <c r="C79" i="162"/>
  <c r="G78" i="162"/>
  <c r="D65" i="162"/>
  <c r="C77" i="162"/>
  <c r="G76" i="162"/>
  <c r="C82" i="162"/>
  <c r="G81" i="162"/>
  <c r="D68" i="162"/>
  <c r="G66" i="162"/>
  <c r="C68" i="162"/>
  <c r="E81" i="162"/>
  <c r="D81" i="162"/>
  <c r="D76" i="162"/>
  <c r="E69" i="162"/>
  <c r="G72" i="162"/>
  <c r="D59" i="162"/>
  <c r="C71" i="162"/>
  <c r="G75" i="162"/>
  <c r="D62" i="162"/>
  <c r="C74" i="162"/>
  <c r="G73" i="162"/>
  <c r="D60" i="162"/>
  <c r="C80" i="162"/>
  <c r="G79" i="162"/>
  <c r="D66" i="162"/>
  <c r="C78" i="162"/>
  <c r="G77" i="162"/>
  <c r="D64" i="162"/>
  <c r="C76" i="162"/>
  <c r="G82" i="162"/>
  <c r="D69" i="162"/>
  <c r="C81" i="162"/>
  <c r="C103" i="164"/>
  <c r="C101" i="164"/>
  <c r="C99" i="164"/>
  <c r="C97" i="164"/>
  <c r="C95" i="164"/>
  <c r="C93" i="164"/>
  <c r="C91" i="164"/>
  <c r="C89" i="164"/>
  <c r="C87" i="164"/>
  <c r="C102" i="164"/>
  <c r="C100" i="164"/>
  <c r="C98" i="164"/>
  <c r="C96" i="164"/>
  <c r="C94" i="164"/>
  <c r="C92" i="164"/>
  <c r="C90" i="164"/>
  <c r="C88" i="164"/>
  <c r="C86" i="164"/>
  <c r="D125" i="149"/>
  <c r="D102" i="149"/>
  <c r="D126" i="149"/>
  <c r="D104" i="149"/>
  <c r="D128" i="149"/>
  <c r="D106" i="149"/>
  <c r="D130" i="149"/>
  <c r="D107" i="149"/>
  <c r="D131" i="149"/>
  <c r="D108" i="149"/>
  <c r="D132" i="149"/>
  <c r="D110" i="149"/>
  <c r="D134" i="149"/>
  <c r="D112" i="149"/>
  <c r="D136" i="149"/>
  <c r="D114" i="149"/>
  <c r="D138" i="149"/>
  <c r="D115" i="149"/>
  <c r="D139" i="149"/>
  <c r="D116" i="149"/>
  <c r="D140" i="149"/>
  <c r="D118" i="149"/>
  <c r="D142" i="149"/>
  <c r="D120" i="149"/>
  <c r="D144" i="149"/>
  <c r="D122" i="149"/>
  <c r="D146" i="149"/>
  <c r="D123" i="149"/>
  <c r="D147" i="149"/>
  <c r="C125" i="149"/>
  <c r="C126" i="149"/>
  <c r="C127" i="149"/>
  <c r="C128" i="149"/>
  <c r="C129" i="149"/>
  <c r="C130" i="149"/>
  <c r="C131" i="149"/>
  <c r="C132" i="149"/>
  <c r="C133" i="149"/>
  <c r="C134" i="149"/>
  <c r="C135" i="149"/>
  <c r="C136" i="149"/>
  <c r="C137" i="149"/>
  <c r="C138" i="149"/>
  <c r="C139" i="149"/>
  <c r="C140" i="149"/>
  <c r="C141" i="149"/>
  <c r="C142" i="149"/>
  <c r="C143" i="149"/>
  <c r="C144" i="149"/>
  <c r="C145" i="149"/>
  <c r="C122" i="149"/>
  <c r="C146" i="149"/>
  <c r="C123" i="149"/>
  <c r="C147" i="149"/>
  <c r="E90" i="149" l="1"/>
  <c r="E82" i="149"/>
  <c r="E74" i="149"/>
  <c r="E66" i="149"/>
  <c r="E58" i="149"/>
  <c r="E50" i="149"/>
  <c r="E42" i="149"/>
  <c r="E34" i="149"/>
  <c r="E26" i="149"/>
  <c r="J92" i="155"/>
  <c r="E18" i="149"/>
  <c r="E93" i="149"/>
  <c r="E85" i="149"/>
  <c r="E77" i="149"/>
  <c r="E69" i="149"/>
  <c r="E61" i="149"/>
  <c r="E53" i="149"/>
  <c r="E45" i="149"/>
  <c r="E37" i="149"/>
  <c r="E29" i="149"/>
  <c r="E21" i="149"/>
  <c r="E13" i="149"/>
  <c r="E5" i="149"/>
  <c r="E89" i="149"/>
  <c r="E81" i="149"/>
  <c r="E73" i="149"/>
  <c r="E65" i="149"/>
  <c r="E57" i="149"/>
  <c r="E49" i="149"/>
  <c r="E41" i="149"/>
  <c r="E33" i="149"/>
  <c r="E25" i="149"/>
  <c r="E10" i="149"/>
  <c r="E17" i="149"/>
  <c r="E9" i="149"/>
  <c r="J95" i="155"/>
  <c r="J94" i="155"/>
  <c r="E94" i="149"/>
  <c r="E86" i="149"/>
  <c r="E78" i="149"/>
  <c r="E70" i="149"/>
  <c r="E62" i="149"/>
  <c r="E54" i="149"/>
  <c r="E46" i="149"/>
  <c r="E38" i="149"/>
  <c r="E30" i="149"/>
  <c r="E22" i="149"/>
  <c r="E14" i="149"/>
  <c r="E6" i="149"/>
  <c r="E83" i="149"/>
  <c r="E75" i="149"/>
  <c r="E67" i="149"/>
  <c r="E59" i="149"/>
  <c r="E51" i="149"/>
  <c r="E43" i="149"/>
  <c r="E35" i="149"/>
  <c r="E27" i="149"/>
  <c r="E19" i="149"/>
  <c r="E11" i="149"/>
  <c r="E87" i="149"/>
  <c r="E79" i="149"/>
  <c r="E71" i="149"/>
  <c r="E55" i="149"/>
  <c r="E47" i="149"/>
  <c r="E39" i="149"/>
  <c r="E23" i="149"/>
  <c r="E15" i="149"/>
  <c r="E7" i="149"/>
  <c r="D103" i="149"/>
  <c r="D119" i="149"/>
  <c r="J93" i="155"/>
  <c r="E88" i="149"/>
  <c r="E80" i="149"/>
  <c r="E72" i="149"/>
  <c r="E56" i="149"/>
  <c r="E48" i="149"/>
  <c r="E40" i="149"/>
  <c r="E24" i="149"/>
  <c r="E16" i="149"/>
  <c r="D111" i="149"/>
  <c r="J96" i="155"/>
  <c r="E142" i="149"/>
  <c r="D145" i="149"/>
  <c r="E145" i="149" s="1"/>
  <c r="D137" i="149"/>
  <c r="E137" i="149" s="1"/>
  <c r="D129" i="149"/>
  <c r="E129" i="149" s="1"/>
  <c r="E92" i="149"/>
  <c r="E84" i="149"/>
  <c r="E76" i="149"/>
  <c r="E68" i="149"/>
  <c r="E60" i="149"/>
  <c r="E52" i="149"/>
  <c r="E44" i="149"/>
  <c r="E36" i="149"/>
  <c r="E28" i="149"/>
  <c r="E20" i="149"/>
  <c r="E12" i="149"/>
  <c r="D121" i="149"/>
  <c r="D113" i="149"/>
  <c r="D105" i="149"/>
  <c r="E91" i="149"/>
  <c r="D143" i="149"/>
  <c r="E143" i="149" s="1"/>
  <c r="D135" i="149"/>
  <c r="E135" i="149" s="1"/>
  <c r="D127" i="149"/>
  <c r="E127" i="149" s="1"/>
  <c r="D141" i="149"/>
  <c r="E141" i="149" s="1"/>
  <c r="D133" i="149"/>
  <c r="E133" i="149" s="1"/>
  <c r="E96" i="149"/>
  <c r="E64" i="149"/>
  <c r="E32" i="149"/>
  <c r="E8" i="149"/>
  <c r="D117" i="149"/>
  <c r="D109" i="149"/>
  <c r="E95" i="149"/>
  <c r="E63" i="149"/>
  <c r="E31" i="149"/>
  <c r="E134" i="149"/>
  <c r="E147" i="149"/>
  <c r="E126" i="149"/>
  <c r="E146" i="149"/>
  <c r="E140" i="149"/>
  <c r="E138" i="149"/>
  <c r="E132" i="149"/>
  <c r="E130" i="149"/>
  <c r="E144" i="149"/>
  <c r="E125" i="149"/>
  <c r="E122" i="149"/>
  <c r="E136" i="149"/>
  <c r="E128" i="149"/>
  <c r="E131" i="149"/>
  <c r="E123" i="149"/>
  <c r="E139" i="149"/>
  <c r="I122" i="147" l="1"/>
  <c r="I123" i="147"/>
  <c r="I124" i="147"/>
  <c r="I103" i="147"/>
  <c r="I104" i="147"/>
  <c r="C123" i="160"/>
  <c r="D123" i="160"/>
  <c r="E123" i="160"/>
  <c r="F123" i="160"/>
  <c r="G123" i="160"/>
  <c r="H123" i="160"/>
  <c r="C104" i="160"/>
  <c r="D104" i="160"/>
  <c r="E104" i="160"/>
  <c r="F104" i="160"/>
  <c r="G104" i="160"/>
  <c r="H104" i="160"/>
  <c r="C124" i="160"/>
  <c r="D124" i="160"/>
  <c r="E124" i="160"/>
  <c r="F124" i="160"/>
  <c r="G124" i="160"/>
  <c r="H124" i="160"/>
  <c r="C123" i="147"/>
  <c r="D123" i="147"/>
  <c r="E123" i="147"/>
  <c r="F123" i="147"/>
  <c r="G123" i="147"/>
  <c r="H123" i="147"/>
  <c r="J123" i="147"/>
  <c r="K123" i="147"/>
  <c r="L123" i="147"/>
  <c r="M123" i="147"/>
  <c r="N123" i="147"/>
  <c r="P123" i="147"/>
  <c r="Q123" i="147"/>
  <c r="R123" i="147"/>
  <c r="T123" i="147"/>
  <c r="U123" i="147"/>
  <c r="W123" i="147"/>
  <c r="X123" i="147"/>
  <c r="C104" i="147"/>
  <c r="D104" i="147"/>
  <c r="E104" i="147"/>
  <c r="F104" i="147"/>
  <c r="G104" i="147"/>
  <c r="H104" i="147"/>
  <c r="J104" i="147"/>
  <c r="K104" i="147"/>
  <c r="L104" i="147"/>
  <c r="M104" i="147"/>
  <c r="N104" i="147"/>
  <c r="P104" i="147"/>
  <c r="Q104" i="147"/>
  <c r="R104" i="147"/>
  <c r="T104" i="147"/>
  <c r="U104" i="147"/>
  <c r="W104" i="147"/>
  <c r="X104" i="147"/>
  <c r="L96" i="146" l="1"/>
  <c r="L95" i="146"/>
  <c r="G124" i="146"/>
  <c r="G95" i="146"/>
  <c r="G94" i="146"/>
  <c r="L94" i="146"/>
  <c r="L124" i="146"/>
  <c r="G97" i="146"/>
  <c r="L93" i="146"/>
  <c r="L123" i="146"/>
  <c r="L148" i="146"/>
  <c r="L147" i="146"/>
  <c r="L97" i="146"/>
  <c r="G96" i="146"/>
  <c r="L127" i="146"/>
  <c r="L126" i="146"/>
  <c r="G93" i="146"/>
  <c r="G123" i="146"/>
  <c r="G127" i="146"/>
  <c r="G126" i="146"/>
  <c r="G148" i="146"/>
  <c r="G147" i="146"/>
  <c r="S123" i="147" l="1"/>
  <c r="S124" i="147"/>
  <c r="S103" i="147"/>
  <c r="S104" i="147"/>
  <c r="I121" i="147"/>
  <c r="I120" i="147"/>
  <c r="I119" i="147"/>
  <c r="I118" i="147"/>
  <c r="I117" i="147"/>
  <c r="I116" i="147"/>
  <c r="I115" i="147"/>
  <c r="I114" i="147"/>
  <c r="I113" i="147"/>
  <c r="I112" i="147"/>
  <c r="I111" i="147"/>
  <c r="I110" i="147"/>
  <c r="I109" i="147"/>
  <c r="I108" i="147"/>
  <c r="I107" i="147"/>
  <c r="I106" i="147"/>
  <c r="I102" i="147"/>
  <c r="I101" i="147"/>
  <c r="I100" i="147"/>
  <c r="I99" i="147"/>
  <c r="I98" i="147"/>
  <c r="I97" i="147"/>
  <c r="I96" i="147"/>
  <c r="I95" i="147"/>
  <c r="I94" i="147"/>
  <c r="I93" i="147"/>
  <c r="I92" i="147"/>
  <c r="I91" i="147"/>
  <c r="I90" i="147"/>
  <c r="I89" i="147"/>
  <c r="I88" i="147"/>
  <c r="I87" i="147"/>
  <c r="I86" i="147"/>
  <c r="C85" i="164"/>
  <c r="H103" i="160"/>
  <c r="G103" i="160"/>
  <c r="F103" i="160"/>
  <c r="E103" i="160"/>
  <c r="D103" i="160"/>
  <c r="C103" i="160"/>
  <c r="X103" i="147"/>
  <c r="W103" i="147"/>
  <c r="U103" i="147"/>
  <c r="T103" i="147"/>
  <c r="R103" i="147"/>
  <c r="Q103" i="147"/>
  <c r="P103" i="147"/>
  <c r="N103" i="147"/>
  <c r="M103" i="147"/>
  <c r="L103" i="147"/>
  <c r="K103" i="147"/>
  <c r="J103" i="147"/>
  <c r="H103" i="147"/>
  <c r="G103" i="147"/>
  <c r="F103" i="147"/>
  <c r="E103" i="147"/>
  <c r="D103" i="147"/>
  <c r="C103" i="147"/>
  <c r="S122" i="147"/>
  <c r="S121" i="147"/>
  <c r="S120" i="147"/>
  <c r="S119" i="147"/>
  <c r="S118" i="147"/>
  <c r="S117" i="147"/>
  <c r="S116" i="147"/>
  <c r="S115" i="147"/>
  <c r="S114" i="147"/>
  <c r="S113" i="147"/>
  <c r="S112" i="147"/>
  <c r="S111" i="147"/>
  <c r="S110" i="147"/>
  <c r="S109" i="147"/>
  <c r="S108" i="147"/>
  <c r="S107" i="147"/>
  <c r="S106" i="147"/>
  <c r="S102" i="147"/>
  <c r="S101" i="147"/>
  <c r="S100" i="147"/>
  <c r="S99" i="147"/>
  <c r="S98" i="147"/>
  <c r="S97" i="147"/>
  <c r="S96" i="147"/>
  <c r="S95" i="147"/>
  <c r="S94" i="147"/>
  <c r="S93" i="147"/>
  <c r="S92" i="147"/>
  <c r="S91" i="147"/>
  <c r="S90" i="147"/>
  <c r="S89" i="147"/>
  <c r="S88" i="147"/>
  <c r="S87" i="147"/>
  <c r="S86" i="147"/>
  <c r="C126" i="145" l="1"/>
  <c r="C142" i="145"/>
  <c r="C144" i="145"/>
  <c r="C146" i="145"/>
  <c r="C147" i="145"/>
  <c r="E96" i="144"/>
  <c r="E92" i="144"/>
  <c r="E94" i="144"/>
  <c r="E122" i="144"/>
  <c r="C141" i="145"/>
  <c r="C143" i="145"/>
  <c r="C145" i="145"/>
  <c r="E123" i="144"/>
  <c r="E95" i="144"/>
  <c r="E93" i="144"/>
  <c r="E147" i="144"/>
  <c r="E146" i="144"/>
  <c r="K126" i="139"/>
  <c r="K127" i="139"/>
  <c r="K125" i="139"/>
  <c r="K102" i="139"/>
  <c r="K103" i="139"/>
  <c r="K104" i="139"/>
  <c r="K101" i="139"/>
  <c r="E125" i="144" l="1"/>
  <c r="K128" i="139" l="1"/>
  <c r="J7" i="155" l="1"/>
  <c r="C106" i="147" l="1"/>
  <c r="C101" i="149"/>
  <c r="C121" i="149"/>
  <c r="E121" i="149" s="1"/>
  <c r="C120" i="149"/>
  <c r="E120" i="149" s="1"/>
  <c r="C119" i="149"/>
  <c r="E119" i="149" s="1"/>
  <c r="C118" i="149"/>
  <c r="E118" i="149" s="1"/>
  <c r="C117" i="149"/>
  <c r="E117" i="149" s="1"/>
  <c r="C116" i="149"/>
  <c r="E116" i="149" s="1"/>
  <c r="C115" i="149"/>
  <c r="E115" i="149" s="1"/>
  <c r="C114" i="149"/>
  <c r="E114" i="149" s="1"/>
  <c r="C113" i="149"/>
  <c r="E113" i="149" s="1"/>
  <c r="C112" i="149"/>
  <c r="E112" i="149" s="1"/>
  <c r="C111" i="149"/>
  <c r="E111" i="149" s="1"/>
  <c r="C110" i="149"/>
  <c r="E110" i="149" s="1"/>
  <c r="C109" i="149"/>
  <c r="E109" i="149" s="1"/>
  <c r="C108" i="149"/>
  <c r="E108" i="149" s="1"/>
  <c r="C107" i="149"/>
  <c r="E107" i="149" s="1"/>
  <c r="C106" i="149"/>
  <c r="E106" i="149" s="1"/>
  <c r="C105" i="149"/>
  <c r="E105" i="149" s="1"/>
  <c r="C104" i="149"/>
  <c r="E104" i="149" s="1"/>
  <c r="C103" i="149"/>
  <c r="E103" i="149" s="1"/>
  <c r="C102" i="149"/>
  <c r="E102" i="149" s="1"/>
  <c r="D101" i="149"/>
  <c r="E101" i="149" l="1"/>
  <c r="C122" i="160"/>
  <c r="D122" i="160"/>
  <c r="E122" i="160"/>
  <c r="F122" i="160"/>
  <c r="G122" i="160"/>
  <c r="H122" i="160"/>
  <c r="G102" i="160"/>
  <c r="G101" i="160"/>
  <c r="E101" i="160"/>
  <c r="E100" i="160"/>
  <c r="C100" i="160"/>
  <c r="C99" i="160"/>
  <c r="G98" i="160"/>
  <c r="G97" i="160"/>
  <c r="E97" i="160"/>
  <c r="E96" i="160"/>
  <c r="C96" i="160"/>
  <c r="C95" i="160"/>
  <c r="G94" i="160"/>
  <c r="G93" i="160"/>
  <c r="F93" i="160"/>
  <c r="E93" i="160"/>
  <c r="E92" i="160"/>
  <c r="D92" i="160"/>
  <c r="C92" i="160"/>
  <c r="C91" i="160"/>
  <c r="G90" i="160"/>
  <c r="G89" i="160"/>
  <c r="F89" i="160"/>
  <c r="E89" i="160"/>
  <c r="E88" i="160"/>
  <c r="D88" i="160"/>
  <c r="C88" i="160"/>
  <c r="C87" i="160"/>
  <c r="D87" i="160"/>
  <c r="E87" i="160"/>
  <c r="F87" i="160"/>
  <c r="G87" i="160"/>
  <c r="H87" i="160"/>
  <c r="F88" i="160"/>
  <c r="G88" i="160"/>
  <c r="H88" i="160"/>
  <c r="C89" i="160"/>
  <c r="D89" i="160"/>
  <c r="H89" i="160"/>
  <c r="C90" i="160"/>
  <c r="D90" i="160"/>
  <c r="E90" i="160"/>
  <c r="F90" i="160"/>
  <c r="H90" i="160"/>
  <c r="D91" i="160"/>
  <c r="E91" i="160"/>
  <c r="F91" i="160"/>
  <c r="G91" i="160"/>
  <c r="H91" i="160"/>
  <c r="F92" i="160"/>
  <c r="G92" i="160"/>
  <c r="H92" i="160"/>
  <c r="C93" i="160"/>
  <c r="D93" i="160"/>
  <c r="H93" i="160"/>
  <c r="C94" i="160"/>
  <c r="D94" i="160"/>
  <c r="E94" i="160"/>
  <c r="F94" i="160"/>
  <c r="H94" i="160"/>
  <c r="D95" i="160"/>
  <c r="E95" i="160"/>
  <c r="F95" i="160"/>
  <c r="G95" i="160"/>
  <c r="H95" i="160"/>
  <c r="D96" i="160"/>
  <c r="F96" i="160"/>
  <c r="G96" i="160"/>
  <c r="H96" i="160"/>
  <c r="C97" i="160"/>
  <c r="D97" i="160"/>
  <c r="F97" i="160"/>
  <c r="H97" i="160"/>
  <c r="C98" i="160"/>
  <c r="D98" i="160"/>
  <c r="E98" i="160"/>
  <c r="F98" i="160"/>
  <c r="H98" i="160"/>
  <c r="D99" i="160"/>
  <c r="E99" i="160"/>
  <c r="F99" i="160"/>
  <c r="G99" i="160"/>
  <c r="H99" i="160"/>
  <c r="D100" i="160"/>
  <c r="F100" i="160"/>
  <c r="G100" i="160"/>
  <c r="H100" i="160"/>
  <c r="C101" i="160"/>
  <c r="D101" i="160"/>
  <c r="F101" i="160"/>
  <c r="H101" i="160"/>
  <c r="C102" i="160"/>
  <c r="D102" i="160"/>
  <c r="E102" i="160"/>
  <c r="F102" i="160"/>
  <c r="H102" i="160"/>
  <c r="C86" i="147"/>
  <c r="X122" i="147"/>
  <c r="W122" i="147"/>
  <c r="U122" i="147"/>
  <c r="T122" i="147"/>
  <c r="R122" i="147"/>
  <c r="Q122" i="147"/>
  <c r="P122" i="147"/>
  <c r="N122" i="147"/>
  <c r="M122" i="147"/>
  <c r="L122" i="147"/>
  <c r="K122" i="147"/>
  <c r="J122" i="147"/>
  <c r="H122" i="147"/>
  <c r="G122" i="147"/>
  <c r="F122" i="147"/>
  <c r="E122" i="147"/>
  <c r="D122" i="147"/>
  <c r="C122" i="147"/>
  <c r="X121" i="147"/>
  <c r="W121" i="147"/>
  <c r="U121" i="147"/>
  <c r="T121" i="147"/>
  <c r="R121" i="147"/>
  <c r="Q121" i="147"/>
  <c r="P121" i="147"/>
  <c r="N121" i="147"/>
  <c r="M121" i="147"/>
  <c r="L121" i="147"/>
  <c r="K121" i="147"/>
  <c r="J121" i="147"/>
  <c r="H121" i="147"/>
  <c r="G121" i="147"/>
  <c r="F121" i="147"/>
  <c r="E121" i="147"/>
  <c r="D121" i="147"/>
  <c r="C121" i="147"/>
  <c r="X120" i="147"/>
  <c r="W120" i="147"/>
  <c r="U120" i="147"/>
  <c r="T120" i="147"/>
  <c r="R120" i="147"/>
  <c r="Q120" i="147"/>
  <c r="P120" i="147"/>
  <c r="N120" i="147"/>
  <c r="M120" i="147"/>
  <c r="L120" i="147"/>
  <c r="K120" i="147"/>
  <c r="J120" i="147"/>
  <c r="H120" i="147"/>
  <c r="G120" i="147"/>
  <c r="F120" i="147"/>
  <c r="E120" i="147"/>
  <c r="D120" i="147"/>
  <c r="C120" i="147"/>
  <c r="X119" i="147"/>
  <c r="W119" i="147"/>
  <c r="U119" i="147"/>
  <c r="T119" i="147"/>
  <c r="R119" i="147"/>
  <c r="Q119" i="147"/>
  <c r="P119" i="147"/>
  <c r="N119" i="147"/>
  <c r="M119" i="147"/>
  <c r="L119" i="147"/>
  <c r="K119" i="147"/>
  <c r="J119" i="147"/>
  <c r="H119" i="147"/>
  <c r="G119" i="147"/>
  <c r="F119" i="147"/>
  <c r="E119" i="147"/>
  <c r="D119" i="147"/>
  <c r="C119" i="147"/>
  <c r="X118" i="147"/>
  <c r="W118" i="147"/>
  <c r="U118" i="147"/>
  <c r="T118" i="147"/>
  <c r="R118" i="147"/>
  <c r="Q118" i="147"/>
  <c r="P118" i="147"/>
  <c r="N118" i="147"/>
  <c r="M118" i="147"/>
  <c r="L118" i="147"/>
  <c r="K118" i="147"/>
  <c r="J118" i="147"/>
  <c r="H118" i="147"/>
  <c r="G118" i="147"/>
  <c r="F118" i="147"/>
  <c r="E118" i="147"/>
  <c r="D118" i="147"/>
  <c r="C118" i="147"/>
  <c r="X117" i="147"/>
  <c r="W117" i="147"/>
  <c r="U117" i="147"/>
  <c r="T117" i="147"/>
  <c r="R117" i="147"/>
  <c r="Q117" i="147"/>
  <c r="P117" i="147"/>
  <c r="N117" i="147"/>
  <c r="M117" i="147"/>
  <c r="L117" i="147"/>
  <c r="K117" i="147"/>
  <c r="J117" i="147"/>
  <c r="H117" i="147"/>
  <c r="G117" i="147"/>
  <c r="F117" i="147"/>
  <c r="E117" i="147"/>
  <c r="D117" i="147"/>
  <c r="C117" i="147"/>
  <c r="X116" i="147"/>
  <c r="W116" i="147"/>
  <c r="U116" i="147"/>
  <c r="T116" i="147"/>
  <c r="R116" i="147"/>
  <c r="Q116" i="147"/>
  <c r="P116" i="147"/>
  <c r="N116" i="147"/>
  <c r="M116" i="147"/>
  <c r="L116" i="147"/>
  <c r="K116" i="147"/>
  <c r="J116" i="147"/>
  <c r="H116" i="147"/>
  <c r="G116" i="147"/>
  <c r="F116" i="147"/>
  <c r="E116" i="147"/>
  <c r="D116" i="147"/>
  <c r="C116" i="147"/>
  <c r="X115" i="147"/>
  <c r="W115" i="147"/>
  <c r="U115" i="147"/>
  <c r="T115" i="147"/>
  <c r="R115" i="147"/>
  <c r="Q115" i="147"/>
  <c r="P115" i="147"/>
  <c r="N115" i="147"/>
  <c r="M115" i="147"/>
  <c r="L115" i="147"/>
  <c r="K115" i="147"/>
  <c r="J115" i="147"/>
  <c r="H115" i="147"/>
  <c r="G115" i="147"/>
  <c r="F115" i="147"/>
  <c r="E115" i="147"/>
  <c r="D115" i="147"/>
  <c r="C115" i="147"/>
  <c r="X114" i="147"/>
  <c r="W114" i="147"/>
  <c r="U114" i="147"/>
  <c r="T114" i="147"/>
  <c r="R114" i="147"/>
  <c r="Q114" i="147"/>
  <c r="P114" i="147"/>
  <c r="N114" i="147"/>
  <c r="M114" i="147"/>
  <c r="L114" i="147"/>
  <c r="K114" i="147"/>
  <c r="J114" i="147"/>
  <c r="H114" i="147"/>
  <c r="G114" i="147"/>
  <c r="F114" i="147"/>
  <c r="E114" i="147"/>
  <c r="D114" i="147"/>
  <c r="C114" i="147"/>
  <c r="X113" i="147"/>
  <c r="W113" i="147"/>
  <c r="U113" i="147"/>
  <c r="T113" i="147"/>
  <c r="R113" i="147"/>
  <c r="Q113" i="147"/>
  <c r="P113" i="147"/>
  <c r="N113" i="147"/>
  <c r="M113" i="147"/>
  <c r="L113" i="147"/>
  <c r="K113" i="147"/>
  <c r="J113" i="147"/>
  <c r="H113" i="147"/>
  <c r="G113" i="147"/>
  <c r="F113" i="147"/>
  <c r="E113" i="147"/>
  <c r="D113" i="147"/>
  <c r="C113" i="147"/>
  <c r="X112" i="147"/>
  <c r="W112" i="147"/>
  <c r="U112" i="147"/>
  <c r="T112" i="147"/>
  <c r="R112" i="147"/>
  <c r="Q112" i="147"/>
  <c r="P112" i="147"/>
  <c r="N112" i="147"/>
  <c r="M112" i="147"/>
  <c r="L112" i="147"/>
  <c r="K112" i="147"/>
  <c r="J112" i="147"/>
  <c r="H112" i="147"/>
  <c r="G112" i="147"/>
  <c r="F112" i="147"/>
  <c r="E112" i="147"/>
  <c r="D112" i="147"/>
  <c r="C112" i="147"/>
  <c r="X111" i="147"/>
  <c r="W111" i="147"/>
  <c r="U111" i="147"/>
  <c r="T111" i="147"/>
  <c r="R111" i="147"/>
  <c r="Q111" i="147"/>
  <c r="P111" i="147"/>
  <c r="N111" i="147"/>
  <c r="M111" i="147"/>
  <c r="L111" i="147"/>
  <c r="K111" i="147"/>
  <c r="J111" i="147"/>
  <c r="H111" i="147"/>
  <c r="G111" i="147"/>
  <c r="F111" i="147"/>
  <c r="E111" i="147"/>
  <c r="D111" i="147"/>
  <c r="C111" i="147"/>
  <c r="X110" i="147"/>
  <c r="W110" i="147"/>
  <c r="U110" i="147"/>
  <c r="T110" i="147"/>
  <c r="R110" i="147"/>
  <c r="Q110" i="147"/>
  <c r="P110" i="147"/>
  <c r="N110" i="147"/>
  <c r="M110" i="147"/>
  <c r="L110" i="147"/>
  <c r="K110" i="147"/>
  <c r="J110" i="147"/>
  <c r="H110" i="147"/>
  <c r="G110" i="147"/>
  <c r="F110" i="147"/>
  <c r="E110" i="147"/>
  <c r="D110" i="147"/>
  <c r="C110" i="147"/>
  <c r="X109" i="147"/>
  <c r="W109" i="147"/>
  <c r="U109" i="147"/>
  <c r="T109" i="147"/>
  <c r="R109" i="147"/>
  <c r="Q109" i="147"/>
  <c r="P109" i="147"/>
  <c r="N109" i="147"/>
  <c r="M109" i="147"/>
  <c r="L109" i="147"/>
  <c r="K109" i="147"/>
  <c r="J109" i="147"/>
  <c r="H109" i="147"/>
  <c r="G109" i="147"/>
  <c r="F109" i="147"/>
  <c r="E109" i="147"/>
  <c r="D109" i="147"/>
  <c r="C109" i="147"/>
  <c r="X108" i="147"/>
  <c r="W108" i="147"/>
  <c r="U108" i="147"/>
  <c r="T108" i="147"/>
  <c r="R108" i="147"/>
  <c r="Q108" i="147"/>
  <c r="P108" i="147"/>
  <c r="N108" i="147"/>
  <c r="M108" i="147"/>
  <c r="L108" i="147"/>
  <c r="K108" i="147"/>
  <c r="J108" i="147"/>
  <c r="H108" i="147"/>
  <c r="G108" i="147"/>
  <c r="F108" i="147"/>
  <c r="E108" i="147"/>
  <c r="D108" i="147"/>
  <c r="C108" i="147"/>
  <c r="X107" i="147"/>
  <c r="W107" i="147"/>
  <c r="U107" i="147"/>
  <c r="T107" i="147"/>
  <c r="R107" i="147"/>
  <c r="Q107" i="147"/>
  <c r="P107" i="147"/>
  <c r="N107" i="147"/>
  <c r="M107" i="147"/>
  <c r="L107" i="147"/>
  <c r="K107" i="147"/>
  <c r="J107" i="147"/>
  <c r="H107" i="147"/>
  <c r="G107" i="147"/>
  <c r="F107" i="147"/>
  <c r="E107" i="147"/>
  <c r="D107" i="147"/>
  <c r="C107" i="147"/>
  <c r="X102" i="147"/>
  <c r="W102" i="147"/>
  <c r="U102" i="147"/>
  <c r="T102" i="147"/>
  <c r="R102" i="147"/>
  <c r="Q102" i="147"/>
  <c r="P102" i="147"/>
  <c r="N102" i="147"/>
  <c r="M102" i="147"/>
  <c r="L102" i="147"/>
  <c r="K102" i="147"/>
  <c r="J102" i="147"/>
  <c r="H102" i="147"/>
  <c r="G102" i="147"/>
  <c r="F102" i="147"/>
  <c r="E102" i="147"/>
  <c r="D102" i="147"/>
  <c r="C102" i="147"/>
  <c r="X101" i="147"/>
  <c r="W101" i="147"/>
  <c r="U101" i="147"/>
  <c r="T101" i="147"/>
  <c r="R101" i="147"/>
  <c r="Q101" i="147"/>
  <c r="P101" i="147"/>
  <c r="N101" i="147"/>
  <c r="M101" i="147"/>
  <c r="L101" i="147"/>
  <c r="K101" i="147"/>
  <c r="J101" i="147"/>
  <c r="H101" i="147"/>
  <c r="G101" i="147"/>
  <c r="F101" i="147"/>
  <c r="E101" i="147"/>
  <c r="D101" i="147"/>
  <c r="C101" i="147"/>
  <c r="X100" i="147"/>
  <c r="W100" i="147"/>
  <c r="U100" i="147"/>
  <c r="T100" i="147"/>
  <c r="R100" i="147"/>
  <c r="Q100" i="147"/>
  <c r="P100" i="147"/>
  <c r="N100" i="147"/>
  <c r="M100" i="147"/>
  <c r="L100" i="147"/>
  <c r="K100" i="147"/>
  <c r="J100" i="147"/>
  <c r="H100" i="147"/>
  <c r="G100" i="147"/>
  <c r="F100" i="147"/>
  <c r="E100" i="147"/>
  <c r="D100" i="147"/>
  <c r="C100" i="147"/>
  <c r="X99" i="147"/>
  <c r="W99" i="147"/>
  <c r="U99" i="147"/>
  <c r="T99" i="147"/>
  <c r="R99" i="147"/>
  <c r="Q99" i="147"/>
  <c r="P99" i="147"/>
  <c r="N99" i="147"/>
  <c r="M99" i="147"/>
  <c r="L99" i="147"/>
  <c r="K99" i="147"/>
  <c r="J99" i="147"/>
  <c r="H99" i="147"/>
  <c r="G99" i="147"/>
  <c r="F99" i="147"/>
  <c r="E99" i="147"/>
  <c r="D99" i="147"/>
  <c r="C99" i="147"/>
  <c r="X98" i="147"/>
  <c r="W98" i="147"/>
  <c r="U98" i="147"/>
  <c r="T98" i="147"/>
  <c r="R98" i="147"/>
  <c r="Q98" i="147"/>
  <c r="P98" i="147"/>
  <c r="N98" i="147"/>
  <c r="M98" i="147"/>
  <c r="L98" i="147"/>
  <c r="K98" i="147"/>
  <c r="J98" i="147"/>
  <c r="H98" i="147"/>
  <c r="G98" i="147"/>
  <c r="F98" i="147"/>
  <c r="E98" i="147"/>
  <c r="D98" i="147"/>
  <c r="C98" i="147"/>
  <c r="X97" i="147"/>
  <c r="W97" i="147"/>
  <c r="U97" i="147"/>
  <c r="T97" i="147"/>
  <c r="R97" i="147"/>
  <c r="Q97" i="147"/>
  <c r="P97" i="147"/>
  <c r="N97" i="147"/>
  <c r="M97" i="147"/>
  <c r="L97" i="147"/>
  <c r="K97" i="147"/>
  <c r="J97" i="147"/>
  <c r="H97" i="147"/>
  <c r="G97" i="147"/>
  <c r="F97" i="147"/>
  <c r="E97" i="147"/>
  <c r="D97" i="147"/>
  <c r="C97" i="147"/>
  <c r="X96" i="147"/>
  <c r="W96" i="147"/>
  <c r="U96" i="147"/>
  <c r="T96" i="147"/>
  <c r="R96" i="147"/>
  <c r="Q96" i="147"/>
  <c r="P96" i="147"/>
  <c r="N96" i="147"/>
  <c r="M96" i="147"/>
  <c r="L96" i="147"/>
  <c r="K96" i="147"/>
  <c r="J96" i="147"/>
  <c r="H96" i="147"/>
  <c r="G96" i="147"/>
  <c r="F96" i="147"/>
  <c r="E96" i="147"/>
  <c r="D96" i="147"/>
  <c r="C96" i="147"/>
  <c r="X95" i="147"/>
  <c r="W95" i="147"/>
  <c r="U95" i="147"/>
  <c r="T95" i="147"/>
  <c r="R95" i="147"/>
  <c r="Q95" i="147"/>
  <c r="P95" i="147"/>
  <c r="N95" i="147"/>
  <c r="M95" i="147"/>
  <c r="L95" i="147"/>
  <c r="K95" i="147"/>
  <c r="J95" i="147"/>
  <c r="H95" i="147"/>
  <c r="G95" i="147"/>
  <c r="F95" i="147"/>
  <c r="E95" i="147"/>
  <c r="D95" i="147"/>
  <c r="C95" i="147"/>
  <c r="X94" i="147"/>
  <c r="W94" i="147"/>
  <c r="U94" i="147"/>
  <c r="T94" i="147"/>
  <c r="R94" i="147"/>
  <c r="Q94" i="147"/>
  <c r="P94" i="147"/>
  <c r="N94" i="147"/>
  <c r="M94" i="147"/>
  <c r="L94" i="147"/>
  <c r="K94" i="147"/>
  <c r="J94" i="147"/>
  <c r="H94" i="147"/>
  <c r="G94" i="147"/>
  <c r="F94" i="147"/>
  <c r="E94" i="147"/>
  <c r="D94" i="147"/>
  <c r="C94" i="147"/>
  <c r="X93" i="147"/>
  <c r="W93" i="147"/>
  <c r="U93" i="147"/>
  <c r="T93" i="147"/>
  <c r="R93" i="147"/>
  <c r="Q93" i="147"/>
  <c r="P93" i="147"/>
  <c r="N93" i="147"/>
  <c r="M93" i="147"/>
  <c r="L93" i="147"/>
  <c r="K93" i="147"/>
  <c r="J93" i="147"/>
  <c r="H93" i="147"/>
  <c r="G93" i="147"/>
  <c r="F93" i="147"/>
  <c r="E93" i="147"/>
  <c r="D93" i="147"/>
  <c r="C93" i="147"/>
  <c r="X92" i="147"/>
  <c r="W92" i="147"/>
  <c r="U92" i="147"/>
  <c r="T92" i="147"/>
  <c r="R92" i="147"/>
  <c r="Q92" i="147"/>
  <c r="P92" i="147"/>
  <c r="N92" i="147"/>
  <c r="M92" i="147"/>
  <c r="L92" i="147"/>
  <c r="K92" i="147"/>
  <c r="J92" i="147"/>
  <c r="H92" i="147"/>
  <c r="G92" i="147"/>
  <c r="F92" i="147"/>
  <c r="E92" i="147"/>
  <c r="D92" i="147"/>
  <c r="C92" i="147"/>
  <c r="X91" i="147"/>
  <c r="W91" i="147"/>
  <c r="U91" i="147"/>
  <c r="T91" i="147"/>
  <c r="R91" i="147"/>
  <c r="Q91" i="147"/>
  <c r="P91" i="147"/>
  <c r="N91" i="147"/>
  <c r="M91" i="147"/>
  <c r="L91" i="147"/>
  <c r="K91" i="147"/>
  <c r="J91" i="147"/>
  <c r="H91" i="147"/>
  <c r="G91" i="147"/>
  <c r="F91" i="147"/>
  <c r="E91" i="147"/>
  <c r="D91" i="147"/>
  <c r="C91" i="147"/>
  <c r="X90" i="147"/>
  <c r="W90" i="147"/>
  <c r="U90" i="147"/>
  <c r="T90" i="147"/>
  <c r="R90" i="147"/>
  <c r="Q90" i="147"/>
  <c r="P90" i="147"/>
  <c r="N90" i="147"/>
  <c r="M90" i="147"/>
  <c r="L90" i="147"/>
  <c r="K90" i="147"/>
  <c r="J90" i="147"/>
  <c r="H90" i="147"/>
  <c r="G90" i="147"/>
  <c r="F90" i="147"/>
  <c r="E90" i="147"/>
  <c r="D90" i="147"/>
  <c r="C90" i="147"/>
  <c r="X89" i="147"/>
  <c r="X124" i="147" s="1"/>
  <c r="W89" i="147"/>
  <c r="W124" i="147" s="1"/>
  <c r="U89" i="147"/>
  <c r="U124" i="147" s="1"/>
  <c r="T89" i="147"/>
  <c r="T124" i="147" s="1"/>
  <c r="R89" i="147"/>
  <c r="R124" i="147" s="1"/>
  <c r="Q89" i="147"/>
  <c r="Q124" i="147" s="1"/>
  <c r="P89" i="147"/>
  <c r="P124" i="147" s="1"/>
  <c r="N89" i="147"/>
  <c r="N124" i="147" s="1"/>
  <c r="M89" i="147"/>
  <c r="M124" i="147" s="1"/>
  <c r="L89" i="147"/>
  <c r="L124" i="147" s="1"/>
  <c r="K89" i="147"/>
  <c r="K124" i="147" s="1"/>
  <c r="J89" i="147"/>
  <c r="J124" i="147" s="1"/>
  <c r="H89" i="147"/>
  <c r="H124" i="147" s="1"/>
  <c r="G89" i="147"/>
  <c r="G124" i="147" s="1"/>
  <c r="F89" i="147"/>
  <c r="F124" i="147" s="1"/>
  <c r="E89" i="147"/>
  <c r="E124" i="147" s="1"/>
  <c r="D89" i="147"/>
  <c r="D124" i="147" s="1"/>
  <c r="C89" i="147"/>
  <c r="C124" i="147" s="1"/>
  <c r="X88" i="147"/>
  <c r="W88" i="147"/>
  <c r="U88" i="147"/>
  <c r="T88" i="147"/>
  <c r="R88" i="147"/>
  <c r="Q88" i="147"/>
  <c r="P88" i="147"/>
  <c r="N88" i="147"/>
  <c r="M88" i="147"/>
  <c r="L88" i="147"/>
  <c r="K88" i="147"/>
  <c r="J88" i="147"/>
  <c r="H88" i="147"/>
  <c r="G88" i="147"/>
  <c r="F88" i="147"/>
  <c r="E88" i="147"/>
  <c r="D88" i="147"/>
  <c r="X87" i="147"/>
  <c r="W87" i="147"/>
  <c r="U87" i="147"/>
  <c r="T87" i="147"/>
  <c r="R87" i="147"/>
  <c r="Q87" i="147"/>
  <c r="P87" i="147"/>
  <c r="N87" i="147"/>
  <c r="M87" i="147"/>
  <c r="L87" i="147"/>
  <c r="K87" i="147"/>
  <c r="J87" i="147"/>
  <c r="H87" i="147"/>
  <c r="G87" i="147"/>
  <c r="F87" i="147"/>
  <c r="E87" i="147"/>
  <c r="D87" i="147"/>
  <c r="D86" i="147"/>
  <c r="D125" i="147" s="1"/>
  <c r="E86" i="147"/>
  <c r="E125" i="147" s="1"/>
  <c r="F86" i="147"/>
  <c r="F125" i="147" s="1"/>
  <c r="G86" i="147"/>
  <c r="G125" i="147" s="1"/>
  <c r="H86" i="147"/>
  <c r="H125" i="147" s="1"/>
  <c r="J86" i="147"/>
  <c r="J125" i="147" s="1"/>
  <c r="K86" i="147"/>
  <c r="K125" i="147" s="1"/>
  <c r="L86" i="147"/>
  <c r="L125" i="147" s="1"/>
  <c r="M86" i="147"/>
  <c r="M125" i="147" s="1"/>
  <c r="N86" i="147"/>
  <c r="N125" i="147" s="1"/>
  <c r="P86" i="147"/>
  <c r="Q86" i="147"/>
  <c r="R86" i="147"/>
  <c r="T86" i="147"/>
  <c r="U86" i="147"/>
  <c r="W86" i="147"/>
  <c r="X86" i="147"/>
  <c r="C125" i="147" l="1"/>
  <c r="E142" i="144" l="1"/>
  <c r="E140" i="144"/>
  <c r="G144" i="146"/>
  <c r="G139" i="146"/>
  <c r="G138" i="146"/>
  <c r="G136" i="146"/>
  <c r="G120" i="146"/>
  <c r="G116" i="146"/>
  <c r="G115" i="146"/>
  <c r="G114" i="146"/>
  <c r="G112" i="146"/>
  <c r="G108" i="146"/>
  <c r="G107" i="146"/>
  <c r="G106" i="146"/>
  <c r="G104" i="146"/>
  <c r="G103" i="146"/>
  <c r="G28" i="146"/>
  <c r="L26" i="146"/>
  <c r="L25" i="146"/>
  <c r="J91" i="155"/>
  <c r="J83" i="155"/>
  <c r="J82" i="155"/>
  <c r="J75" i="155"/>
  <c r="J74" i="155"/>
  <c r="J67" i="155"/>
  <c r="J66" i="155"/>
  <c r="J59" i="155"/>
  <c r="J51" i="155"/>
  <c r="J43" i="155"/>
  <c r="J35" i="155"/>
  <c r="J29" i="155"/>
  <c r="J27" i="155"/>
  <c r="J21" i="155"/>
  <c r="J19" i="155"/>
  <c r="J15" i="155"/>
  <c r="J13" i="155"/>
  <c r="J11" i="155"/>
  <c r="J5" i="155"/>
  <c r="L28" i="146" l="1"/>
  <c r="L32" i="146"/>
  <c r="L37" i="146"/>
  <c r="L48" i="146"/>
  <c r="L84" i="146"/>
  <c r="L129" i="146"/>
  <c r="E7" i="144"/>
  <c r="E23" i="144"/>
  <c r="E39" i="144"/>
  <c r="E43" i="144"/>
  <c r="E47" i="144"/>
  <c r="E55" i="144"/>
  <c r="E59" i="144"/>
  <c r="J23" i="155"/>
  <c r="E127" i="144"/>
  <c r="L103" i="146"/>
  <c r="L112" i="146"/>
  <c r="L115" i="146"/>
  <c r="L121" i="146"/>
  <c r="G60" i="146"/>
  <c r="G84" i="146"/>
  <c r="C128" i="145"/>
  <c r="C130" i="145"/>
  <c r="C132" i="145"/>
  <c r="C134" i="145"/>
  <c r="C136" i="145"/>
  <c r="C138" i="145"/>
  <c r="C140" i="145"/>
  <c r="G128" i="146"/>
  <c r="L58" i="146"/>
  <c r="L59" i="146"/>
  <c r="L82" i="146"/>
  <c r="L83" i="146"/>
  <c r="G137" i="146"/>
  <c r="G143" i="146"/>
  <c r="G134" i="146"/>
  <c r="G7" i="146"/>
  <c r="G15" i="146"/>
  <c r="G19" i="146"/>
  <c r="G23" i="146"/>
  <c r="G27" i="146"/>
  <c r="G52" i="146"/>
  <c r="L117" i="146"/>
  <c r="L118" i="146"/>
  <c r="L137" i="146"/>
  <c r="L138" i="146"/>
  <c r="L145" i="146"/>
  <c r="C127" i="145"/>
  <c r="C129" i="145"/>
  <c r="C131" i="145"/>
  <c r="C133" i="145"/>
  <c r="C135" i="145"/>
  <c r="C137" i="145"/>
  <c r="C139" i="145"/>
  <c r="E113" i="144"/>
  <c r="E130" i="144"/>
  <c r="E105" i="144"/>
  <c r="E129" i="144"/>
  <c r="E52" i="144"/>
  <c r="E60" i="144"/>
  <c r="E84" i="144"/>
  <c r="E137" i="144"/>
  <c r="E144" i="144"/>
  <c r="E132" i="144"/>
  <c r="E133" i="144"/>
  <c r="E115" i="144"/>
  <c r="E138" i="144"/>
  <c r="E139" i="144"/>
  <c r="L7" i="146"/>
  <c r="L11" i="146"/>
  <c r="L20" i="146"/>
  <c r="L23" i="146"/>
  <c r="L29" i="146"/>
  <c r="L30" i="146"/>
  <c r="L31" i="146"/>
  <c r="L50" i="146"/>
  <c r="L51" i="146"/>
  <c r="L116" i="146"/>
  <c r="L119" i="146"/>
  <c r="L122" i="146"/>
  <c r="E103" i="144"/>
  <c r="E111" i="144"/>
  <c r="E119" i="144"/>
  <c r="G129" i="146"/>
  <c r="G130" i="146"/>
  <c r="G131" i="146"/>
  <c r="G132" i="146"/>
  <c r="G133" i="146"/>
  <c r="L143" i="146"/>
  <c r="L144" i="146"/>
  <c r="E143" i="144"/>
  <c r="L16" i="146"/>
  <c r="E63" i="144"/>
  <c r="E87" i="144"/>
  <c r="G110" i="146"/>
  <c r="G111" i="146"/>
  <c r="L120" i="146"/>
  <c r="G135" i="146"/>
  <c r="E136" i="144"/>
  <c r="J8" i="155"/>
  <c r="J16" i="155"/>
  <c r="J24" i="155"/>
  <c r="J32" i="155"/>
  <c r="J40" i="155"/>
  <c r="J48" i="155"/>
  <c r="J56" i="155"/>
  <c r="J72" i="155"/>
  <c r="J80" i="155"/>
  <c r="L61" i="146"/>
  <c r="L76" i="146"/>
  <c r="L77" i="146"/>
  <c r="E33" i="144"/>
  <c r="E37" i="144"/>
  <c r="G105" i="146"/>
  <c r="E106" i="144"/>
  <c r="E108" i="144"/>
  <c r="E109" i="144"/>
  <c r="E114" i="144"/>
  <c r="E116" i="144"/>
  <c r="E121" i="144"/>
  <c r="G140" i="146"/>
  <c r="G141" i="146"/>
  <c r="E131" i="144"/>
  <c r="E145" i="144"/>
  <c r="J31" i="155"/>
  <c r="J39" i="155"/>
  <c r="J47" i="155"/>
  <c r="J55" i="155"/>
  <c r="G10" i="146"/>
  <c r="G12" i="146"/>
  <c r="G16" i="146"/>
  <c r="G17" i="146"/>
  <c r="G20" i="146"/>
  <c r="G24" i="146"/>
  <c r="G109" i="146"/>
  <c r="G118" i="146"/>
  <c r="G119" i="146"/>
  <c r="E135" i="144"/>
  <c r="E141" i="144"/>
  <c r="J6" i="155"/>
  <c r="J14" i="155"/>
  <c r="J22" i="155"/>
  <c r="J30" i="155"/>
  <c r="J38" i="155"/>
  <c r="J46" i="155"/>
  <c r="J54" i="155"/>
  <c r="J62" i="155"/>
  <c r="J70" i="155"/>
  <c r="J78" i="155"/>
  <c r="J86" i="155"/>
  <c r="G32" i="146"/>
  <c r="G36" i="146"/>
  <c r="G38" i="146"/>
  <c r="G39" i="146"/>
  <c r="G40" i="146"/>
  <c r="G41" i="146"/>
  <c r="G44" i="146"/>
  <c r="G48" i="146"/>
  <c r="L105" i="146"/>
  <c r="G113" i="146"/>
  <c r="G122" i="146"/>
  <c r="L128" i="146"/>
  <c r="L131" i="146"/>
  <c r="L132" i="146"/>
  <c r="L133" i="146"/>
  <c r="L134" i="146"/>
  <c r="G142" i="146"/>
  <c r="G145" i="146"/>
  <c r="J37" i="155"/>
  <c r="J45" i="155"/>
  <c r="J53" i="155"/>
  <c r="J61" i="155"/>
  <c r="J69" i="155"/>
  <c r="J77" i="155"/>
  <c r="J85" i="155"/>
  <c r="G47" i="146"/>
  <c r="G51" i="146"/>
  <c r="G66" i="146"/>
  <c r="G68" i="146"/>
  <c r="G73" i="146"/>
  <c r="G74" i="146"/>
  <c r="G75" i="146"/>
  <c r="G76" i="146"/>
  <c r="G78" i="146"/>
  <c r="G79" i="146"/>
  <c r="G80" i="146"/>
  <c r="G82" i="146"/>
  <c r="E15" i="144"/>
  <c r="E19" i="144"/>
  <c r="E56" i="144"/>
  <c r="L104" i="146"/>
  <c r="L107" i="146"/>
  <c r="L109" i="146"/>
  <c r="G117" i="146"/>
  <c r="L130" i="146"/>
  <c r="E134" i="144"/>
  <c r="J36" i="155"/>
  <c r="J44" i="155"/>
  <c r="J60" i="155"/>
  <c r="J68" i="155"/>
  <c r="J76" i="155"/>
  <c r="J84" i="155"/>
  <c r="G56" i="146"/>
  <c r="G72" i="146"/>
  <c r="G88" i="146"/>
  <c r="E5" i="144"/>
  <c r="L108" i="146"/>
  <c r="L111" i="146"/>
  <c r="L113" i="146"/>
  <c r="L114" i="146"/>
  <c r="G121" i="146"/>
  <c r="L135" i="146"/>
  <c r="L136" i="146"/>
  <c r="L139" i="146"/>
  <c r="L140" i="146"/>
  <c r="L141" i="146"/>
  <c r="L142" i="146"/>
  <c r="E128" i="144"/>
  <c r="E65" i="144"/>
  <c r="E73" i="144"/>
  <c r="E77" i="144"/>
  <c r="E81" i="144"/>
  <c r="E89" i="144"/>
  <c r="E117" i="144"/>
  <c r="E104" i="144"/>
  <c r="L146" i="146"/>
  <c r="J90" i="155"/>
  <c r="G89" i="146"/>
  <c r="G92" i="146"/>
  <c r="E79" i="144"/>
  <c r="E112" i="144"/>
  <c r="E12" i="144"/>
  <c r="E57" i="144"/>
  <c r="E107" i="144"/>
  <c r="E110" i="144"/>
  <c r="E120" i="144"/>
  <c r="J88" i="155"/>
  <c r="L89" i="146"/>
  <c r="L90" i="146"/>
  <c r="L91" i="146"/>
  <c r="E36" i="144"/>
  <c r="E86" i="144"/>
  <c r="E118" i="144"/>
  <c r="G146" i="146"/>
  <c r="G64" i="146"/>
  <c r="E102" i="144"/>
  <c r="E31" i="144"/>
  <c r="E71" i="144"/>
  <c r="E25" i="144"/>
  <c r="L106" i="146"/>
  <c r="G8" i="146"/>
  <c r="L110" i="146"/>
  <c r="G11" i="146"/>
  <c r="G13" i="146"/>
  <c r="G14" i="146"/>
  <c r="L24" i="146"/>
  <c r="L27" i="146"/>
  <c r="G42" i="146"/>
  <c r="G43" i="146"/>
  <c r="L49" i="146"/>
  <c r="L53" i="146"/>
  <c r="L54" i="146"/>
  <c r="G63" i="146"/>
  <c r="G69" i="146"/>
  <c r="G70" i="146"/>
  <c r="G71" i="146"/>
  <c r="L80" i="146"/>
  <c r="L81" i="146"/>
  <c r="L85" i="146"/>
  <c r="L86" i="146"/>
  <c r="E10" i="144"/>
  <c r="E13" i="144"/>
  <c r="E22" i="144"/>
  <c r="E32" i="144"/>
  <c r="E41" i="144"/>
  <c r="E44" i="144"/>
  <c r="E62" i="144"/>
  <c r="E72" i="144"/>
  <c r="J12" i="155"/>
  <c r="J20" i="155"/>
  <c r="J28" i="155"/>
  <c r="J52" i="155"/>
  <c r="G18" i="146"/>
  <c r="G45" i="146"/>
  <c r="G46" i="146"/>
  <c r="G67" i="146"/>
  <c r="E18" i="144"/>
  <c r="E27" i="144"/>
  <c r="E49" i="144"/>
  <c r="E53" i="144"/>
  <c r="E58" i="144"/>
  <c r="E67" i="144"/>
  <c r="E68" i="144"/>
  <c r="E70" i="144"/>
  <c r="E85" i="144"/>
  <c r="E90" i="144"/>
  <c r="G22" i="146"/>
  <c r="L57" i="146"/>
  <c r="L88" i="146"/>
  <c r="E9" i="144"/>
  <c r="E30" i="144"/>
  <c r="E40" i="144"/>
  <c r="E80" i="144"/>
  <c r="J10" i="155"/>
  <c r="J18" i="155"/>
  <c r="J26" i="155"/>
  <c r="J34" i="155"/>
  <c r="J42" i="155"/>
  <c r="J50" i="155"/>
  <c r="J58" i="155"/>
  <c r="L9" i="146"/>
  <c r="L10" i="146"/>
  <c r="G26" i="146"/>
  <c r="L33" i="146"/>
  <c r="L36" i="146"/>
  <c r="L38" i="146"/>
  <c r="G50" i="146"/>
  <c r="L52" i="146"/>
  <c r="L66" i="146"/>
  <c r="G83" i="146"/>
  <c r="L92" i="146"/>
  <c r="E17" i="144"/>
  <c r="E20" i="144"/>
  <c r="E35" i="144"/>
  <c r="E48" i="144"/>
  <c r="E75" i="144"/>
  <c r="E76" i="144"/>
  <c r="J9" i="155"/>
  <c r="J17" i="155"/>
  <c r="J25" i="155"/>
  <c r="J33" i="155"/>
  <c r="J41" i="155"/>
  <c r="J49" i="155"/>
  <c r="J57" i="155"/>
  <c r="J65" i="155"/>
  <c r="J73" i="155"/>
  <c r="J81" i="155"/>
  <c r="J89" i="155"/>
  <c r="L13" i="146"/>
  <c r="L40" i="146"/>
  <c r="G53" i="146"/>
  <c r="G54" i="146"/>
  <c r="L56" i="146"/>
  <c r="L65" i="146"/>
  <c r="G86" i="146"/>
  <c r="G87" i="146"/>
  <c r="E8" i="144"/>
  <c r="E11" i="144"/>
  <c r="E38" i="144"/>
  <c r="E42" i="144"/>
  <c r="E88" i="144"/>
  <c r="J64" i="155"/>
  <c r="L8" i="146"/>
  <c r="L12" i="146"/>
  <c r="L15" i="146"/>
  <c r="L17" i="146"/>
  <c r="L18" i="146"/>
  <c r="G30" i="146"/>
  <c r="G31" i="146"/>
  <c r="L41" i="146"/>
  <c r="L44" i="146"/>
  <c r="L46" i="146"/>
  <c r="L47" i="146"/>
  <c r="G55" i="146"/>
  <c r="G58" i="146"/>
  <c r="L60" i="146"/>
  <c r="L68" i="146"/>
  <c r="L69" i="146"/>
  <c r="L74" i="146"/>
  <c r="L75" i="146"/>
  <c r="G90" i="146"/>
  <c r="G91" i="146"/>
  <c r="E6" i="144"/>
  <c r="E16" i="144"/>
  <c r="E28" i="144"/>
  <c r="E29" i="144"/>
  <c r="E51" i="144"/>
  <c r="E69" i="144"/>
  <c r="E83" i="144"/>
  <c r="J63" i="155"/>
  <c r="J71" i="155"/>
  <c r="J79" i="155"/>
  <c r="J87" i="155"/>
  <c r="G6" i="146"/>
  <c r="L19" i="146"/>
  <c r="L21" i="146"/>
  <c r="G34" i="146"/>
  <c r="G35" i="146"/>
  <c r="L45" i="146"/>
  <c r="G59" i="146"/>
  <c r="G62" i="146"/>
  <c r="L64" i="146"/>
  <c r="L72" i="146"/>
  <c r="L73" i="146"/>
  <c r="G85" i="146"/>
  <c r="E24" i="144"/>
  <c r="E54" i="144"/>
  <c r="E64" i="144"/>
  <c r="E91" i="144"/>
  <c r="L6" i="146"/>
  <c r="G21" i="146"/>
  <c r="L34" i="146"/>
  <c r="L35" i="146"/>
  <c r="L62" i="146"/>
  <c r="L63" i="146"/>
  <c r="G77" i="146"/>
  <c r="G25" i="146"/>
  <c r="L39" i="146"/>
  <c r="G49" i="146"/>
  <c r="L67" i="146"/>
  <c r="G81" i="146"/>
  <c r="E21" i="144"/>
  <c r="E26" i="144"/>
  <c r="E61" i="144"/>
  <c r="E66" i="144"/>
  <c r="E78" i="144"/>
  <c r="L14" i="146"/>
  <c r="L42" i="146"/>
  <c r="L43" i="146"/>
  <c r="L70" i="146"/>
  <c r="L71" i="146"/>
  <c r="E46" i="144"/>
  <c r="G29" i="146"/>
  <c r="G57" i="146"/>
  <c r="E34" i="144"/>
  <c r="E74" i="144"/>
  <c r="L22" i="146"/>
  <c r="G33" i="146"/>
  <c r="G61" i="146"/>
  <c r="L78" i="146"/>
  <c r="L79" i="146"/>
  <c r="G9" i="146"/>
  <c r="G37" i="146"/>
  <c r="G65" i="146"/>
  <c r="E50" i="144"/>
  <c r="E82" i="144"/>
  <c r="L55" i="146"/>
  <c r="L87" i="146"/>
  <c r="E14" i="144"/>
  <c r="E45" i="144"/>
  <c r="B6" i="163"/>
  <c r="B7" i="163" s="1"/>
  <c r="B8" i="163" s="1"/>
  <c r="B60" i="162"/>
  <c r="B61" i="162" s="1"/>
  <c r="B62" i="162" s="1"/>
  <c r="E58" i="162"/>
  <c r="G71" i="162" l="1"/>
  <c r="F71" i="162"/>
  <c r="D58" i="162"/>
  <c r="D71" i="162"/>
  <c r="F58" i="162"/>
  <c r="G58" i="162"/>
  <c r="E71" i="162"/>
  <c r="E126" i="144" l="1"/>
  <c r="E101" i="144"/>
  <c r="L5" i="146" l="1"/>
  <c r="H121" i="160" l="1"/>
  <c r="D121" i="160"/>
  <c r="C121" i="160"/>
  <c r="C120" i="160"/>
  <c r="D119" i="160"/>
  <c r="C119" i="160"/>
  <c r="G118" i="160"/>
  <c r="D118" i="160"/>
  <c r="C118" i="160"/>
  <c r="G117" i="160"/>
  <c r="D117" i="160"/>
  <c r="C117" i="160"/>
  <c r="G116" i="160"/>
  <c r="D116" i="160"/>
  <c r="C116" i="160"/>
  <c r="G115" i="160"/>
  <c r="D115" i="160"/>
  <c r="C115" i="160"/>
  <c r="D114" i="160"/>
  <c r="C114" i="160"/>
  <c r="G113" i="160"/>
  <c r="D113" i="160"/>
  <c r="C113" i="160"/>
  <c r="D112" i="160"/>
  <c r="C112" i="160"/>
  <c r="D111" i="160"/>
  <c r="C111" i="160"/>
  <c r="D110" i="160"/>
  <c r="C110" i="160"/>
  <c r="D109" i="160"/>
  <c r="C109" i="160"/>
  <c r="G108" i="160"/>
  <c r="D108" i="160"/>
  <c r="C108" i="160"/>
  <c r="G107" i="160"/>
  <c r="D107" i="160"/>
  <c r="C107" i="160"/>
  <c r="G106" i="160"/>
  <c r="D106" i="160"/>
  <c r="G86" i="160"/>
  <c r="E86" i="160"/>
  <c r="G121" i="160"/>
  <c r="G109" i="160"/>
  <c r="F121" i="160"/>
  <c r="E121" i="160"/>
  <c r="H120" i="160"/>
  <c r="G120" i="160"/>
  <c r="F120" i="160"/>
  <c r="E120" i="160"/>
  <c r="D120" i="160"/>
  <c r="H119" i="160"/>
  <c r="G119" i="160"/>
  <c r="F119" i="160"/>
  <c r="E119" i="160"/>
  <c r="H118" i="160"/>
  <c r="F118" i="160"/>
  <c r="E118" i="160"/>
  <c r="H117" i="160"/>
  <c r="F117" i="160"/>
  <c r="E117" i="160"/>
  <c r="H116" i="160"/>
  <c r="F116" i="160"/>
  <c r="E116" i="160"/>
  <c r="H115" i="160"/>
  <c r="F115" i="160"/>
  <c r="E115" i="160"/>
  <c r="H114" i="160"/>
  <c r="G114" i="160"/>
  <c r="F114" i="160"/>
  <c r="E114" i="160"/>
  <c r="H113" i="160"/>
  <c r="F113" i="160"/>
  <c r="E113" i="160"/>
  <c r="H112" i="160"/>
  <c r="G112" i="160"/>
  <c r="F112" i="160"/>
  <c r="E112" i="160"/>
  <c r="H111" i="160"/>
  <c r="G111" i="160"/>
  <c r="F111" i="160"/>
  <c r="E111" i="160"/>
  <c r="H110" i="160"/>
  <c r="G110" i="160"/>
  <c r="F110" i="160"/>
  <c r="E110" i="160"/>
  <c r="H109" i="160"/>
  <c r="F109" i="160"/>
  <c r="E109" i="160"/>
  <c r="H108" i="160"/>
  <c r="F108" i="160"/>
  <c r="E108" i="160"/>
  <c r="H107" i="160"/>
  <c r="F107" i="160"/>
  <c r="E107" i="160"/>
  <c r="H106" i="160"/>
  <c r="F106" i="160"/>
  <c r="E106" i="160"/>
  <c r="H86" i="160"/>
  <c r="F86" i="160"/>
  <c r="D86" i="160"/>
  <c r="F106" i="147" l="1"/>
  <c r="D106" i="147"/>
  <c r="E106" i="147"/>
  <c r="G106" i="147"/>
  <c r="H106" i="147"/>
  <c r="J106" i="147"/>
  <c r="L102" i="146" l="1"/>
  <c r="G5" i="146"/>
  <c r="G102" i="146"/>
  <c r="X106" i="147" l="1"/>
  <c r="W106" i="147"/>
  <c r="U106" i="147"/>
  <c r="T106" i="147"/>
  <c r="R106" i="147"/>
  <c r="Q106" i="147"/>
  <c r="P106" i="147"/>
  <c r="N106" i="147"/>
  <c r="M106" i="147"/>
  <c r="L106" i="147"/>
  <c r="K106" i="147"/>
</calcChain>
</file>

<file path=xl/sharedStrings.xml><?xml version="1.0" encoding="utf-8"?>
<sst xmlns="http://schemas.openxmlformats.org/spreadsheetml/2006/main" count="2715" uniqueCount="663">
  <si>
    <t>Table 1.1: GDP Expenditure Components (Chain-Linked Volumes)</t>
  </si>
  <si>
    <t>Table 1.2: GDP Expenditure Components (Current Prices)</t>
  </si>
  <si>
    <t>Table 1.3: GDP Income Components</t>
  </si>
  <si>
    <t>Table 1.4: Nominal GDP (non-seasonally adjusted)</t>
  </si>
  <si>
    <t>Table 1.5: Per capita (age +16)</t>
  </si>
  <si>
    <t>Table 1.6: Labour Market</t>
  </si>
  <si>
    <t>Table 1.7: Inflation</t>
  </si>
  <si>
    <t>Table 1.8: Balance of Payments</t>
  </si>
  <si>
    <t>Table 1.9: Market-derived assumptions</t>
  </si>
  <si>
    <t>Table 1.10: Financial Balances by Sector</t>
  </si>
  <si>
    <t>Table 1.11: Balance Sheets and Lending</t>
  </si>
  <si>
    <t>Table 1.11b: Household balance sheet - unsecured household debt</t>
  </si>
  <si>
    <t>Table 1.12: Household Disposable Income</t>
  </si>
  <si>
    <t>Table 1.13: National Minimum Wage and National Living Wage</t>
  </si>
  <si>
    <t>Table 1.14: OBR central estimate of the output gap</t>
  </si>
  <si>
    <t>Table 1.15: Potential output forecast</t>
  </si>
  <si>
    <t>Table 1.16: Housing market</t>
  </si>
  <si>
    <t>Table 1.17: Household debt servicing costs</t>
  </si>
  <si>
    <t>Table 1.18: Eligible rent growth assumptions</t>
  </si>
  <si>
    <t>Table 1.19: CPI category inflation</t>
  </si>
  <si>
    <t>Table 1.19b: CPI category weights</t>
  </si>
  <si>
    <t xml:space="preserve">Table 1.20 Electricity price forecast </t>
  </si>
  <si>
    <t>Back to contents</t>
  </si>
  <si>
    <t>1.1 GDP expenditure components (£ billion chain-linked volumes, seasonally adjusted)</t>
  </si>
  <si>
    <t xml:space="preserve"> </t>
  </si>
  <si>
    <t>Private consumption</t>
  </si>
  <si>
    <t>Government consumption</t>
  </si>
  <si>
    <t>Fixed investment</t>
  </si>
  <si>
    <t>Net acquisition of valuables</t>
  </si>
  <si>
    <t>Final domestic demand</t>
  </si>
  <si>
    <t>Change in inventories</t>
  </si>
  <si>
    <t>Total domestic demand</t>
  </si>
  <si>
    <t>Exports</t>
  </si>
  <si>
    <t>Total final expenditure</t>
  </si>
  <si>
    <t>Imports</t>
  </si>
  <si>
    <t>Statistical discrepancy</t>
  </si>
  <si>
    <t>Real GDP</t>
  </si>
  <si>
    <t>Non-oil GVA</t>
  </si>
  <si>
    <t>of which:</t>
  </si>
  <si>
    <t>Business investment</t>
  </si>
  <si>
    <t>Private dwellings</t>
  </si>
  <si>
    <t>General government</t>
  </si>
  <si>
    <t>Public corps dwellings</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</si>
  <si>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</si>
  <si>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</si>
  <si>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</si>
  <si>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</si>
  <si>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</si>
  <si>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</si>
  <si>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</si>
  <si>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</si>
  <si>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</si>
  <si>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</si>
  <si>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</si>
  <si>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</si>
  <si>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</si>
  <si>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</si>
  <si>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</si>
  <si>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</si>
  <si>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</si>
  <si>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</si>
  <si>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</si>
  <si>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</si>
  <si>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</si>
  <si>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</si>
  <si>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</si>
  <si>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</si>
  <si>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</si>
  <si>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</si>
  <si>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</si>
  <si>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</si>
  <si>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</si>
  <si>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</si>
  <si>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</si>
  <si>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</si>
  <si>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</si>
  <si>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</si>
  <si>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</si>
  <si>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</si>
  <si>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</si>
  <si>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</si>
  <si>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</si>
  <si>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</si>
  <si>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</si>
  <si>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</si>
  <si>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</si>
  <si>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</si>
  <si>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</si>
  <si>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</si>
  <si>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</si>
  <si>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</si>
  <si>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</si>
  <si>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</si>
  <si>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</si>
  <si>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</si>
  <si>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</si>
  <si>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</si>
  <si>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</si>
  <si>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</si>
  <si>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</si>
  <si>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</si>
  <si>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</si>
  <si>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</si>
  <si>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</si>
  <si>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</si>
  <si>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</si>
  <si>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</si>
  <si>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</si>
  <si>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</si>
  <si>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</si>
  <si>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</si>
  <si>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</si>
  <si>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</si>
  <si>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</si>
  <si>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</si>
  <si>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</si>
  <si>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</si>
  <si>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</si>
  <si>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2026Q4</t>
  </si>
  <si>
    <t>2027Q1</t>
  </si>
  <si>
    <t>2027Q2</t>
  </si>
  <si>
    <t>2027Q3</t>
  </si>
  <si>
    <t>2027Q4</t>
  </si>
  <si>
    <t>2028Q1</t>
  </si>
  <si>
    <t>2028Q2</t>
  </si>
  <si>
    <t>2028Q3</t>
  </si>
  <si>
    <t>2028Q4</t>
  </si>
  <si>
    <t>2029Q1</t>
  </si>
  <si>
    <t>2029Q2</t>
  </si>
  <si>
    <t>2029Q3</t>
  </si>
  <si>
    <t>2029Q4</t>
  </si>
  <si>
    <t>2030Q1</t>
  </si>
  <si>
    <t>2030Q2</t>
  </si>
  <si>
    <t>2030Q3</t>
  </si>
  <si>
    <t>2030Q4</t>
  </si>
  <si>
    <t>2031Q1</t>
  </si>
  <si>
    <t>2008-09</t>
  </si>
  <si>
    <t>2009-10</t>
  </si>
  <si>
    <t>2010-11</t>
  </si>
  <si>
    <t>2011-12</t>
  </si>
  <si>
    <t>2012-13</t>
  </si>
  <si>
    <t>2013-14</t>
  </si>
  <si>
    <t>2014-15</t>
  </si>
  <si>
    <t>2015-16</t>
  </si>
  <si>
    <t>2016-17</t>
  </si>
  <si>
    <t>2017-18</t>
  </si>
  <si>
    <t>2018-19</t>
  </si>
  <si>
    <t>2019-20</t>
  </si>
  <si>
    <t>2020-21</t>
  </si>
  <si>
    <t>2021-22</t>
  </si>
  <si>
    <t>2022-23</t>
  </si>
  <si>
    <t>2023-24</t>
  </si>
  <si>
    <t>2024-25</t>
  </si>
  <si>
    <t>2025-26</t>
  </si>
  <si>
    <t>2026-27</t>
  </si>
  <si>
    <t>2027-28</t>
  </si>
  <si>
    <t>2028-29</t>
  </si>
  <si>
    <t>2029-30</t>
  </si>
  <si>
    <t>2030-31</t>
  </si>
  <si>
    <t>Definitions:</t>
  </si>
  <si>
    <t>Household and non-profit institutions serving households final consumption expenditure (ONS Economic Accounts Table 1.1.2, identifier: ABJR + HAYO)</t>
  </si>
  <si>
    <t>General government final consumption (ONS Economic Accounts Table 1.1.2, identifier: NMRY)</t>
  </si>
  <si>
    <t>Total gross fixed capital formation (ONS Economic Accounts Table 1.1.2, identifier: NPQT)</t>
  </si>
  <si>
    <t>Business investment (ONS Economic Accounts Table 1.1.8, identifier: NPEL)</t>
  </si>
  <si>
    <t>Private sector investment in dwellings, including transfer costs (ONS Economic Accounts Table 1.1.8, identifier: L636 + L637)</t>
  </si>
  <si>
    <t>General government gross fixed capital formation (ONS Economic Accounts Table 1.1.8, identifier: DLWF)</t>
  </si>
  <si>
    <t>Public corporations investment in dwellings, including transfer costs (ONS Economic Accounts Table 1.1.8, identifier: L634 + L635)</t>
  </si>
  <si>
    <t>Net acquisitions of valuables (ONS Economic Accounts Table 1.1.2, identifier: NPJR)</t>
  </si>
  <si>
    <t>Final domestic demand is the sum of private consumption, government consumption, fixed investment and net acquisition of valuables</t>
  </si>
  <si>
    <t>Change in inventories (ONS Economic Accounts Table 1.1.2, identifier: CAFU)</t>
  </si>
  <si>
    <t>Total domestic demand is the sum of final domestic demand and change in inventories</t>
  </si>
  <si>
    <t>Total exports (ONS Economic Accounts Table 1.1.2, identifier: IKBK)</t>
  </si>
  <si>
    <t>Total final expenditure (ONS Economic Accounts Table 1.1.2, identifier: ABMG)</t>
  </si>
  <si>
    <t>Total imports (ONS Economic Accounts Table 1.1.2, identifier: IKBL)</t>
  </si>
  <si>
    <t>Statistical discrepancy GDP(E) (ONS Economic Accounts Table 1.1.2, identifier: GIXS)</t>
  </si>
  <si>
    <t>Gross domestic product at market prices (ONS Economic Accounts Table 1.1.2, identifier: ABMI)</t>
  </si>
  <si>
    <t>1.2 GDP expenditure components (£ billion current prices, seasonally adjusted)</t>
  </si>
  <si>
    <t>GDP at market prices</t>
  </si>
  <si>
    <t>Gross national income</t>
  </si>
  <si>
    <t>Household and non-profit institutions serving households final consumption expenditure (ONS Economic Accounts Table 1.1.2, identifier: ABJQ + HAYE)</t>
  </si>
  <si>
    <t>General government final consumption (ONS Economic Accounts Table 1.1.2, identifier: NMRP)</t>
  </si>
  <si>
    <t>Total gross fixed capital formation (ONS Economic Accounts Table 1.1.2, identifier: NPQS)</t>
  </si>
  <si>
    <t>General government investment (ONS Economic Accounts Table 1.1.8, identifier: RPZG)</t>
  </si>
  <si>
    <t>Net acquisitions of valuables (ONS Economic Accounts Table 1.1.2, identifier: NPJQ)</t>
  </si>
  <si>
    <t>Change in inventories (ONS Economic Accounts Table 1.1.2, identifier: CAEX)</t>
  </si>
  <si>
    <t xml:space="preserve">Total exports (ONS Economic Accounts Table 1.1.2, identifier: IKBH)      </t>
  </si>
  <si>
    <t>Total final expenditure (ONS Economic Accounts Table 1.1.2, identifier: ABMF)</t>
  </si>
  <si>
    <t>Total imports (ONS Economic Accounts Table 1.1.2, identifier: IKBI)</t>
  </si>
  <si>
    <t>Statistical discrepancy GDP(E) (ONS Economic Accounts Table 1.1.2, identifier: GIXM)</t>
  </si>
  <si>
    <t>Gross domestic product at market prices (ONS Economic Accounts Table 1.1.2, identifier: YBHA)</t>
  </si>
  <si>
    <t>Gross national income at market prices (ONS Economic Accounts Table 1.1.1, identifier: ABMZ)</t>
  </si>
  <si>
    <t>1.3 GDP income components (£ billion current prices, seasonally adjusted)</t>
  </si>
  <si>
    <t>Labour income</t>
  </si>
  <si>
    <t>Non-oil PNFC profits</t>
  </si>
  <si>
    <t>Other income</t>
  </si>
  <si>
    <t>Gross value added at factor cost</t>
  </si>
  <si>
    <t>Taxes on products and production less subsidies</t>
  </si>
  <si>
    <t>Statistical discrepancy (income)</t>
  </si>
  <si>
    <t>Gross trading profits of non-oil private sector non-financial corporations (ONS Economic Accounts, identifier: CAED)</t>
  </si>
  <si>
    <t>Other income = employer social contribution + operating surplus of households + operating surplus of general government + operating surplus of public corporations - non-oil PNFC profits (ONS Economic Accounts, identifier: ABNG-CAED+ROYK)</t>
  </si>
  <si>
    <t>Gross value added at factor cost (ONS Economic Accounts, identifier: CGCB)</t>
  </si>
  <si>
    <t>Taxes on products and production less subsidies (ONS Economic Accounts, identifier: CMVL)</t>
  </si>
  <si>
    <t>Statistical discrepancy (ONS Economic Accounts, identifier: GIXQ)</t>
  </si>
  <si>
    <t>GDP at market prices (ONS Economic Accounts, identifier: YBHA)</t>
  </si>
  <si>
    <t>1.4 Nominal GDP (£ billion, non-seasonally adjusted)</t>
  </si>
  <si>
    <t>Calendar Year</t>
  </si>
  <si>
    <t>Centred end-March</t>
  </si>
  <si>
    <t>Nominal GDP NSA, billions (ONS identifier: BKTL)</t>
  </si>
  <si>
    <t>1.5 Per person</t>
  </si>
  <si>
    <t>By total population</t>
  </si>
  <si>
    <t>Ages 16+</t>
  </si>
  <si>
    <t>Index: 2008Q1=100</t>
  </si>
  <si>
    <t>£ thousands 
(2023 prices)</t>
  </si>
  <si>
    <t>LFS employment</t>
  </si>
  <si>
    <t>Real household disposable income</t>
  </si>
  <si>
    <t>Real consumption</t>
  </si>
  <si>
    <t>Index: 2008=100</t>
  </si>
  <si>
    <t>Index: 2008/2009 =100</t>
  </si>
  <si>
    <t>Per person LFS employment = LFS employment, all aged 16 and over (ONS identifier: MGRZ) divided by total population (ONS identifier: EBAQ)</t>
  </si>
  <si>
    <t>Per person LFS employment = LFS employment, all aged 16 and over (ONS identifier: MGRZ) divided by LFS population, all aged 16 and over (ONS identifier: MGSL)</t>
  </si>
  <si>
    <t>Per person real household disposable income = Real household disposable income (chained volume measure, identifier: NRJR) divided by total population (ONS identifier: EBAQ)</t>
  </si>
  <si>
    <t>Per person real household disposable income = Real household disposable income (chained volume measure, identifier: NRJR) divided by LFS population, all aged 16 and over (ONS identifier: MGSL)</t>
  </si>
  <si>
    <t>Per person real consumption = Household and non-profit institutions serving households final consumption expenditure (chained volume measure, identifier: ABJR+HAYO) divided by total population (ONS identifier: EBAQ)</t>
  </si>
  <si>
    <t>Per person real consumption = Household and non-profit institutions serving households final consumption expenditure (chained volume measure, identifier: ABJR+HAYO) divided by LFS population, all aged 16 and over (ONS identifier: MGSL)</t>
  </si>
  <si>
    <t>Per person real GDP = Gross domestic product at market prices (chained volume measure, identifier: ABMI) divided by total population (ONS identifier: EBAQ)</t>
  </si>
  <si>
    <t>Per person real GDP = Gross domestic product at market prices (chained volume measure, identifier: ABMI) divided by LFS population, all aged 16 and over (ONS identifier: MGSL)</t>
  </si>
  <si>
    <t>1.6 Labour market</t>
  </si>
  <si>
    <t>Employment (16+, millions)</t>
  </si>
  <si>
    <t>Employment rate 
(16+, per cent)</t>
  </si>
  <si>
    <t>Employees (16+, millions)</t>
  </si>
  <si>
    <t>ILO unemployment (16+, millions)</t>
  </si>
  <si>
    <t>ILO unemployment rate 
(16+, per cent)</t>
  </si>
  <si>
    <t>Participation rate 
(16+, per cent)</t>
  </si>
  <si>
    <t>Average hours worked</t>
  </si>
  <si>
    <t>Total hours worked (millions)</t>
  </si>
  <si>
    <t>Labour income share (per cent)</t>
  </si>
  <si>
    <t>Labour compensation share (per cent)</t>
  </si>
  <si>
    <t>Compensation of employees (£ billion) (a)</t>
  </si>
  <si>
    <t>Wages and salaries 
(£ billion) (a-b)</t>
  </si>
  <si>
    <t>Employers social contributions (£ billion) (b)</t>
  </si>
  <si>
    <t>Mixed income (£ billion)</t>
  </si>
  <si>
    <t>Average weekly earnings growth (per cent)</t>
  </si>
  <si>
    <t>Average weekly earnings index (2008Q1=100)</t>
  </si>
  <si>
    <t>Average hourly earnings index (2008Q1=100)</t>
  </si>
  <si>
    <t>Productivity per hour index (2008Q1 =100)</t>
  </si>
  <si>
    <t>Productivity per worker index 
(2008Q1 =100)</t>
  </si>
  <si>
    <t>Real product wage 
(2008Q1 =100)</t>
  </si>
  <si>
    <t>Real consumption wage 
(2008Q1 =100)</t>
  </si>
  <si>
    <t>Real weekly earnings index (2008Q1=100)</t>
  </si>
  <si>
    <t>Real hourly earnings index (2008Q1=100)</t>
  </si>
  <si>
    <t>LFS employment, all aged 16 and over (ONS identifier: MGRZ)</t>
  </si>
  <si>
    <t>LFS employment rate, all aged 16 and over (ONS identifier: MGSR)</t>
  </si>
  <si>
    <t>LFS employees equal to total employment less self-employed, all aged 16 and over (ONS identifier: MGRZ less MGRQ)</t>
  </si>
  <si>
    <t>ILO unemployment, all aged 16 and over (ONS identifier: MGSC)</t>
  </si>
  <si>
    <t>ILO unemployment rate, all aged 16 and over (ONS identifier: MGSX)</t>
  </si>
  <si>
    <t>LFS participation rate, all aged 16 and over (ONS identifier: MGWG)</t>
  </si>
  <si>
    <t>LFS average (mean) actual weekly hours worked, all workers (ONS identifier: YBUV)</t>
  </si>
  <si>
    <t>LFS total weekly hours worked, millions (ONS identifier: YBUS). Estimates before 2019Q1 calculated from LFS average actual weekly hours worked (ONS identifier: YBUV) multiplied by LFS employment (ONS identifier: MGRZ)</t>
  </si>
  <si>
    <t>Labour income share: wages and salaries (ONS identifier: DTWM) and mixed income (ONS identifier: ROYH) as a share of nominal Gross Domestic Product (ONS identifier: YBHA).</t>
  </si>
  <si>
    <t>Labour compensation share: wages and salaries (ONS identifier: DTWM), employers social contributions (ONS identifier: ROYK) and mixed income (ONS identifier: ROYH) as a share of nominal Gross Domestic Product (ONS identifier: YBHA).</t>
  </si>
  <si>
    <t>Compensation of employees, £ billion (ONS identifier: DTWM)</t>
  </si>
  <si>
    <t>Wages and salaries, £ billion, equal to total compensation of employees (ONS identifier: DTWM) minus employers social contributions (ONS identifier: ROYK)</t>
  </si>
  <si>
    <t>Employers social contributions, £ billion (ONS identifier: ROYK)</t>
  </si>
  <si>
    <t>Average weekly earnings growth: wages and salaries divided by employees, year on year growth rates and index. Wages and salaries equal to total compensation of employees (ONS identifier: DTWM) minus employers social contributions (ONS identifier: ROYK).  Employees equal to total employment (MGRZ) less self-employed (MGRQ)</t>
  </si>
  <si>
    <t xml:space="preserve">Average hourly earnings index: average weekly earnings divided by average hours worked  (ONS identifier: YBUV) </t>
  </si>
  <si>
    <t>Productivity per hour: real GDP (ONS identifier: ABMI) divided by total weekly hours worked (ONS identifier: YBUS)</t>
  </si>
  <si>
    <t>Productivity per worker index: real GDP (ONS identifier: ABMI) divided by total 16+ employment (ONS identifier: MGRZ)</t>
  </si>
  <si>
    <t>Real product wage index: Compensation of employees (ONS identifier: DTWM) divided by employees (total employment (MGRZ) less self-employed (MGRQ)) and then deflated by the Gross Valued Added deflator (GVA at current market prices (ONS identifier: ABML) divided by GVA chained volume measure (ABMM))</t>
  </si>
  <si>
    <t>Real consumption wage: Compensation of employees (ONS identifier: DTWM) divided by employees (total employment (MGRZ) less self-employed (MGRQ)) and then deflated by the consumer expenditure deflator (households final consumption expenditure at current market prices (ABJQ) plus non-profit institutions (HAYE) divided by households final consumption expenditure, chained volume measure (ABJR) plus non-profit institutions (HAYO))</t>
  </si>
  <si>
    <t>Real weekly earnings index: average weekly earnings divided by consumer price index (ONS identifier: D7BT )</t>
  </si>
  <si>
    <t>Real hourly earnings index: average hourly earnings divided by consumer price index (ONS identifier: D7BT )</t>
  </si>
  <si>
    <t xml:space="preserve">Note: Historical data from the ONS Labour Force Survey include the latest reweighted estimates published on 3 December 2024. This creates a discontinuity in the series between Q4 2018 and Q1 2019, with the exception of UK total employment, unemployment, inactivity, and participation. </t>
  </si>
  <si>
    <t>1.7 Inflation</t>
  </si>
  <si>
    <t>Year-on-year growth</t>
  </si>
  <si>
    <t>Jan 1987=100</t>
  </si>
  <si>
    <t>2015=100</t>
  </si>
  <si>
    <t>2015 = 100</t>
  </si>
  <si>
    <t>2016 = 100</t>
  </si>
  <si>
    <t>2023=100</t>
  </si>
  <si>
    <t>RPI</t>
  </si>
  <si>
    <t>RPIX</t>
  </si>
  <si>
    <t>CPI</t>
  </si>
  <si>
    <t>CPIH</t>
  </si>
  <si>
    <t>OOH</t>
  </si>
  <si>
    <t>Mortgage interest payments</t>
  </si>
  <si>
    <t>Actual rents for housing</t>
  </si>
  <si>
    <t>Private rentals for housing</t>
  </si>
  <si>
    <t>Consumer expenditure deflator</t>
  </si>
  <si>
    <t>GDP deflator</t>
  </si>
  <si>
    <t>Notes:</t>
  </si>
  <si>
    <t xml:space="preserve">Actual rents for housing’ component of CPI. This series is constructed using forecasts of social housing rents and private rents. </t>
  </si>
  <si>
    <t>All items Consumer Prices Index (CPI), All items Consumer Prices Index including owner occupiers' housing costs (CPIH), Owner occupiers' housing costs (OOH) (percentage change over 12 months) (ONS Consumer Prices Index Bulletin, identifier: D7G7, L55O, and L5P7 respectively)</t>
  </si>
  <si>
    <t>Actual rents for housing (ONS Consumer Prices Index Bulletin, identifier: D7GQ)</t>
  </si>
  <si>
    <t>Private rentals for housing (ONS Consumer Prices Index Bulletin, identifier: KYHJ)</t>
  </si>
  <si>
    <t>Consumer expenditure deflator: Households final consumption expenditure at current market prices (ABJQ) plus non-profit institutions (HAYE) divided by Households final consumption expenditure, chained volume measure (ABJR) plus non-profit institutions (HAYO)</t>
  </si>
  <si>
    <t>1.8 Balance of payments (£ billion, current prices)</t>
  </si>
  <si>
    <t>Trade balance</t>
  </si>
  <si>
    <t>Trade balance (% GDP)</t>
  </si>
  <si>
    <t>Investment income balance</t>
  </si>
  <si>
    <t>Employee income balance</t>
  </si>
  <si>
    <t>Transfers balance</t>
  </si>
  <si>
    <t>Current account balance</t>
  </si>
  <si>
    <t>Current account balance 
(% GDP)</t>
  </si>
  <si>
    <t>Balance of trade in goods &amp; services (ONS UK Trade release, identifier: IKBJ)</t>
  </si>
  <si>
    <t>Investment income balance (ONS identifier: HBOM+MT5X)</t>
  </si>
  <si>
    <t>Employee income balance (ONS identifiers: IJAH-IJAI)</t>
  </si>
  <si>
    <t>Transfers balance (ONS identifier: IKBP)</t>
  </si>
  <si>
    <t>Current balance (ONS Balance of Payments identifier: HBOP)</t>
  </si>
  <si>
    <t>Current balance (% of GDP) (ONS identifier: AA6H)</t>
  </si>
  <si>
    <t>1.9 Market-derived assumptions</t>
  </si>
  <si>
    <t>Bank Rate</t>
  </si>
  <si>
    <t>Long-term interest rates (20-year gilts)</t>
  </si>
  <si>
    <t>Average mortgage rate</t>
  </si>
  <si>
    <t>Deposit rate</t>
  </si>
  <si>
    <t>Trade-weighted sterling effective exchange rate</t>
  </si>
  <si>
    <t>US$/£ exchange rate</t>
  </si>
  <si>
    <t>€/£ exchange rate</t>
  </si>
  <si>
    <t>Oil prices ($)</t>
  </si>
  <si>
    <t>Gas prices (£)</t>
  </si>
  <si>
    <t>Equity prices</t>
  </si>
  <si>
    <t>Official Bank Rate (Bank of England, Bankstats, identifier: IUQABEDR)</t>
  </si>
  <si>
    <t>20-year government gilt yields (Bank of England, Bankstats, identifier: IUQALNPY)</t>
  </si>
  <si>
    <t>Average mortgage rate (Bank of England, Bankstats, identifier: CFMHSDE)</t>
  </si>
  <si>
    <t>Sterling effective exchange rate (index) (Bank of England, Bankstats, identifier: XUQABK67)</t>
  </si>
  <si>
    <t>US$/£ exchange rate (Bank of England, Bankstats, identifier: XUQAUSS)</t>
  </si>
  <si>
    <t>Euro/£ exchange rate (Bank of England, Bankstats, identifier: XUQAERS)</t>
  </si>
  <si>
    <t>US dollar european crude dated brent spot is used as outturn, ICE brent crude futures are used for the economy forecast window (Bloomberg).</t>
  </si>
  <si>
    <t>UK natural gas 1M Fwd (Bloomberg) - Gas price expectations averaged over our economy forecast window, day-ahead future expectations for each month used as outturn (Ofgem and Bloomberg).</t>
  </si>
  <si>
    <t>FTSE All-Share Index (Bloomberg)</t>
  </si>
  <si>
    <t>1.10 Financial balances by sector</t>
  </si>
  <si>
    <t>% GDP</t>
  </si>
  <si>
    <t>£ billion</t>
  </si>
  <si>
    <t>Household</t>
  </si>
  <si>
    <t>Corporate</t>
  </si>
  <si>
    <t>Public</t>
  </si>
  <si>
    <t>Rest of world</t>
  </si>
  <si>
    <r>
      <t>Statistical discrepancy</t>
    </r>
    <r>
      <rPr>
        <vertAlign val="superscript"/>
        <sz val="12"/>
        <rFont val="Calibri"/>
        <family val="2"/>
      </rPr>
      <t>1</t>
    </r>
  </si>
  <si>
    <r>
      <rPr>
        <vertAlign val="superscript"/>
        <sz val="8"/>
        <color indexed="8"/>
        <rFont val="Calibri"/>
        <family val="2"/>
      </rPr>
      <t>1</t>
    </r>
    <r>
      <rPr>
        <sz val="8"/>
        <color indexed="8"/>
        <rFont val="Calibri"/>
        <family val="2"/>
      </rPr>
      <t>The sum of financial balances by sector is equal (but opposite sign) to the residual error between the expenditure and income based estimates of GDP.</t>
    </r>
  </si>
  <si>
    <t>Household net lending (ONS Economic Accounts, identifier: RPZT), includes non-profit institutions serving households</t>
  </si>
  <si>
    <t>Corporate net lending (ONS Economic Accounts, identifier: RPYN+RQBV)</t>
  </si>
  <si>
    <t>Public sector net lending (ONS Economic Accounts, identifiers: RQBN+RPZD)</t>
  </si>
  <si>
    <t>Rest of the world net lending (ONS Economic Accounts, identifier: RQCH)</t>
  </si>
  <si>
    <t>1.11 Household balance sheet, PNFC balance sheet, and bank lending</t>
  </si>
  <si>
    <t>Households</t>
  </si>
  <si>
    <r>
      <t>Private non-financial companies</t>
    </r>
    <r>
      <rPr>
        <vertAlign val="superscript"/>
        <sz val="12"/>
        <color indexed="8"/>
        <rFont val="Calibri"/>
        <family val="2"/>
      </rPr>
      <t>2</t>
    </r>
  </si>
  <si>
    <t>Lending</t>
  </si>
  <si>
    <t>Physical assets (£bn)</t>
  </si>
  <si>
    <t>Financial assets (£bn)</t>
  </si>
  <si>
    <t>Liabilities (£bn)</t>
  </si>
  <si>
    <t>Secured liabilities (£bn)</t>
  </si>
  <si>
    <t>Other liabilities (£bn)</t>
  </si>
  <si>
    <t>Total net worth (£bn)</t>
  </si>
  <si>
    <t>Disposable income (£bn)</t>
  </si>
  <si>
    <r>
      <t>Assets to income ratio</t>
    </r>
    <r>
      <rPr>
        <vertAlign val="superscript"/>
        <sz val="12"/>
        <color indexed="8"/>
        <rFont val="Calibri"/>
        <family val="2"/>
      </rPr>
      <t>1</t>
    </r>
    <r>
      <rPr>
        <sz val="12"/>
        <color indexed="8"/>
        <rFont val="Calibri"/>
        <family val="2"/>
      </rPr>
      <t xml:space="preserve"> (per cent)</t>
    </r>
  </si>
  <si>
    <r>
      <t>Liabilities to income ratio</t>
    </r>
    <r>
      <rPr>
        <vertAlign val="superscript"/>
        <sz val="12"/>
        <color indexed="8"/>
        <rFont val="Calibri"/>
        <family val="2"/>
      </rPr>
      <t>1</t>
    </r>
    <r>
      <rPr>
        <sz val="12"/>
        <color indexed="8"/>
        <rFont val="Calibri"/>
        <family val="2"/>
      </rPr>
      <t xml:space="preserve"> (per cent)</t>
    </r>
  </si>
  <si>
    <r>
      <t>Secured liabilities to income ratio</t>
    </r>
    <r>
      <rPr>
        <vertAlign val="superscript"/>
        <sz val="12"/>
        <color indexed="8"/>
        <rFont val="Calibri"/>
        <family val="2"/>
      </rPr>
      <t>1</t>
    </r>
    <r>
      <rPr>
        <sz val="12"/>
        <color indexed="8"/>
        <rFont val="Calibri"/>
        <family val="2"/>
      </rPr>
      <t xml:space="preserve"> (per cent)</t>
    </r>
  </si>
  <si>
    <r>
      <t>Other liabilities to income ratio</t>
    </r>
    <r>
      <rPr>
        <vertAlign val="superscript"/>
        <sz val="12"/>
        <color indexed="8"/>
        <rFont val="Calibri"/>
        <family val="2"/>
      </rPr>
      <t>1</t>
    </r>
    <r>
      <rPr>
        <sz val="12"/>
        <color indexed="8"/>
        <rFont val="Calibri"/>
        <family val="2"/>
      </rPr>
      <t xml:space="preserve"> (per cent)</t>
    </r>
  </si>
  <si>
    <r>
      <t>Total net worth to income ratio</t>
    </r>
    <r>
      <rPr>
        <vertAlign val="superscript"/>
        <sz val="12"/>
        <color indexed="8"/>
        <rFont val="Calibri"/>
        <family val="2"/>
      </rPr>
      <t>1</t>
    </r>
    <r>
      <rPr>
        <sz val="12"/>
        <color indexed="8"/>
        <rFont val="Calibri"/>
        <family val="2"/>
      </rPr>
      <t xml:space="preserve"> (per cent)</t>
    </r>
  </si>
  <si>
    <t>UK sterling bank loans (£bn)</t>
  </si>
  <si>
    <t>Other financial liabilities (£bn)</t>
  </si>
  <si>
    <t>Profits (non-oil) (£bn)</t>
  </si>
  <si>
    <r>
      <t>Financial asset to profits ratio</t>
    </r>
    <r>
      <rPr>
        <vertAlign val="superscript"/>
        <sz val="12"/>
        <color indexed="8"/>
        <rFont val="Calibri"/>
        <family val="2"/>
      </rPr>
      <t>1</t>
    </r>
    <r>
      <rPr>
        <sz val="12"/>
        <color indexed="8"/>
        <rFont val="Calibri"/>
        <family val="2"/>
      </rPr>
      <t xml:space="preserve"> (per cent)</t>
    </r>
  </si>
  <si>
    <r>
      <t>Financial liability to profits ratio</t>
    </r>
    <r>
      <rPr>
        <vertAlign val="superscript"/>
        <sz val="12"/>
        <color indexed="8"/>
        <rFont val="Calibri"/>
        <family val="2"/>
      </rPr>
      <t>1</t>
    </r>
    <r>
      <rPr>
        <sz val="12"/>
        <color indexed="8"/>
        <rFont val="Calibri"/>
        <family val="2"/>
      </rPr>
      <t xml:space="preserve"> (per cent)</t>
    </r>
  </si>
  <si>
    <t>UK bank sterling-denominated lending to firms and households (£bn)</t>
  </si>
  <si>
    <r>
      <t>UK bank sterling-denominated lending to firms and households to GDP ratio</t>
    </r>
    <r>
      <rPr>
        <vertAlign val="superscript"/>
        <sz val="12"/>
        <color indexed="8"/>
        <rFont val="Calibri"/>
        <family val="2"/>
      </rPr>
      <t>1</t>
    </r>
    <r>
      <rPr>
        <sz val="12"/>
        <color indexed="8"/>
        <rFont val="Calibri"/>
        <family val="2"/>
      </rPr>
      <t xml:space="preserve"> (per cent)</t>
    </r>
  </si>
  <si>
    <t>Household financial assets (ONS Economic Accounts, identifier: NNML)</t>
  </si>
  <si>
    <t>Corporate financial assets (ONS Economic Accounts, identifier: NKWX)</t>
  </si>
  <si>
    <r>
      <t xml:space="preserve">UK bank sterling-denominated lending to firms and households (ONS Economic Accounts, identifier: NLBE-NLBG+NNPP)
</t>
    </r>
    <r>
      <rPr>
        <vertAlign val="superscript"/>
        <sz val="8"/>
        <color rgb="FF000000"/>
        <rFont val="Calibri"/>
        <family val="2"/>
      </rPr>
      <t>1</t>
    </r>
    <r>
      <rPr>
        <sz val="8"/>
        <color indexed="8"/>
        <rFont val="Calibri"/>
        <family val="2"/>
      </rPr>
      <t xml:space="preserve"> Ratios are calculated as stock relative to sum of flows over the preceding four quarters.</t>
    </r>
  </si>
  <si>
    <t>Household physical assets (OBR interpolation of annual ONS data. Blue Book, identifiers: E42X+NG45-MU8A-MHT3+CGRO)</t>
  </si>
  <si>
    <t>Corporate financial liabilities (ONS Economic Accounts, identifier: NLBB)</t>
  </si>
  <si>
    <t>Household financial liabilities (ONS Economic Accounts, identifier: NNPP)</t>
  </si>
  <si>
    <t>Non-oil PNFC profits (ONS Economic Accounts identifier: CAED, adjusted in Q1, Q2 and Q3 2020 for the revised alignment adjustment DMUQ)</t>
  </si>
  <si>
    <t>Household secured liabilities (ONS Economic Accounts, identifier: NNRP)</t>
  </si>
  <si>
    <t>Household other liabilities (ONS Economic Accounts, identifier: NNPP-NNRP)</t>
  </si>
  <si>
    <r>
      <rPr>
        <vertAlign val="superscript"/>
        <sz val="8"/>
        <color rgb="FF000000"/>
        <rFont val="Calibri"/>
        <family val="2"/>
      </rPr>
      <t>1</t>
    </r>
    <r>
      <rPr>
        <sz val="8"/>
        <color indexed="8"/>
        <rFont val="Calibri"/>
        <family val="2"/>
      </rPr>
      <t xml:space="preserve"> Ratios are calculated as stock relative to sum of flows over the preceding four quarters.</t>
    </r>
  </si>
  <si>
    <t>Household total net worth (ONS Economic Accounts and Blue Book, identifier: NZEA+E42X+NG45-MU8A-MHT3+CGRO)</t>
  </si>
  <si>
    <r>
      <rPr>
        <vertAlign val="superscript"/>
        <sz val="8"/>
        <color indexed="8"/>
        <rFont val="Calibri"/>
        <family val="2"/>
      </rPr>
      <t>2</t>
    </r>
    <r>
      <rPr>
        <sz val="8"/>
        <color indexed="8"/>
        <rFont val="Calibri"/>
        <family val="2"/>
      </rPr>
      <t xml:space="preserve"> We do not produce a physical asset forecast so we cannot produce a forecast of PNFC net worth.</t>
    </r>
  </si>
  <si>
    <t>Disposable income (ONS Economic Accounts, identifier: RPHQ)</t>
  </si>
  <si>
    <r>
      <rPr>
        <vertAlign val="superscript"/>
        <sz val="8"/>
        <color indexed="8"/>
        <rFont val="Calibri"/>
        <family val="2"/>
      </rPr>
      <t>1</t>
    </r>
    <r>
      <rPr>
        <sz val="8"/>
        <color indexed="8"/>
        <rFont val="Calibri"/>
        <family val="2"/>
      </rPr>
      <t xml:space="preserve"> Ratios are calculated as stock relative to sum of flows over the preceding four quarters.</t>
    </r>
  </si>
  <si>
    <t>1.11b Household balance sheet - unsecured household debt</t>
  </si>
  <si>
    <t>Student debt (£bn)</t>
  </si>
  <si>
    <t>Other unsecured liabilities (£bn)</t>
  </si>
  <si>
    <t>Total unsecured liabilities (£bn)</t>
  </si>
  <si>
    <r>
      <t>Student debt to income ratio</t>
    </r>
    <r>
      <rPr>
        <vertAlign val="superscript"/>
        <sz val="12"/>
        <color indexed="8"/>
        <rFont val="Calibri"/>
        <family val="2"/>
      </rPr>
      <t>1</t>
    </r>
    <r>
      <rPr>
        <sz val="12"/>
        <color indexed="8"/>
        <rFont val="Calibri"/>
        <family val="2"/>
      </rPr>
      <t xml:space="preserve"> (per cent)</t>
    </r>
  </si>
  <si>
    <r>
      <t>Other unsecured liabilities to income ratio</t>
    </r>
    <r>
      <rPr>
        <vertAlign val="superscript"/>
        <sz val="12"/>
        <color indexed="8"/>
        <rFont val="Calibri"/>
        <family val="2"/>
      </rPr>
      <t>1</t>
    </r>
    <r>
      <rPr>
        <sz val="12"/>
        <color indexed="8"/>
        <rFont val="Calibri"/>
        <family val="2"/>
      </rPr>
      <t xml:space="preserve"> (per cent)</t>
    </r>
  </si>
  <si>
    <r>
      <t>Total unsecured liabilities to income ratio</t>
    </r>
    <r>
      <rPr>
        <vertAlign val="superscript"/>
        <sz val="12"/>
        <color indexed="8"/>
        <rFont val="Calibri"/>
        <family val="2"/>
      </rPr>
      <t>1</t>
    </r>
    <r>
      <rPr>
        <sz val="12"/>
        <color indexed="8"/>
        <rFont val="Calibri"/>
        <family val="2"/>
      </rPr>
      <t xml:space="preserve"> (per cent)</t>
    </r>
  </si>
  <si>
    <t>Student debt (ONS Economic Accounts, identifier: CT9E)</t>
  </si>
  <si>
    <t>Household other unsecured liabilities (ONS Economic Accounts, identifier: NNPP-NNRP-CT9E)</t>
  </si>
  <si>
    <t>Household total unsecured liabilities (ONS Economic Accounts, identifier: NNPP-NNRP)</t>
  </si>
  <si>
    <t>1.12 Household disposable income (£ billion current prices, seasonally adjusted)</t>
  </si>
  <si>
    <t>Labour Income 
(a + b - c)</t>
  </si>
  <si>
    <t>Employee compensation (a)</t>
  </si>
  <si>
    <t>Mixed Income (b)</t>
  </si>
  <si>
    <t>Employer social contributions (c)</t>
  </si>
  <si>
    <t>Non-labour income</t>
  </si>
  <si>
    <t>Net benefits and taxes</t>
  </si>
  <si>
    <t>Household disposable income</t>
  </si>
  <si>
    <t>Labour income = Employee compensation (including net compensation from abroad) + mixed income (largely self-employment income) - employer social contributions. (ONS Economic Accounts, identifier: DTWM+ROYH-ROYK+IJAH-IJAI)</t>
  </si>
  <si>
    <t xml:space="preserve">Non-labour income = Operating surplus of households + net property income + imputed social contributions - social benefits (use) + net miscellaneous transfers. (ONS Economic Accounts identifier: CAEN+ROYL-ROYT+L8RF-QWMZ+RPHO-RPID - (L8PE+L8Q2+L8LQ) - (CX3X+FJBH)). </t>
  </si>
  <si>
    <t xml:space="preserve">Net benefits and taxes = Social benefits (resource) - taxation on income and wealth - employees' social contributions (excluding employee contributions to funded pension schemes). (ONS Economic Accounts, identifier: RPHL-RPHS-RPHT-L8PS-L8Q8-L8LU + (L8PE+L8Q2+L8LQ) + (CX3X+FJBH)). </t>
  </si>
  <si>
    <t>Household disposable income (ONS Economic Accounts, identifier: RPHQ)</t>
  </si>
  <si>
    <t xml:space="preserve">1.13 National Living Wage </t>
  </si>
  <si>
    <t xml:space="preserve">£ per hour </t>
  </si>
  <si>
    <t>1.14 OBR central estimate of the output gap</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</si>
  <si>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</si>
  <si>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</si>
  <si>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</si>
  <si>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</si>
  <si>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</si>
  <si>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</si>
  <si>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</si>
  <si>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</si>
  <si>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</si>
  <si>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</si>
  <si>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</si>
  <si>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</si>
  <si>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</si>
  <si>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</si>
  <si>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</si>
  <si>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</si>
  <si>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</si>
  <si>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</si>
  <si>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</si>
  <si>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</si>
  <si>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</si>
  <si>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</si>
  <si>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</si>
  <si>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</si>
  <si>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</si>
  <si>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</si>
  <si>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</si>
  <si>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</si>
  <si>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</si>
  <si>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</si>
  <si>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</si>
  <si>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</si>
  <si>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</si>
  <si>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</si>
  <si>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</si>
  <si>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</si>
  <si>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</si>
  <si>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</si>
  <si>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</si>
  <si>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</si>
  <si>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</si>
  <si>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</si>
  <si>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</si>
  <si>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</si>
  <si>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</si>
  <si>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</si>
  <si>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</si>
  <si>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</si>
  <si>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</si>
  <si>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</si>
  <si>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</si>
  <si>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</si>
  <si>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</si>
  <si>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</si>
  <si>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</si>
  <si>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</si>
  <si>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</si>
  <si>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</si>
  <si>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</si>
  <si>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</si>
  <si>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</si>
  <si>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</si>
  <si>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</si>
  <si>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</si>
  <si>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</si>
  <si>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</si>
  <si>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</si>
  <si>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</si>
  <si>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</si>
  <si>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</si>
  <si>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</si>
  <si>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</si>
  <si>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</si>
  <si>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</si>
  <si>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</si>
  <si>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</si>
  <si>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</si>
  <si>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</si>
  <si>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</si>
  <si>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</si>
  <si>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</si>
  <si>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</si>
  <si>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</si>
  <si>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</si>
  <si>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</si>
  <si>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</si>
  <si>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</si>
  <si>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</si>
  <si>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</si>
  <si>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</si>
  <si>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</si>
  <si>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</si>
  <si>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</si>
  <si>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</si>
  <si>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</si>
  <si>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</si>
  <si>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</si>
  <si>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</si>
  <si>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</si>
  <si>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</si>
  <si>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</si>
  <si>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</si>
  <si>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</si>
  <si>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</si>
  <si>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</si>
  <si>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</si>
  <si>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</si>
  <si>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</si>
  <si>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</si>
  <si>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</si>
  <si>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</si>
  <si>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</si>
  <si>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</si>
  <si>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</si>
  <si>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</si>
  <si>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</si>
  <si>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</si>
  <si>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</si>
  <si>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</si>
  <si>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</si>
  <si>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</si>
  <si>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</si>
  <si>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</si>
  <si>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</si>
  <si>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</si>
  <si>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</si>
  <si>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</si>
  <si>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</si>
  <si>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</si>
  <si>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</si>
  <si>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</si>
  <si>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</si>
  <si>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</si>
  <si>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</si>
  <si>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</si>
  <si>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</si>
  <si>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</si>
  <si>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</si>
  <si>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</si>
  <si>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</si>
  <si>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</si>
  <si>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</si>
  <si>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</si>
  <si>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</si>
  <si>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 xml:space="preserve">2020Q3 </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</si>
  <si>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</si>
  <si>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</si>
  <si>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</si>
  <si>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</si>
  <si>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</si>
  <si>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</si>
  <si>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</si>
  <si>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</si>
  <si>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</si>
  <si>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</si>
  <si>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</si>
  <si>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</si>
  <si>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</si>
  <si>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</si>
  <si>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</si>
  <si>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</si>
  <si>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</si>
  <si>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</si>
  <si>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</si>
  <si>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</si>
  <si>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</si>
  <si>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</si>
  <si>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</si>
  <si>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</si>
  <si>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</si>
  <si>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</si>
  <si>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</si>
  <si>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</si>
  <si>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</si>
  <si>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</si>
  <si>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</si>
  <si>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</si>
  <si>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</si>
  <si>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</si>
  <si>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</si>
  <si>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</si>
  <si>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Note: Estimates of the output gap between 1994 and 2025 are based on our suite of output gap models. Estimates prior to 1994 are based on our 'principle component analysis'. These estimates should be treated with extra caution prior to 1994 as only a limited number of the data sources used in this method are available for this period. For more details, see Pybus (2011): OBR Working Paper No.1: Estimating the UK’s historical output gap.</t>
  </si>
  <si>
    <t>1.15 Potential output forecast</t>
  </si>
  <si>
    <t>Levels</t>
  </si>
  <si>
    <t>Growth rates</t>
  </si>
  <si>
    <r>
      <t>Potential output</t>
    </r>
    <r>
      <rPr>
        <vertAlign val="superscript"/>
        <sz val="12"/>
        <color indexed="8"/>
        <rFont val="Calibri"/>
        <family val="2"/>
      </rPr>
      <t xml:space="preserve">1 </t>
    </r>
    <r>
      <rPr>
        <sz val="12"/>
        <color indexed="8"/>
        <rFont val="Calibri"/>
        <family val="2"/>
      </rPr>
      <t>(£m)</t>
    </r>
  </si>
  <si>
    <t>Population (16+)</t>
  </si>
  <si>
    <r>
      <t xml:space="preserve"> Potential employment rate</t>
    </r>
    <r>
      <rPr>
        <vertAlign val="superscript"/>
        <sz val="12"/>
        <color indexed="8"/>
        <rFont val="Calibri"/>
        <family val="2"/>
      </rPr>
      <t>2</t>
    </r>
    <r>
      <rPr>
        <sz val="12"/>
        <color indexed="8"/>
        <rFont val="Calibri"/>
        <family val="2"/>
      </rPr>
      <t xml:space="preserve"> (16+)</t>
    </r>
  </si>
  <si>
    <t xml:space="preserve">Potential average hours </t>
  </si>
  <si>
    <t xml:space="preserve">Potential productivity per hour </t>
  </si>
  <si>
    <r>
      <t>Potential output</t>
    </r>
    <r>
      <rPr>
        <vertAlign val="superscript"/>
        <sz val="12"/>
        <color indexed="8"/>
        <rFont val="Calibri"/>
        <family val="2"/>
      </rPr>
      <t xml:space="preserve">3 </t>
    </r>
  </si>
  <si>
    <t xml:space="preserve">Potential employment rate </t>
  </si>
  <si>
    <t xml:space="preserve">OBR estimate of potential population, based on LFS household population, all aged 16 and over (ONS identifier: MGSL) </t>
  </si>
  <si>
    <t>OBR estimate of the potential participation rate, on the same basis as the LFS participation rate, all aged 16 and over (ONS identifier: MGWG)</t>
  </si>
  <si>
    <t>OBR estimate of the equilibirum unemployment rate, on the same basis as the ILO unemployment rate, all aged 16 and over (ONS identifier: MGSX)</t>
  </si>
  <si>
    <t>OBR estimate of the potential employment rate, on the same basis as the LFS employment rate, all aged 16 and over (ONS identifier: MGSR)</t>
  </si>
  <si>
    <t>OBR estimate of potential average hours, on the same basis as LFS average (mean) actual weekly hours worked, all workers (ONS identifier: YBUV)</t>
  </si>
  <si>
    <t>OBR estimate of potential output per hour, on the same basis as GDP (ONS identifier: ABMI) divided by total weekly hours worked (ONS identifier: YBUS)</t>
  </si>
  <si>
    <r>
      <rPr>
        <vertAlign val="superscript"/>
        <sz val="8"/>
        <rFont val="Calibri"/>
        <family val="2"/>
      </rPr>
      <t>1</t>
    </r>
    <r>
      <rPr>
        <sz val="8"/>
        <color indexed="8"/>
        <rFont val="Calibri"/>
        <family val="2"/>
      </rPr>
      <t xml:space="preserve"> Potential output can be calculated by multiplying potential population,  productivity, average hours and the employment rate divided by 100. </t>
    </r>
  </si>
  <si>
    <r>
      <rPr>
        <vertAlign val="superscript"/>
        <sz val="8"/>
        <color indexed="8"/>
        <rFont val="Calibri"/>
        <family val="2"/>
      </rPr>
      <t>2</t>
    </r>
    <r>
      <rPr>
        <sz val="8"/>
        <color indexed="8"/>
        <rFont val="Calibri"/>
        <family val="2"/>
      </rPr>
      <t xml:space="preserve"> The potential employment rate is determined by multiplying the potential participation rate by 1 minus the equilibrium unemployment rate divided by 100. </t>
    </r>
  </si>
  <si>
    <r>
      <rPr>
        <vertAlign val="superscript"/>
        <sz val="8"/>
        <color indexed="8"/>
        <rFont val="Calibri"/>
        <family val="2"/>
      </rPr>
      <t>3</t>
    </r>
    <r>
      <rPr>
        <sz val="8"/>
        <color indexed="8"/>
        <rFont val="Calibri"/>
        <family val="2"/>
      </rPr>
      <t xml:space="preserve"> Potential output growth is approximately equal to the sum of the growth rates of potential population, the employment rate, average hours and productivity.</t>
    </r>
  </si>
  <si>
    <t>1.16 Housing market</t>
  </si>
  <si>
    <t>House price index 
(Jan 2023 = 100)</t>
  </si>
  <si>
    <t>House price index 
(per cent change on a year earlier)</t>
  </si>
  <si>
    <t>Residential property transactions 
(000s, seasonally adjusted)</t>
  </si>
  <si>
    <t>Private enterprise housing starts, UK (seasonally adjusted)</t>
  </si>
  <si>
    <t>Private enterprise housing completions, UK (seasonally adjusted)</t>
  </si>
  <si>
    <t>Housing stock, UK (000s)</t>
  </si>
  <si>
    <t>Net additions to the housing stock, UK (000s)</t>
  </si>
  <si>
    <t>Turnover rate</t>
  </si>
  <si>
    <t>Seasonally adjusted ONS House Price Index (House Price Index Statistical Bulletin)</t>
  </si>
  <si>
    <t>Number of residential property transaction completions with value £40,000 or above, seasonally adjusted (HMRC UK Property Transaction Statistics)</t>
  </si>
  <si>
    <t>Number of private enterprise housing starts and completions, seasonally adjusted OBR estimates based on ONS, House building, UK: permanent dwellings started and completed by country.</t>
  </si>
  <si>
    <t>Net additions are changes in the UK housing stock which are OBR estimates based on housing stock data from DLUHC, StatsWales, Scottish Government and Northern Ireland Department for communities. Annual net additions are calculated as the change in the average size of the stock between adjacent years.</t>
  </si>
  <si>
    <t>Turnover rate is calculated as the number of residential property transactions divided by the stock of dwellings.</t>
  </si>
  <si>
    <t>1.17 Household debt servicing costs</t>
  </si>
  <si>
    <t>Household debt servicing costs 
(rolling four quarter sum, £bn)</t>
  </si>
  <si>
    <t>Household disposable income 
(rolling four quarter sum, £bn)</t>
  </si>
  <si>
    <t>Household debt servicing costs 
(per cent of household disposable income, rolling four quarter sum)</t>
  </si>
  <si>
    <t>Rolling four-quarter sum of total household interest payments excluding FISIM (ONS Economic Accounts, identifier: J4X3).</t>
  </si>
  <si>
    <t>Rolling four-quarter sum of household disposable income (ONS Economic Accounts, identifier: RPHQ).</t>
  </si>
  <si>
    <t>1.18 Eligible rent growth assumptions</t>
  </si>
  <si>
    <t>2023-30</t>
  </si>
  <si>
    <t>Private sector</t>
  </si>
  <si>
    <t>Local Housing Allowance</t>
  </si>
  <si>
    <t>Non-LHA Regulated</t>
  </si>
  <si>
    <t>Non-LHA Deregulated</t>
  </si>
  <si>
    <t>Social sector</t>
  </si>
  <si>
    <t>Local Authorities</t>
  </si>
  <si>
    <t>Registered Social Landlords</t>
  </si>
  <si>
    <t>The assumptions provided in this table cover only growth in the element of rent eligible for Housing Benefit and not overall market rents. The eligible rent is based on the amount paid by the tenant to occupy the property not including bills and some service charges. In many cases (mainly Private Rented Sector tenants), the amount of eligible rent is also influenced by the amount of maximum rent determined by LHA regulations, or by the Rent Officer.</t>
  </si>
  <si>
    <t>1.19 CPI category inflation</t>
  </si>
  <si>
    <t>Food, beverages and tobacco</t>
  </si>
  <si>
    <t>Utilities</t>
  </si>
  <si>
    <t>Fuels</t>
  </si>
  <si>
    <t>Other tradables</t>
  </si>
  <si>
    <t>Other non-tradables</t>
  </si>
  <si>
    <t>1.19b CPI category weights</t>
  </si>
  <si>
    <t>1.20 Electricity price forecast</t>
  </si>
  <si>
    <t>Note: UK Base Electricity Future 1M fwd (Bloomberg). Electricity price expectations averaged over our determinant window for first three years of forecast, grown in line with global inflation thereafter, average monthly spot prices used as outturn.</t>
  </si>
  <si>
    <t>The assumptions provided in this table include the impact of social rent convergence. We assume that all cases in scope of convergence are below national formula rents for modelling purposes. Some cases may also converge earlier than is modelled, and therefore require smaller rent increases each financial year, decreasing the average rental growth.</t>
  </si>
  <si>
    <t>2031Q2</t>
  </si>
  <si>
    <t>2031Q3</t>
  </si>
  <si>
    <t>2031Q4</t>
  </si>
  <si>
    <t>2032Q1</t>
  </si>
  <si>
    <t>2031-32</t>
  </si>
  <si>
    <t>Pounds per MWh</t>
  </si>
  <si>
    <t>CPI weights are denoted in parts per thousand and rounded to the nearest tenth. Figures may not add up to 1000 due to rounding.</t>
  </si>
  <si>
    <t>RPI, RPIX, CPI and CPIH inflation are based on outturn data up to and including July 2026.</t>
  </si>
  <si>
    <t>All items Retail Prices Index (RPI), all items Retail Prices Index excluding mortgage interest payments (RPIX) (percentage change over 12 months) (ONS Consumer Prices Index Bulletin, identifier: CZBH and CDKQ respectively). Due to a change in methodology we will not forecast RPIX after 2029 Q4.</t>
  </si>
  <si>
    <t>These figures now include compositional shifts, including the Move to UC, the increase in use of affordable tenancies and increases to Supported Housing caseloads.</t>
  </si>
  <si>
    <t>Consumer expenditure deflator and GDP deflator are based on the Quarterly National Accounts released by the ONS on 13 August 2026.</t>
  </si>
  <si>
    <t>Mortgage Interest Payments (ONS Consumer Prices Index Statistical Bulletin, identifier: CZCR). Due to the announced change in RPI methodology by the ONS from February 2030 we do not forecast RPI Mortgage Interest Payments and RPIX after 2029 Q4.</t>
  </si>
  <si>
    <t>Potential participation rate</t>
  </si>
  <si>
    <t>Equilibrium unemployment rate</t>
  </si>
  <si>
    <t>Labour income = Wages &amp; Salaries + Mixed Income (ONS Economic Accounts, identifier: DTWM-ROYK+RNKX)</t>
  </si>
  <si>
    <t>October 2026 Economic and fiscal outlook – detailed forecast tables: economy</t>
  </si>
  <si>
    <t>National Living Wage (NLW)</t>
  </si>
  <si>
    <t xml:space="preserve">Note: The NLW has been set by the Government up until 2027 following recommendations from the Low Pay Commission (LPC) in accordance with its remit, and the state of the labour market and economy. Figures beyond 2027 are OBR estimates consistent with the rest of our economy forecast.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</si>
</sst>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4" formatCode="_-&quot;£&quot;* #,##0.00_-;\-&quot;£&quot;* #,##0.00_-;_-&quot;£&quot;* &quot;-&quot;??_-;_-@_-"/>
    <numFmt numFmtId="43" formatCode="_-* #,##0.00_-;\-* #,##0.00_-;_-* &quot;-&quot;??_-;_-@_-"/>
    <numFmt numFmtId="164" formatCode="0.0"/>
    <numFmt numFmtId="165" formatCode="0.000"/>
    <numFmt numFmtId="166" formatCode="0.0000"/>
    <numFmt numFmtId="167" formatCode="&quot;to &quot;0.0000;&quot;to &quot;\-0.0000;&quot;to 0&quot;"/>
    <numFmt numFmtId="168" formatCode="#,##0;\-#,##0;\-"/>
    <numFmt numFmtId="169" formatCode="[&lt;0.0001]&quot;&lt;0.0001&quot;;0.0000"/>
    <numFmt numFmtId="170" formatCode="#,##0.0,,;\-#,##0.0,,;\-"/>
    <numFmt numFmtId="171" formatCode="#,##0,;\-#,##0,;\-"/>
    <numFmt numFmtId="172" formatCode="0.0%;\-0.0%;\-"/>
    <numFmt numFmtId="173" formatCode="#,##0.0,,;\-#,##0.0,,"/>
    <numFmt numFmtId="174" formatCode="#,##0,;\-#,##0,"/>
    <numFmt numFmtId="175" formatCode="0.0%;\-0.0%"/>
    <numFmt numFmtId="176" formatCode="#,##0.0_-;\(#,##0.0\);_-* &quot;-&quot;??_-"/>
    <numFmt numFmtId="177" formatCode="_-[$€-2]* #,##0.00_-;\-[$€-2]* #,##0.00_-;_-[$€-2]* &quot;-&quot;??_-"/>
    <numFmt numFmtId="178" formatCode="0.0%"/>
    <numFmt numFmtId="179" formatCode="#,##0.0"/>
    <numFmt numFmtId="180" formatCode="0.000000"/>
    <numFmt numFmtId="181" formatCode="0.00000000"/>
    <numFmt numFmtId="182" formatCode="0.00000E+00"/>
    <numFmt numFmtId="183" formatCode="0.0000%"/>
    <numFmt numFmtId="184" formatCode="#,##0.000"/>
    <numFmt numFmtId="185" formatCode="0.00000"/>
    <numFmt numFmtId="186" formatCode="_-* #,##0.0000_-;\-* #,##0.0000_-;_-* &quot;-&quot;??_-;_-@_-"/>
    <numFmt numFmtId="187" formatCode="0.0000000"/>
  </numFmts>
  <fonts count="119" x14ac:knownFonts="1">
    <font>
      <sz val="11"/>
      <color theme="1"/>
      <name val="Futura Bk BT"/>
      <family val="2"/>
      <scheme val="minor"/>
    </font>
    <font>
      <sz val="11"/>
      <color indexed="8"/>
      <name val="Calibri"/>
      <family val="2"/>
    </font>
    <font>
      <sz val="10"/>
      <name val="Arial"/>
      <family val="2"/>
    </font>
    <font>
      <b/>
      <sz val="10"/>
      <color indexed="18"/>
      <name val="Arial"/>
      <family val="2"/>
    </font>
    <font>
      <sz val="9"/>
      <name val="Arial"/>
      <family val="2"/>
    </font>
    <font>
      <sz val="8"/>
      <name val="Times New Roman"/>
      <family val="1"/>
    </font>
    <font>
      <i/>
      <sz val="8"/>
      <name val="Times New Roman"/>
      <family val="1"/>
    </font>
    <font>
      <b/>
      <sz val="9"/>
      <color indexed="18"/>
      <name val="Arial"/>
      <family val="2"/>
    </font>
    <font>
      <b/>
      <sz val="9"/>
      <color indexed="8"/>
      <name val="Arial"/>
      <family val="2"/>
    </font>
    <font>
      <b/>
      <i/>
      <sz val="10"/>
      <name val="Arial"/>
      <family val="2"/>
    </font>
    <font>
      <i/>
      <sz val="10"/>
      <name val="Arial"/>
      <family val="2"/>
    </font>
    <font>
      <sz val="7"/>
      <name val="Arial"/>
      <family val="2"/>
    </font>
    <font>
      <sz val="10"/>
      <color indexed="8"/>
      <name val="Arial"/>
      <family val="2"/>
    </font>
    <font>
      <b/>
      <sz val="10"/>
      <name val="Tahoma"/>
      <family val="2"/>
    </font>
    <font>
      <sz val="10"/>
      <name val="Tahoma"/>
      <family val="2"/>
    </font>
    <font>
      <i/>
      <sz val="7"/>
      <name val="Arial"/>
      <family val="2"/>
    </font>
    <font>
      <b/>
      <sz val="8"/>
      <name val="Arial"/>
      <family val="2"/>
    </font>
    <font>
      <b/>
      <sz val="8"/>
      <color indexed="12"/>
      <name val="Arial"/>
      <family val="2"/>
    </font>
    <font>
      <i/>
      <sz val="8"/>
      <color indexed="12"/>
      <name val="Arial"/>
      <family val="2"/>
    </font>
    <font>
      <i/>
      <sz val="8"/>
      <name val="Arial"/>
      <family val="2"/>
    </font>
    <font>
      <sz val="8"/>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Calibri"/>
      <family val="2"/>
    </font>
    <font>
      <sz val="11"/>
      <color indexed="8"/>
      <name val="Futura Bk BT"/>
      <family val="2"/>
    </font>
    <font>
      <sz val="12"/>
      <color indexed="8"/>
      <name val="Futura Bk BT"/>
      <family val="2"/>
    </font>
    <font>
      <sz val="10"/>
      <name val="Arial"/>
      <family val="2"/>
    </font>
    <font>
      <sz val="8"/>
      <color indexed="8"/>
      <name val="Futura Bk BT"/>
      <family val="2"/>
    </font>
    <font>
      <b/>
      <sz val="11"/>
      <color indexed="55"/>
      <name val="Arial"/>
      <family val="2"/>
    </font>
    <font>
      <sz val="11"/>
      <color indexed="10"/>
      <name val="Arial"/>
      <family val="2"/>
    </font>
    <font>
      <b/>
      <sz val="12"/>
      <color indexed="12"/>
      <name val="Arial"/>
      <family val="2"/>
    </font>
    <font>
      <b/>
      <sz val="12"/>
      <name val="Arial"/>
      <family val="2"/>
    </font>
    <font>
      <b/>
      <i/>
      <sz val="12"/>
      <name val="Arial"/>
      <family val="2"/>
    </font>
    <font>
      <b/>
      <sz val="10"/>
      <name val="Arial"/>
      <family val="2"/>
    </font>
    <font>
      <u/>
      <sz val="10"/>
      <color indexed="12"/>
      <name val="Arial"/>
      <family val="2"/>
    </font>
    <font>
      <sz val="12"/>
      <name val="Helv"/>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8"/>
      <color indexed="52"/>
      <name val="Arial"/>
      <family val="2"/>
    </font>
    <font>
      <sz val="8"/>
      <color indexed="51"/>
      <name val="Arial"/>
      <family val="2"/>
    </font>
    <font>
      <b/>
      <sz val="10"/>
      <color indexed="58"/>
      <name val="Arial"/>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b/>
      <sz val="11"/>
      <name val="Times New Roman"/>
      <family val="1"/>
    </font>
    <font>
      <b/>
      <sz val="18"/>
      <name val="Arial"/>
      <family val="2"/>
    </font>
    <font>
      <sz val="8"/>
      <color indexed="8"/>
      <name val="Calibri"/>
      <family val="2"/>
    </font>
    <font>
      <vertAlign val="superscript"/>
      <sz val="8"/>
      <color indexed="8"/>
      <name val="Calibri"/>
      <family val="2"/>
    </font>
    <font>
      <sz val="10"/>
      <color indexed="8"/>
      <name val="Calibri"/>
      <family val="2"/>
    </font>
    <font>
      <sz val="12"/>
      <color indexed="8"/>
      <name val="Calibri"/>
      <family val="2"/>
    </font>
    <font>
      <sz val="10"/>
      <name val="Calibri"/>
      <family val="2"/>
    </font>
    <font>
      <sz val="14"/>
      <color indexed="8"/>
      <name val="Calibri"/>
      <family val="2"/>
    </font>
    <font>
      <sz val="12"/>
      <name val="Calibri"/>
      <family val="2"/>
    </font>
    <font>
      <sz val="11"/>
      <name val="Calibri"/>
      <family val="2"/>
    </font>
    <font>
      <sz val="15"/>
      <color indexed="8"/>
      <name val="Calibri"/>
      <family val="2"/>
    </font>
    <font>
      <sz val="11"/>
      <color theme="1"/>
      <name val="Futura Bk BT"/>
      <family val="2"/>
      <scheme val="minor"/>
    </font>
    <font>
      <u/>
      <sz val="11"/>
      <color theme="10"/>
      <name val="Calibri"/>
      <family val="2"/>
    </font>
    <font>
      <sz val="12"/>
      <color theme="1"/>
      <name val="Arial"/>
      <family val="2"/>
    </font>
    <font>
      <sz val="10"/>
      <color theme="1"/>
      <name val="Calibri"/>
      <family val="2"/>
    </font>
    <font>
      <sz val="11"/>
      <color theme="1"/>
      <name val="Calibri"/>
      <family val="2"/>
    </font>
    <font>
      <u/>
      <sz val="10"/>
      <color theme="10"/>
      <name val="Calibri"/>
      <family val="2"/>
    </font>
    <font>
      <sz val="14"/>
      <color theme="1"/>
      <name val="Calibri"/>
      <family val="2"/>
    </font>
    <font>
      <sz val="12"/>
      <color theme="1"/>
      <name val="Calibri"/>
      <family val="2"/>
    </font>
    <font>
      <sz val="8"/>
      <color theme="1"/>
      <name val="Calibri"/>
      <family val="2"/>
    </font>
    <font>
      <sz val="13"/>
      <color rgb="FF477391"/>
      <name val="Calibri"/>
      <family val="2"/>
    </font>
    <font>
      <i/>
      <sz val="12"/>
      <name val="Calibri"/>
      <family val="2"/>
    </font>
    <font>
      <sz val="12"/>
      <color rgb="FF000000"/>
      <name val="Calibri"/>
      <family val="2"/>
    </font>
    <font>
      <sz val="10"/>
      <color theme="1"/>
      <name val="Arial"/>
      <family val="2"/>
    </font>
    <font>
      <vertAlign val="superscript"/>
      <sz val="12"/>
      <color indexed="8"/>
      <name val="Futura Bk BT"/>
      <family val="2"/>
    </font>
    <font>
      <vertAlign val="superscript"/>
      <sz val="12"/>
      <color indexed="8"/>
      <name val="Calibri"/>
      <family val="2"/>
    </font>
    <font>
      <vertAlign val="superscript"/>
      <sz val="8"/>
      <name val="Calibri"/>
      <family val="2"/>
    </font>
    <font>
      <sz val="12"/>
      <name val="Futura Bk BT"/>
      <family val="2"/>
    </font>
    <font>
      <sz val="8"/>
      <color rgb="FFFF0000"/>
      <name val="Calibri"/>
      <family val="2"/>
    </font>
    <font>
      <sz val="8"/>
      <name val="Futura Bk BT"/>
      <family val="2"/>
      <scheme val="minor"/>
    </font>
    <font>
      <sz val="8"/>
      <color rgb="FF000000"/>
      <name val="Calibri"/>
      <family val="2"/>
    </font>
    <font>
      <b/>
      <sz val="12"/>
      <color indexed="8"/>
      <name val="Calibri"/>
      <family val="2"/>
    </font>
    <font>
      <b/>
      <sz val="14"/>
      <color indexed="8"/>
      <name val="Calibri"/>
      <family val="2"/>
    </font>
    <font>
      <b/>
      <sz val="12"/>
      <color indexed="8"/>
      <name val="Futura Bk BT"/>
      <family val="2"/>
    </font>
    <font>
      <b/>
      <sz val="11"/>
      <color indexed="8"/>
      <name val="Futura Bk BT"/>
      <family val="2"/>
    </font>
    <font>
      <sz val="7"/>
      <color indexed="8"/>
      <name val="Calibri"/>
      <family val="2"/>
    </font>
    <font>
      <sz val="12"/>
      <color rgb="FFFF0000"/>
      <name val="Calibri"/>
      <family val="2"/>
    </font>
    <font>
      <sz val="6"/>
      <name val="Calibri"/>
      <family val="2"/>
    </font>
    <font>
      <vertAlign val="superscript"/>
      <sz val="12"/>
      <name val="Calibri"/>
      <family val="2"/>
    </font>
    <font>
      <b/>
      <sz val="10"/>
      <name val="Calibri"/>
      <family val="2"/>
    </font>
    <font>
      <sz val="8"/>
      <color theme="1"/>
      <name val="Futura Bk BT"/>
      <family val="2"/>
      <scheme val="minor"/>
    </font>
    <font>
      <b/>
      <sz val="16"/>
      <color indexed="8"/>
      <name val="Calibri"/>
      <family val="2"/>
    </font>
    <font>
      <b/>
      <sz val="8"/>
      <color indexed="8"/>
      <name val="Calibri"/>
      <family val="2"/>
    </font>
    <font>
      <sz val="10"/>
      <name val="Arial"/>
      <family val="2"/>
    </font>
    <font>
      <vertAlign val="superscript"/>
      <sz val="8"/>
      <color rgb="FF000000"/>
      <name val="Calibri"/>
      <family val="2"/>
    </font>
    <font>
      <sz val="11"/>
      <color rgb="FFFF0000"/>
      <name val="Calibri"/>
      <family val="2"/>
    </font>
    <font>
      <sz val="11"/>
      <color rgb="FFFF0000"/>
      <name val="Futura Bk BT"/>
      <family val="2"/>
      <scheme val="minor"/>
    </font>
    <font>
      <sz val="10"/>
      <color rgb="FFFF0000"/>
      <name val="Calibri"/>
      <family val="2"/>
    </font>
    <font>
      <b/>
      <sz val="8"/>
      <color rgb="FFFF0000"/>
      <name val="Calibri"/>
      <family val="2"/>
    </font>
    <font>
      <u/>
      <sz val="11"/>
      <color theme="8"/>
      <name val="Calibri"/>
      <family val="2"/>
    </font>
    <font>
      <u/>
      <sz val="11"/>
      <color indexed="12"/>
      <name val="Calibri"/>
      <family val="2"/>
    </font>
    <font>
      <sz val="8"/>
      <color indexed="8"/>
      <name val="Calibri"/>
      <family val="2"/>
    </font>
    <font>
      <sz val="11"/>
      <color indexed="8"/>
      <name val="Calibri"/>
      <family val="2"/>
    </font>
    <font>
      <sz val="10"/>
      <color theme="1"/>
      <name val="Calibri"/>
      <family val="2"/>
    </font>
    <font>
      <sz val="12"/>
      <color indexed="8"/>
      <name val="Futura Bk BT"/>
      <family val="2"/>
    </font>
    <font>
      <u/>
      <sz val="11"/>
      <name val="Calibri"/>
      <family val="2"/>
    </font>
    <font>
      <sz val="10"/>
      <color rgb="FF000000"/>
      <name val="Calibri"/>
      <family val="2"/>
    </font>
  </fonts>
  <fills count="5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3"/>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17"/>
        <bgColor indexed="64"/>
      </patternFill>
    </fill>
    <fill>
      <patternFill patternType="solid">
        <fgColor indexed="26"/>
        <bgColor indexed="64"/>
      </patternFill>
    </fill>
    <fill>
      <patternFill patternType="solid">
        <fgColor indexed="26"/>
      </patternFill>
    </fill>
    <fill>
      <patternFill patternType="solid">
        <fgColor indexed="9"/>
        <bgColor indexed="64"/>
      </patternFill>
    </fill>
    <fill>
      <patternFill patternType="solid">
        <fgColor indexed="47"/>
        <bgColor indexed="64"/>
      </patternFill>
    </fill>
    <fill>
      <patternFill patternType="solid">
        <fgColor indexed="55"/>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24"/>
        <bgColor indexed="64"/>
      </patternFill>
    </fill>
    <fill>
      <patternFill patternType="solid">
        <fgColor indexed="13"/>
        <bgColor indexed="64"/>
      </patternFill>
    </fill>
    <fill>
      <patternFill patternType="solid">
        <fgColor indexed="65"/>
        <bgColor indexed="64"/>
      </patternFill>
    </fill>
    <fill>
      <patternFill patternType="solid">
        <fgColor indexed="42"/>
        <bgColor indexed="64"/>
      </patternFill>
    </fill>
    <fill>
      <patternFill patternType="solid">
        <fgColor theme="0"/>
        <bgColor indexed="64"/>
      </patternFill>
    </fill>
    <fill>
      <patternFill patternType="solid">
        <fgColor theme="5"/>
        <bgColor indexed="64"/>
      </patternFill>
    </fill>
    <fill>
      <patternFill patternType="solid">
        <fgColor rgb="FFB5C7D4"/>
        <bgColor indexed="64"/>
      </patternFill>
    </fill>
    <fill>
      <patternFill patternType="solid">
        <fgColor theme="9"/>
        <bgColor indexed="64"/>
      </patternFill>
    </fill>
    <fill>
      <patternFill patternType="solid">
        <fgColor theme="2"/>
        <bgColor indexed="64"/>
      </patternFill>
    </fill>
  </fills>
  <borders count="96">
    <border>
      <left/>
      <right/>
      <top/>
      <bottom/>
      <diagonal/>
    </border>
    <border>
      <left/>
      <right/>
      <top/>
      <bottom style="medium">
        <color indexed="18"/>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thin">
        <color indexed="64"/>
      </right>
      <top/>
      <bottom style="thin">
        <color indexed="64"/>
      </bottom>
      <diagonal/>
    </border>
    <border>
      <left/>
      <right style="medium">
        <color indexed="8"/>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style="medium">
        <color indexed="8"/>
      </right>
      <top/>
      <bottom style="medium">
        <color indexed="8"/>
      </bottom>
      <diagonal/>
    </border>
    <border>
      <left/>
      <right/>
      <top/>
      <bottom style="medium">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style="thin">
        <color indexed="64"/>
      </left>
      <right style="thin">
        <color indexed="64"/>
      </right>
      <top/>
      <bottom/>
      <diagonal/>
    </border>
    <border>
      <left style="thin">
        <color indexed="63"/>
      </left>
      <right style="thin">
        <color indexed="63"/>
      </right>
      <top style="thin">
        <color indexed="64"/>
      </top>
      <bottom style="thin">
        <color indexed="63"/>
      </bottom>
      <diagonal/>
    </border>
    <border>
      <left/>
      <right/>
      <top/>
      <bottom style="medium">
        <color indexed="64"/>
      </bottom>
      <diagonal/>
    </border>
    <border>
      <left/>
      <right/>
      <top style="thin">
        <color indexed="12"/>
      </top>
      <bottom style="thin">
        <color indexed="12"/>
      </bottom>
      <diagonal/>
    </border>
    <border>
      <left/>
      <right/>
      <top/>
      <bottom style="thin">
        <color indexed="12"/>
      </bottom>
      <diagonal/>
    </border>
    <border>
      <left/>
      <right/>
      <top style="thin">
        <color indexed="62"/>
      </top>
      <bottom style="double">
        <color indexed="62"/>
      </bottom>
      <diagonal/>
    </border>
    <border>
      <left/>
      <right/>
      <top style="medium">
        <color indexed="45"/>
      </top>
      <bottom/>
      <diagonal/>
    </border>
    <border>
      <left style="medium">
        <color indexed="45"/>
      </left>
      <right/>
      <top/>
      <bottom/>
      <diagonal/>
    </border>
    <border>
      <left/>
      <right style="medium">
        <color indexed="45"/>
      </right>
      <top/>
      <bottom/>
      <diagonal/>
    </border>
    <border>
      <left/>
      <right style="medium">
        <color indexed="45"/>
      </right>
      <top style="medium">
        <color indexed="45"/>
      </top>
      <bottom/>
      <diagonal/>
    </border>
    <border>
      <left style="medium">
        <color indexed="45"/>
      </left>
      <right/>
      <top/>
      <bottom style="thin">
        <color indexed="45"/>
      </bottom>
      <diagonal/>
    </border>
    <border>
      <left style="medium">
        <color indexed="45"/>
      </left>
      <right/>
      <top style="medium">
        <color indexed="45"/>
      </top>
      <bottom/>
      <diagonal/>
    </border>
    <border>
      <left/>
      <right/>
      <top/>
      <bottom style="medium">
        <color indexed="45"/>
      </bottom>
      <diagonal/>
    </border>
    <border>
      <left/>
      <right/>
      <top style="thin">
        <color indexed="45"/>
      </top>
      <bottom/>
      <diagonal/>
    </border>
    <border>
      <left style="medium">
        <color indexed="45"/>
      </left>
      <right/>
      <top/>
      <bottom style="medium">
        <color indexed="45"/>
      </bottom>
      <diagonal/>
    </border>
    <border>
      <left/>
      <right style="medium">
        <color indexed="45"/>
      </right>
      <top/>
      <bottom style="medium">
        <color indexed="45"/>
      </bottom>
      <diagonal/>
    </border>
    <border>
      <left style="medium">
        <color indexed="45"/>
      </left>
      <right/>
      <top style="medium">
        <color indexed="45"/>
      </top>
      <bottom style="medium">
        <color indexed="45"/>
      </bottom>
      <diagonal/>
    </border>
    <border>
      <left/>
      <right/>
      <top style="medium">
        <color indexed="45"/>
      </top>
      <bottom style="medium">
        <color indexed="45"/>
      </bottom>
      <diagonal/>
    </border>
    <border>
      <left/>
      <right style="medium">
        <color indexed="45"/>
      </right>
      <top style="medium">
        <color indexed="45"/>
      </top>
      <bottom style="medium">
        <color indexed="45"/>
      </bottom>
      <diagonal/>
    </border>
    <border>
      <left/>
      <right/>
      <top style="medium">
        <color theme="8"/>
      </top>
      <bottom/>
      <diagonal/>
    </border>
    <border>
      <left style="medium">
        <color theme="8"/>
      </left>
      <right/>
      <top/>
      <bottom/>
      <diagonal/>
    </border>
    <border>
      <left/>
      <right style="medium">
        <color theme="8"/>
      </right>
      <top/>
      <bottom/>
      <diagonal/>
    </border>
    <border>
      <left/>
      <right/>
      <top/>
      <bottom style="thin">
        <color theme="8"/>
      </bottom>
      <diagonal/>
    </border>
    <border>
      <left/>
      <right style="medium">
        <color theme="8"/>
      </right>
      <top/>
      <bottom style="thin">
        <color theme="8"/>
      </bottom>
      <diagonal/>
    </border>
    <border>
      <left/>
      <right/>
      <top/>
      <bottom style="medium">
        <color theme="8"/>
      </bottom>
      <diagonal/>
    </border>
    <border>
      <left/>
      <right/>
      <top style="thin">
        <color theme="8"/>
      </top>
      <bottom/>
      <diagonal/>
    </border>
    <border>
      <left/>
      <right style="medium">
        <color theme="8"/>
      </right>
      <top style="thin">
        <color theme="8"/>
      </top>
      <bottom/>
      <diagonal/>
    </border>
    <border>
      <left/>
      <right/>
      <top style="medium">
        <color theme="8"/>
      </top>
      <bottom style="thin">
        <color theme="8"/>
      </bottom>
      <diagonal/>
    </border>
    <border>
      <left style="medium">
        <color theme="8"/>
      </left>
      <right/>
      <top/>
      <bottom style="thin">
        <color theme="8"/>
      </bottom>
      <diagonal/>
    </border>
    <border>
      <left style="medium">
        <color theme="8"/>
      </left>
      <right/>
      <top style="thin">
        <color theme="8"/>
      </top>
      <bottom/>
      <diagonal/>
    </border>
    <border>
      <left style="medium">
        <color theme="8"/>
      </left>
      <right/>
      <top style="medium">
        <color theme="8"/>
      </top>
      <bottom/>
      <diagonal/>
    </border>
    <border>
      <left/>
      <right style="medium">
        <color theme="8"/>
      </right>
      <top style="medium">
        <color theme="8"/>
      </top>
      <bottom style="thin">
        <color theme="8"/>
      </bottom>
      <diagonal/>
    </border>
    <border>
      <left/>
      <right style="medium">
        <color theme="8"/>
      </right>
      <top style="medium">
        <color theme="8"/>
      </top>
      <bottom/>
      <diagonal/>
    </border>
    <border>
      <left/>
      <right style="medium">
        <color theme="8"/>
      </right>
      <top/>
      <bottom style="medium">
        <color theme="8"/>
      </bottom>
      <diagonal/>
    </border>
    <border>
      <left style="medium">
        <color indexed="45"/>
      </left>
      <right/>
      <top/>
      <bottom style="medium">
        <color theme="8"/>
      </bottom>
      <diagonal/>
    </border>
    <border>
      <left style="medium">
        <color theme="8"/>
      </left>
      <right/>
      <top style="medium">
        <color theme="8"/>
      </top>
      <bottom style="medium">
        <color theme="8"/>
      </bottom>
      <diagonal/>
    </border>
    <border>
      <left/>
      <right style="medium">
        <color theme="8"/>
      </right>
      <top style="medium">
        <color theme="8"/>
      </top>
      <bottom style="medium">
        <color theme="8"/>
      </bottom>
      <diagonal/>
    </border>
    <border>
      <left style="medium">
        <color theme="8"/>
      </left>
      <right/>
      <top/>
      <bottom style="medium">
        <color theme="8"/>
      </bottom>
      <diagonal/>
    </border>
    <border>
      <left/>
      <right/>
      <top style="medium">
        <color theme="8"/>
      </top>
      <bottom style="medium">
        <color theme="8"/>
      </bottom>
      <diagonal/>
    </border>
    <border>
      <left/>
      <right style="medium">
        <color theme="8"/>
      </right>
      <top style="medium">
        <color indexed="45"/>
      </top>
      <bottom/>
      <diagonal/>
    </border>
    <border>
      <left style="medium">
        <color indexed="45"/>
      </left>
      <right/>
      <top style="thin">
        <color theme="8"/>
      </top>
      <bottom/>
      <diagonal/>
    </border>
    <border>
      <left style="medium">
        <color theme="8"/>
      </left>
      <right style="medium">
        <color theme="8"/>
      </right>
      <top/>
      <bottom/>
      <diagonal/>
    </border>
    <border>
      <left style="medium">
        <color theme="8"/>
      </left>
      <right/>
      <top style="medium">
        <color theme="8"/>
      </top>
      <bottom style="thin">
        <color theme="8"/>
      </bottom>
      <diagonal/>
    </border>
    <border>
      <left style="medium">
        <color theme="8"/>
      </left>
      <right style="medium">
        <color theme="8"/>
      </right>
      <top style="thin">
        <color theme="8"/>
      </top>
      <bottom/>
      <diagonal/>
    </border>
    <border>
      <left style="medium">
        <color indexed="45"/>
      </left>
      <right/>
      <top style="medium">
        <color theme="8"/>
      </top>
      <bottom/>
      <diagonal/>
    </border>
    <border>
      <left style="medium">
        <color indexed="45"/>
      </left>
      <right/>
      <top style="medium">
        <color theme="2"/>
      </top>
      <bottom/>
      <diagonal/>
    </border>
    <border>
      <left/>
      <right/>
      <top style="medium">
        <color theme="2"/>
      </top>
      <bottom/>
      <diagonal/>
    </border>
    <border>
      <left/>
      <right style="medium">
        <color theme="8"/>
      </right>
      <top style="medium">
        <color theme="2"/>
      </top>
      <bottom/>
      <diagonal/>
    </border>
    <border>
      <left style="medium">
        <color indexed="45"/>
      </left>
      <right/>
      <top style="thin">
        <color indexed="45"/>
      </top>
      <bottom/>
      <diagonal/>
    </border>
    <border>
      <left/>
      <right style="medium">
        <color theme="8"/>
      </right>
      <top style="thin">
        <color indexed="45"/>
      </top>
      <bottom/>
      <diagonal/>
    </border>
    <border>
      <left/>
      <right style="medium">
        <color indexed="45"/>
      </right>
      <top/>
      <bottom style="medium">
        <color theme="8"/>
      </bottom>
      <diagonal/>
    </border>
    <border>
      <left/>
      <right style="medium">
        <color theme="8"/>
      </right>
      <top style="medium">
        <color indexed="45"/>
      </top>
      <bottom style="medium">
        <color indexed="45"/>
      </bottom>
      <diagonal/>
    </border>
    <border>
      <left/>
      <right style="medium">
        <color theme="8"/>
      </right>
      <top/>
      <bottom style="medium">
        <color indexed="45"/>
      </bottom>
      <diagonal/>
    </border>
    <border>
      <left style="thin">
        <color theme="8"/>
      </left>
      <right style="medium">
        <color theme="8"/>
      </right>
      <top style="medium">
        <color theme="8"/>
      </top>
      <bottom style="thin">
        <color theme="8"/>
      </bottom>
      <diagonal/>
    </border>
    <border>
      <left style="thin">
        <color theme="8"/>
      </left>
      <right/>
      <top style="thin">
        <color theme="8"/>
      </top>
      <bottom/>
      <diagonal/>
    </border>
    <border>
      <left style="thin">
        <color theme="8"/>
      </left>
      <right style="medium">
        <color theme="8"/>
      </right>
      <top style="thin">
        <color theme="8"/>
      </top>
      <bottom/>
      <diagonal/>
    </border>
    <border>
      <left style="thin">
        <color theme="8"/>
      </left>
      <right style="medium">
        <color theme="8"/>
      </right>
      <top/>
      <bottom/>
      <diagonal/>
    </border>
    <border>
      <left style="medium">
        <color theme="8"/>
      </left>
      <right style="medium">
        <color theme="8"/>
      </right>
      <top/>
      <bottom style="medium">
        <color theme="8"/>
      </bottom>
      <diagonal/>
    </border>
    <border>
      <left style="medium">
        <color theme="8"/>
      </left>
      <right style="medium">
        <color theme="8"/>
      </right>
      <top style="medium">
        <color theme="8"/>
      </top>
      <bottom style="medium">
        <color theme="8"/>
      </bottom>
      <diagonal/>
    </border>
    <border>
      <left style="medium">
        <color theme="8"/>
      </left>
      <right/>
      <top style="medium">
        <color indexed="45"/>
      </top>
      <bottom style="medium">
        <color indexed="45"/>
      </bottom>
      <diagonal/>
    </border>
    <border>
      <left style="medium">
        <color indexed="45"/>
      </left>
      <right/>
      <top style="medium">
        <color theme="8"/>
      </top>
      <bottom style="medium">
        <color theme="8"/>
      </bottom>
      <diagonal/>
    </border>
    <border>
      <left/>
      <right style="thin">
        <color theme="8"/>
      </right>
      <top style="medium">
        <color theme="8"/>
      </top>
      <bottom style="thin">
        <color theme="8"/>
      </bottom>
      <diagonal/>
    </border>
    <border>
      <left/>
      <right style="thin">
        <color theme="8"/>
      </right>
      <top/>
      <bottom/>
      <diagonal/>
    </border>
    <border>
      <left style="thin">
        <color theme="8"/>
      </left>
      <right/>
      <top/>
      <bottom/>
      <diagonal/>
    </border>
    <border>
      <left/>
      <right style="thin">
        <color indexed="45"/>
      </right>
      <top/>
      <bottom/>
      <diagonal/>
    </border>
    <border>
      <left/>
      <right style="medium">
        <color indexed="45"/>
      </right>
      <top style="medium">
        <color theme="8"/>
      </top>
      <bottom/>
      <diagonal/>
    </border>
    <border>
      <left style="medium">
        <color indexed="45"/>
      </left>
      <right/>
      <top style="medium">
        <color indexed="45"/>
      </top>
      <bottom style="thin">
        <color theme="8"/>
      </bottom>
      <diagonal/>
    </border>
    <border>
      <left/>
      <right/>
      <top style="medium">
        <color indexed="45"/>
      </top>
      <bottom style="thin">
        <color theme="8"/>
      </bottom>
      <diagonal/>
    </border>
    <border>
      <left/>
      <right style="medium">
        <color indexed="45"/>
      </right>
      <top style="medium">
        <color indexed="45"/>
      </top>
      <bottom style="thin">
        <color theme="8"/>
      </bottom>
      <diagonal/>
    </border>
    <border>
      <left/>
      <right style="medium">
        <color indexed="45"/>
      </right>
      <top style="thin">
        <color indexed="45"/>
      </top>
      <bottom/>
      <diagonal/>
    </border>
    <border>
      <left style="medium">
        <color indexed="45"/>
      </left>
      <right style="medium">
        <color theme="8"/>
      </right>
      <top/>
      <bottom/>
      <diagonal/>
    </border>
    <border>
      <left style="medium">
        <color indexed="45"/>
      </left>
      <right style="medium">
        <color indexed="45"/>
      </right>
      <top/>
      <bottom/>
      <diagonal/>
    </border>
    <border>
      <left style="medium">
        <color theme="8"/>
      </left>
      <right style="medium">
        <color indexed="45"/>
      </right>
      <top/>
      <bottom/>
      <diagonal/>
    </border>
    <border>
      <left/>
      <right/>
      <top/>
      <bottom style="thin">
        <color indexed="45"/>
      </bottom>
      <diagonal/>
    </border>
    <border>
      <left/>
      <right style="medium">
        <color theme="8"/>
      </right>
      <top/>
      <bottom style="thin">
        <color indexed="45"/>
      </bottom>
      <diagonal/>
    </border>
    <border>
      <left/>
      <right style="medium">
        <color indexed="45"/>
      </right>
      <top/>
      <bottom style="thin">
        <color indexed="45"/>
      </bottom>
      <diagonal/>
    </border>
    <border>
      <left/>
      <right style="thin">
        <color theme="8"/>
      </right>
      <top style="thin">
        <color indexed="45"/>
      </top>
      <bottom/>
      <diagonal/>
    </border>
    <border>
      <left style="thin">
        <color theme="8"/>
      </left>
      <right/>
      <top style="thin">
        <color indexed="45"/>
      </top>
      <bottom/>
      <diagonal/>
    </border>
    <border>
      <left/>
      <right style="medium">
        <color indexed="45"/>
      </right>
      <top style="thin">
        <color theme="8"/>
      </top>
      <bottom/>
      <diagonal/>
    </border>
    <border>
      <left style="medium">
        <color theme="8"/>
      </left>
      <right style="medium">
        <color theme="8"/>
      </right>
      <top style="thin">
        <color indexed="45"/>
      </top>
      <bottom/>
      <diagonal/>
    </border>
  </borders>
  <cellStyleXfs count="375">
    <xf numFmtId="0" fontId="0" fillId="0" borderId="0"/>
    <xf numFmtId="0" fontId="2" fillId="0" borderId="0"/>
    <xf numFmtId="0" fontId="2" fillId="0" borderId="0"/>
    <xf numFmtId="0" fontId="2" fillId="0" borderId="0"/>
    <xf numFmtId="0" fontId="2" fillId="0" borderId="0"/>
    <xf numFmtId="0" fontId="3" fillId="0" borderId="1" applyNumberFormat="0" applyFill="0" applyProtection="0">
      <alignment horizontal="center"/>
    </xf>
    <xf numFmtId="164" fontId="2" fillId="0" borderId="0" applyFont="0" applyFill="0" applyBorder="0" applyProtection="0">
      <alignment horizontal="right"/>
    </xf>
    <xf numFmtId="164" fontId="2" fillId="0" borderId="0" applyFont="0" applyFill="0" applyBorder="0" applyProtection="0">
      <alignment horizontal="right"/>
    </xf>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165" fontId="2" fillId="0" borderId="0" applyFont="0" applyFill="0" applyBorder="0" applyProtection="0">
      <alignment horizontal="right"/>
    </xf>
    <xf numFmtId="165" fontId="2" fillId="0" borderId="0" applyFont="0" applyFill="0" applyBorder="0" applyProtection="0">
      <alignment horizontal="right"/>
    </xf>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166" fontId="2" fillId="0" borderId="0" applyFont="0" applyFill="0" applyBorder="0" applyProtection="0">
      <alignment horizontal="right"/>
    </xf>
    <xf numFmtId="166" fontId="2" fillId="0" borderId="0" applyFont="0" applyFill="0" applyBorder="0" applyProtection="0">
      <alignment horizontal="right"/>
    </xf>
    <xf numFmtId="0" fontId="21" fillId="12"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3" borderId="0" applyNumberFormat="0" applyBorder="0" applyAlignment="0" applyProtection="0"/>
    <xf numFmtId="0" fontId="21"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3" borderId="0" applyNumberFormat="0" applyBorder="0" applyAlignment="0" applyProtection="0"/>
    <xf numFmtId="0" fontId="21" fillId="15" borderId="0" applyNumberFormat="0" applyBorder="0" applyAlignment="0" applyProtection="0"/>
    <xf numFmtId="0" fontId="21" fillId="20" borderId="0" applyNumberFormat="0" applyBorder="0" applyAlignment="0" applyProtection="0"/>
    <xf numFmtId="0" fontId="22" fillId="3" borderId="0" applyNumberFormat="0" applyBorder="0" applyAlignment="0" applyProtection="0"/>
    <xf numFmtId="176" fontId="2" fillId="0" borderId="0" applyBorder="0"/>
    <xf numFmtId="0" fontId="23" fillId="21" borderId="2" applyNumberFormat="0" applyAlignment="0" applyProtection="0"/>
    <xf numFmtId="0" fontId="24" fillId="22" borderId="3" applyNumberFormat="0" applyAlignment="0" applyProtection="0"/>
    <xf numFmtId="166" fontId="4" fillId="0" borderId="0" applyFont="0" applyFill="0" applyBorder="0" applyProtection="0">
      <alignment horizontal="right"/>
    </xf>
    <xf numFmtId="167" fontId="4" fillId="0" borderId="0" applyFont="0" applyFill="0" applyBorder="0" applyProtection="0">
      <alignment horizontal="left"/>
    </xf>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3"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42" fillId="0" borderId="4" applyNumberFormat="0" applyBorder="0" applyAlignment="0" applyProtection="0">
      <alignment horizontal="right" vertical="center"/>
    </xf>
    <xf numFmtId="177" fontId="2" fillId="0" borderId="0" applyFont="0" applyFill="0" applyBorder="0" applyAlignment="0" applyProtection="0"/>
    <xf numFmtId="0" fontId="25" fillId="0" borderId="0" applyNumberFormat="0" applyFill="0" applyBorder="0" applyAlignment="0" applyProtection="0"/>
    <xf numFmtId="0" fontId="43" fillId="0" borderId="0">
      <alignment horizontal="right"/>
      <protection locked="0"/>
    </xf>
    <xf numFmtId="0" fontId="5" fillId="0" borderId="0">
      <alignment horizontal="left"/>
    </xf>
    <xf numFmtId="0" fontId="6" fillId="0" borderId="0">
      <alignment horizontal="left"/>
    </xf>
    <xf numFmtId="0" fontId="2" fillId="0" borderId="0" applyFont="0" applyFill="0" applyBorder="0" applyProtection="0">
      <alignment horizontal="right"/>
    </xf>
    <xf numFmtId="0" fontId="2" fillId="0" borderId="0" applyFont="0" applyFill="0" applyBorder="0" applyProtection="0">
      <alignment horizontal="right"/>
    </xf>
    <xf numFmtId="0" fontId="26" fillId="4" borderId="0" applyNumberFormat="0" applyBorder="0" applyAlignment="0" applyProtection="0"/>
    <xf numFmtId="38" fontId="20" fillId="23" borderId="0" applyNumberFormat="0" applyBorder="0" applyAlignment="0" applyProtection="0"/>
    <xf numFmtId="0" fontId="7" fillId="24" borderId="5" applyProtection="0">
      <alignment horizontal="right"/>
    </xf>
    <xf numFmtId="0" fontId="8" fillId="24" borderId="0" applyProtection="0">
      <alignment horizontal="left"/>
    </xf>
    <xf numFmtId="0" fontId="27" fillId="0" borderId="6" applyNumberFormat="0" applyFill="0" applyAlignment="0" applyProtection="0"/>
    <xf numFmtId="0" fontId="44" fillId="0" borderId="0">
      <alignment vertical="top" wrapText="1"/>
    </xf>
    <xf numFmtId="0" fontId="44" fillId="0" borderId="0">
      <alignment vertical="top" wrapText="1"/>
    </xf>
    <xf numFmtId="0" fontId="44" fillId="0" borderId="0">
      <alignment vertical="top" wrapText="1"/>
    </xf>
    <xf numFmtId="0" fontId="44" fillId="0" borderId="0">
      <alignment vertical="top" wrapText="1"/>
    </xf>
    <xf numFmtId="0" fontId="28" fillId="0" borderId="7" applyNumberFormat="0" applyFill="0" applyAlignment="0" applyProtection="0"/>
    <xf numFmtId="168" fontId="45" fillId="0" borderId="0" applyNumberFormat="0" applyFill="0" applyAlignment="0" applyProtection="0"/>
    <xf numFmtId="0" fontId="29" fillId="0" borderId="8" applyNumberFormat="0" applyFill="0" applyAlignment="0" applyProtection="0"/>
    <xf numFmtId="168" fontId="46" fillId="0" borderId="0" applyNumberFormat="0" applyFill="0" applyAlignment="0" applyProtection="0"/>
    <xf numFmtId="0" fontId="29" fillId="0" borderId="0" applyNumberFormat="0" applyFill="0" applyBorder="0" applyAlignment="0" applyProtection="0"/>
    <xf numFmtId="168" fontId="47" fillId="0" borderId="0" applyNumberFormat="0" applyFill="0" applyAlignment="0" applyProtection="0"/>
    <xf numFmtId="168" fontId="9" fillId="0" borderId="0" applyNumberFormat="0" applyFill="0" applyAlignment="0" applyProtection="0"/>
    <xf numFmtId="168" fontId="10" fillId="0" borderId="0" applyNumberFormat="0" applyFill="0" applyAlignment="0" applyProtection="0"/>
    <xf numFmtId="168" fontId="10" fillId="0" borderId="0" applyNumberFormat="0" applyFont="0" applyFill="0" applyBorder="0" applyAlignment="0" applyProtection="0"/>
    <xf numFmtId="168" fontId="10" fillId="0" borderId="0" applyNumberFormat="0" applyFont="0" applyFill="0" applyBorder="0" applyAlignment="0" applyProtection="0"/>
    <xf numFmtId="0" fontId="74"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11" fillId="0" borderId="0" applyFill="0" applyBorder="0" applyProtection="0">
      <alignment horizontal="left"/>
    </xf>
    <xf numFmtId="10" fontId="20" fillId="25" borderId="9" applyNumberFormat="0" applyBorder="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7" fillId="0" borderId="10" applyProtection="0">
      <alignment horizontal="right"/>
    </xf>
    <xf numFmtId="0" fontId="7" fillId="0" borderId="5" applyProtection="0">
      <alignment horizontal="right"/>
    </xf>
    <xf numFmtId="0" fontId="7" fillId="0" borderId="11" applyProtection="0">
      <alignment horizontal="center"/>
      <protection locked="0"/>
    </xf>
    <xf numFmtId="0" fontId="31" fillId="0" borderId="12" applyNumberFormat="0" applyFill="0" applyAlignment="0" applyProtection="0"/>
    <xf numFmtId="0" fontId="2" fillId="0" borderId="0"/>
    <xf numFmtId="0" fontId="2" fillId="0" borderId="0"/>
    <xf numFmtId="0" fontId="40" fillId="0" borderId="0"/>
    <xf numFmtId="1" fontId="2" fillId="0" borderId="0" applyFont="0" applyFill="0" applyBorder="0" applyProtection="0">
      <alignment horizontal="right"/>
    </xf>
    <xf numFmtId="1" fontId="2" fillId="0" borderId="0" applyFont="0" applyFill="0" applyBorder="0" applyProtection="0">
      <alignment horizontal="right"/>
    </xf>
    <xf numFmtId="0" fontId="32" fillId="14" borderId="0" applyNumberFormat="0" applyBorder="0" applyAlignment="0" applyProtection="0"/>
    <xf numFmtId="0" fontId="49" fillId="0" borderId="0"/>
    <xf numFmtId="0" fontId="49" fillId="0" borderId="0"/>
    <xf numFmtId="0" fontId="49" fillId="0" borderId="0"/>
    <xf numFmtId="0" fontId="49" fillId="0" borderId="0"/>
    <xf numFmtId="0" fontId="49"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1"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12" fillId="0" borderId="0"/>
    <xf numFmtId="0" fontId="73" fillId="0" borderId="0"/>
    <xf numFmtId="0" fontId="1"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2"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26" borderId="13" applyNumberFormat="0" applyFont="0" applyAlignment="0" applyProtection="0"/>
    <xf numFmtId="0" fontId="33" fillId="21" borderId="14" applyNumberFormat="0" applyAlignment="0" applyProtection="0"/>
    <xf numFmtId="40" fontId="50" fillId="27" borderId="0">
      <alignment horizontal="right"/>
    </xf>
    <xf numFmtId="0" fontId="51" fillId="27" borderId="0">
      <alignment horizontal="right"/>
    </xf>
    <xf numFmtId="0" fontId="52" fillId="27" borderId="15"/>
    <xf numFmtId="0" fontId="52" fillId="0" borderId="0" applyBorder="0">
      <alignment horizontal="centerContinuous"/>
    </xf>
    <xf numFmtId="0" fontId="53" fillId="0" borderId="0" applyBorder="0">
      <alignment horizontal="centerContinuous"/>
    </xf>
    <xf numFmtId="169" fontId="2" fillId="0" borderId="0" applyFont="0" applyFill="0" applyBorder="0" applyProtection="0">
      <alignment horizontal="right"/>
    </xf>
    <xf numFmtId="169" fontId="2" fillId="0" borderId="0" applyFont="0" applyFill="0" applyBorder="0" applyProtection="0">
      <alignment horizontal="right"/>
    </xf>
    <xf numFmtId="10"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 fillId="0" borderId="0"/>
    <xf numFmtId="2" fontId="54" fillId="28" borderId="16" applyAlignment="0" applyProtection="0">
      <protection locked="0"/>
    </xf>
    <xf numFmtId="0" fontId="55" fillId="25" borderId="16" applyNumberFormat="0" applyAlignment="0" applyProtection="0"/>
    <xf numFmtId="0" fontId="56" fillId="29" borderId="9" applyNumberFormat="0" applyAlignment="0" applyProtection="0">
      <alignment horizontal="center" vertical="center"/>
    </xf>
    <xf numFmtId="4" fontId="12" fillId="30" borderId="14" applyNumberFormat="0" applyProtection="0">
      <alignment vertical="center"/>
    </xf>
    <xf numFmtId="4" fontId="57" fillId="30" borderId="14" applyNumberFormat="0" applyProtection="0">
      <alignment vertical="center"/>
    </xf>
    <xf numFmtId="4" fontId="12" fillId="30" borderId="14" applyNumberFormat="0" applyProtection="0">
      <alignment horizontal="left" vertical="center" indent="1"/>
    </xf>
    <xf numFmtId="4" fontId="12" fillId="30" borderId="14" applyNumberFormat="0" applyProtection="0">
      <alignment horizontal="left" vertical="center" indent="1"/>
    </xf>
    <xf numFmtId="0" fontId="2" fillId="31" borderId="14" applyNumberFormat="0" applyProtection="0">
      <alignment horizontal="left" vertical="center" indent="1"/>
    </xf>
    <xf numFmtId="4" fontId="12" fillId="32" borderId="14" applyNumberFormat="0" applyProtection="0">
      <alignment horizontal="right" vertical="center"/>
    </xf>
    <xf numFmtId="4" fontId="12" fillId="33" borderId="14" applyNumberFormat="0" applyProtection="0">
      <alignment horizontal="right" vertical="center"/>
    </xf>
    <xf numFmtId="4" fontId="12" fillId="34" borderId="14" applyNumberFormat="0" applyProtection="0">
      <alignment horizontal="right" vertical="center"/>
    </xf>
    <xf numFmtId="4" fontId="12" fillId="35" borderId="14" applyNumberFormat="0" applyProtection="0">
      <alignment horizontal="right" vertical="center"/>
    </xf>
    <xf numFmtId="4" fontId="12" fillId="36" borderId="14" applyNumberFormat="0" applyProtection="0">
      <alignment horizontal="right" vertical="center"/>
    </xf>
    <xf numFmtId="4" fontId="12" fillId="37" borderId="14" applyNumberFormat="0" applyProtection="0">
      <alignment horizontal="right" vertical="center"/>
    </xf>
    <xf numFmtId="4" fontId="12" fillId="38" borderId="14" applyNumberFormat="0" applyProtection="0">
      <alignment horizontal="right" vertical="center"/>
    </xf>
    <xf numFmtId="4" fontId="12" fillId="39" borderId="14" applyNumberFormat="0" applyProtection="0">
      <alignment horizontal="right" vertical="center"/>
    </xf>
    <xf numFmtId="4" fontId="12" fillId="40" borderId="14" applyNumberFormat="0" applyProtection="0">
      <alignment horizontal="right" vertical="center"/>
    </xf>
    <xf numFmtId="4" fontId="58" fillId="41" borderId="14" applyNumberFormat="0" applyProtection="0">
      <alignment horizontal="left" vertical="center" indent="1"/>
    </xf>
    <xf numFmtId="4" fontId="12" fillId="42" borderId="17" applyNumberFormat="0" applyProtection="0">
      <alignment horizontal="left" vertical="center" indent="1"/>
    </xf>
    <xf numFmtId="4" fontId="59" fillId="43" borderId="0" applyNumberFormat="0" applyProtection="0">
      <alignment horizontal="left" vertical="center" indent="1"/>
    </xf>
    <xf numFmtId="0" fontId="2" fillId="31" borderId="14" applyNumberFormat="0" applyProtection="0">
      <alignment horizontal="left" vertical="center" indent="1"/>
    </xf>
    <xf numFmtId="4" fontId="12" fillId="42" borderId="14" applyNumberFormat="0" applyProtection="0">
      <alignment horizontal="left" vertical="center" indent="1"/>
    </xf>
    <xf numFmtId="4" fontId="12" fillId="44" borderId="14" applyNumberFormat="0" applyProtection="0">
      <alignment horizontal="left" vertical="center" indent="1"/>
    </xf>
    <xf numFmtId="0" fontId="2" fillId="44" borderId="14" applyNumberFormat="0" applyProtection="0">
      <alignment horizontal="left" vertical="center" indent="1"/>
    </xf>
    <xf numFmtId="0" fontId="2" fillId="44" borderId="14" applyNumberFormat="0" applyProtection="0">
      <alignment horizontal="left" vertical="center" indent="1"/>
    </xf>
    <xf numFmtId="0" fontId="2" fillId="29" borderId="14" applyNumberFormat="0" applyProtection="0">
      <alignment horizontal="left" vertical="center" indent="1"/>
    </xf>
    <xf numFmtId="0" fontId="2" fillId="29" borderId="14" applyNumberFormat="0" applyProtection="0">
      <alignment horizontal="left" vertical="center" indent="1"/>
    </xf>
    <xf numFmtId="0" fontId="2" fillId="23" borderId="14" applyNumberFormat="0" applyProtection="0">
      <alignment horizontal="left" vertical="center" indent="1"/>
    </xf>
    <xf numFmtId="0" fontId="2" fillId="23" borderId="14" applyNumberFormat="0" applyProtection="0">
      <alignment horizontal="left" vertical="center" indent="1"/>
    </xf>
    <xf numFmtId="0" fontId="2" fillId="31" borderId="14" applyNumberFormat="0" applyProtection="0">
      <alignment horizontal="left" vertical="center" indent="1"/>
    </xf>
    <xf numFmtId="0" fontId="2" fillId="31" borderId="14" applyNumberFormat="0" applyProtection="0">
      <alignment horizontal="left" vertical="center" indent="1"/>
    </xf>
    <xf numFmtId="4" fontId="12" fillId="25" borderId="14" applyNumberFormat="0" applyProtection="0">
      <alignment vertical="center"/>
    </xf>
    <xf numFmtId="4" fontId="57" fillId="25" borderId="14" applyNumberFormat="0" applyProtection="0">
      <alignment vertical="center"/>
    </xf>
    <xf numFmtId="4" fontId="12" fillId="25" borderId="14" applyNumberFormat="0" applyProtection="0">
      <alignment horizontal="left" vertical="center" indent="1"/>
    </xf>
    <xf numFmtId="4" fontId="12" fillId="25" borderId="14" applyNumberFormat="0" applyProtection="0">
      <alignment horizontal="left" vertical="center" indent="1"/>
    </xf>
    <xf numFmtId="4" fontId="12" fillId="42" borderId="14" applyNumberFormat="0" applyProtection="0">
      <alignment horizontal="right" vertical="center"/>
    </xf>
    <xf numFmtId="4" fontId="57" fillId="42" borderId="14" applyNumberFormat="0" applyProtection="0">
      <alignment horizontal="right" vertical="center"/>
    </xf>
    <xf numFmtId="0" fontId="2" fillId="31" borderId="14" applyNumberFormat="0" applyProtection="0">
      <alignment horizontal="left" vertical="center" indent="1"/>
    </xf>
    <xf numFmtId="0" fontId="2" fillId="31" borderId="14" applyNumberFormat="0" applyProtection="0">
      <alignment horizontal="left" vertical="center" indent="1"/>
    </xf>
    <xf numFmtId="0" fontId="60" fillId="0" borderId="0"/>
    <xf numFmtId="4" fontId="61" fillId="42" borderId="14" applyNumberFormat="0" applyProtection="0">
      <alignment horizontal="right" vertical="center"/>
    </xf>
    <xf numFmtId="0" fontId="2" fillId="0" borderId="0"/>
    <xf numFmtId="0" fontId="13" fillId="27" borderId="18">
      <alignment horizontal="center"/>
    </xf>
    <xf numFmtId="3" fontId="14" fillId="27" borderId="0"/>
    <xf numFmtId="3" fontId="13" fillId="27" borderId="0"/>
    <xf numFmtId="0" fontId="14" fillId="27" borderId="0"/>
    <xf numFmtId="0" fontId="13" fillId="27" borderId="0"/>
    <xf numFmtId="0" fontId="14" fillId="27" borderId="0">
      <alignment horizontal="center"/>
    </xf>
    <xf numFmtId="0" fontId="15" fillId="0" borderId="0">
      <alignment wrapText="1"/>
    </xf>
    <xf numFmtId="0" fontId="15" fillId="0" borderId="0">
      <alignment wrapText="1"/>
    </xf>
    <xf numFmtId="0" fontId="15" fillId="0" borderId="0">
      <alignment wrapText="1"/>
    </xf>
    <xf numFmtId="0" fontId="15" fillId="0" borderId="0">
      <alignment wrapText="1"/>
    </xf>
    <xf numFmtId="0" fontId="16" fillId="45" borderId="0">
      <alignment horizontal="right" vertical="top" wrapText="1"/>
    </xf>
    <xf numFmtId="0" fontId="16" fillId="45" borderId="0">
      <alignment horizontal="right" vertical="top" wrapText="1"/>
    </xf>
    <xf numFmtId="0" fontId="16" fillId="45" borderId="0">
      <alignment horizontal="right" vertical="top" wrapText="1"/>
    </xf>
    <xf numFmtId="0" fontId="16" fillId="45" borderId="0">
      <alignment horizontal="right" vertical="top" wrapText="1"/>
    </xf>
    <xf numFmtId="0" fontId="17" fillId="0" borderId="0"/>
    <xf numFmtId="0" fontId="17" fillId="0" borderId="0"/>
    <xf numFmtId="0" fontId="17" fillId="0" borderId="0"/>
    <xf numFmtId="0" fontId="17" fillId="0" borderId="0"/>
    <xf numFmtId="0" fontId="18" fillId="0" borderId="0"/>
    <xf numFmtId="0" fontId="18" fillId="0" borderId="0"/>
    <xf numFmtId="0" fontId="18" fillId="0" borderId="0"/>
    <xf numFmtId="0" fontId="19" fillId="0" borderId="0"/>
    <xf numFmtId="0" fontId="19" fillId="0" borderId="0"/>
    <xf numFmtId="0" fontId="19" fillId="0" borderId="0"/>
    <xf numFmtId="170" fontId="20" fillId="0" borderId="0">
      <alignment wrapText="1"/>
      <protection locked="0"/>
    </xf>
    <xf numFmtId="170" fontId="20" fillId="0" borderId="0">
      <alignment wrapText="1"/>
      <protection locked="0"/>
    </xf>
    <xf numFmtId="170" fontId="16" fillId="46" borderId="0">
      <alignment wrapText="1"/>
      <protection locked="0"/>
    </xf>
    <xf numFmtId="170" fontId="16" fillId="46" borderId="0">
      <alignment wrapText="1"/>
      <protection locked="0"/>
    </xf>
    <xf numFmtId="170" fontId="16" fillId="46" borderId="0">
      <alignment wrapText="1"/>
      <protection locked="0"/>
    </xf>
    <xf numFmtId="170" fontId="16" fillId="46" borderId="0">
      <alignment wrapText="1"/>
      <protection locked="0"/>
    </xf>
    <xf numFmtId="170" fontId="20" fillId="0" borderId="0">
      <alignment wrapText="1"/>
      <protection locked="0"/>
    </xf>
    <xf numFmtId="171" fontId="20" fillId="0" borderId="0">
      <alignment wrapText="1"/>
      <protection locked="0"/>
    </xf>
    <xf numFmtId="171" fontId="20" fillId="0" borderId="0">
      <alignment wrapText="1"/>
      <protection locked="0"/>
    </xf>
    <xf numFmtId="171" fontId="20" fillId="0" borderId="0">
      <alignment wrapText="1"/>
      <protection locked="0"/>
    </xf>
    <xf numFmtId="171" fontId="16" fillId="46" borderId="0">
      <alignment wrapText="1"/>
      <protection locked="0"/>
    </xf>
    <xf numFmtId="171" fontId="16" fillId="46" borderId="0">
      <alignment wrapText="1"/>
      <protection locked="0"/>
    </xf>
    <xf numFmtId="171" fontId="16" fillId="46" borderId="0">
      <alignment wrapText="1"/>
      <protection locked="0"/>
    </xf>
    <xf numFmtId="171" fontId="16" fillId="46" borderId="0">
      <alignment wrapText="1"/>
      <protection locked="0"/>
    </xf>
    <xf numFmtId="171" fontId="16" fillId="46" borderId="0">
      <alignment wrapText="1"/>
      <protection locked="0"/>
    </xf>
    <xf numFmtId="171" fontId="20" fillId="0" borderId="0">
      <alignment wrapText="1"/>
      <protection locked="0"/>
    </xf>
    <xf numFmtId="172" fontId="20" fillId="0" borderId="0">
      <alignment wrapText="1"/>
      <protection locked="0"/>
    </xf>
    <xf numFmtId="172" fontId="20" fillId="0" borderId="0">
      <alignment wrapText="1"/>
      <protection locked="0"/>
    </xf>
    <xf numFmtId="172" fontId="16" fillId="46" borderId="0">
      <alignment wrapText="1"/>
      <protection locked="0"/>
    </xf>
    <xf numFmtId="172" fontId="16" fillId="46" borderId="0">
      <alignment wrapText="1"/>
      <protection locked="0"/>
    </xf>
    <xf numFmtId="172" fontId="16" fillId="46" borderId="0">
      <alignment wrapText="1"/>
      <protection locked="0"/>
    </xf>
    <xf numFmtId="172" fontId="16" fillId="46" borderId="0">
      <alignment wrapText="1"/>
      <protection locked="0"/>
    </xf>
    <xf numFmtId="172" fontId="20" fillId="0" borderId="0">
      <alignment wrapText="1"/>
      <protection locked="0"/>
    </xf>
    <xf numFmtId="173" fontId="16" fillId="45" borderId="19">
      <alignment wrapText="1"/>
    </xf>
    <xf numFmtId="173" fontId="16" fillId="45" borderId="19">
      <alignment wrapText="1"/>
    </xf>
    <xf numFmtId="173" fontId="16" fillId="45" borderId="19">
      <alignment wrapText="1"/>
    </xf>
    <xf numFmtId="174" fontId="16" fillId="45" borderId="19">
      <alignment wrapText="1"/>
    </xf>
    <xf numFmtId="174" fontId="16" fillId="45" borderId="19">
      <alignment wrapText="1"/>
    </xf>
    <xf numFmtId="174" fontId="16" fillId="45" borderId="19">
      <alignment wrapText="1"/>
    </xf>
    <xf numFmtId="174" fontId="16" fillId="45" borderId="19">
      <alignment wrapText="1"/>
    </xf>
    <xf numFmtId="175" fontId="16" fillId="45" borderId="19">
      <alignment wrapText="1"/>
    </xf>
    <xf numFmtId="175" fontId="16" fillId="45" borderId="19">
      <alignment wrapText="1"/>
    </xf>
    <xf numFmtId="175" fontId="16" fillId="45" borderId="19">
      <alignment wrapText="1"/>
    </xf>
    <xf numFmtId="0" fontId="17" fillId="0" borderId="20">
      <alignment horizontal="right"/>
    </xf>
    <xf numFmtId="0" fontId="17" fillId="0" borderId="20">
      <alignment horizontal="right"/>
    </xf>
    <xf numFmtId="0" fontId="17" fillId="0" borderId="20">
      <alignment horizontal="right"/>
    </xf>
    <xf numFmtId="0" fontId="17" fillId="0" borderId="20">
      <alignment horizontal="right"/>
    </xf>
    <xf numFmtId="40" fontId="62" fillId="0" borderId="0"/>
    <xf numFmtId="0" fontId="34" fillId="0" borderId="0" applyNumberFormat="0" applyFill="0" applyBorder="0" applyAlignment="0" applyProtection="0"/>
    <xf numFmtId="0" fontId="63" fillId="0" borderId="0" applyNumberFormat="0" applyFill="0" applyBorder="0" applyProtection="0">
      <alignment horizontal="left" vertical="center" indent="10"/>
    </xf>
    <xf numFmtId="0" fontId="63" fillId="0" borderId="0" applyNumberFormat="0" applyFill="0" applyBorder="0" applyProtection="0">
      <alignment horizontal="left" vertical="center" indent="10"/>
    </xf>
    <xf numFmtId="0" fontId="35" fillId="0" borderId="21" applyNumberFormat="0" applyFill="0" applyAlignment="0" applyProtection="0"/>
    <xf numFmtId="0" fontId="36" fillId="0" borderId="0" applyNumberFormat="0" applyFill="0" applyBorder="0" applyAlignment="0" applyProtection="0"/>
    <xf numFmtId="0" fontId="20"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9" fontId="73" fillId="0" borderId="0" applyFont="0" applyFill="0" applyBorder="0" applyAlignment="0" applyProtection="0"/>
    <xf numFmtId="0" fontId="1"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3"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73" fillId="0" borderId="0" applyFont="0" applyFill="0" applyBorder="0" applyAlignment="0" applyProtection="0"/>
    <xf numFmtId="0" fontId="2" fillId="0" borderId="0"/>
    <xf numFmtId="0" fontId="105" fillId="0" borderId="0"/>
    <xf numFmtId="0" fontId="74" fillId="0" borderId="0" applyNumberFormat="0" applyFill="0" applyBorder="0" applyAlignment="0" applyProtection="0">
      <alignment vertical="top"/>
      <protection locked="0"/>
    </xf>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3"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3"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73" fillId="0" borderId="0" applyFont="0" applyFill="0" applyBorder="0" applyAlignment="0" applyProtection="0"/>
    <xf numFmtId="0" fontId="2" fillId="0" borderId="0"/>
    <xf numFmtId="0" fontId="112" fillId="0" borderId="0" applyNumberFormat="0" applyFill="0" applyBorder="0" applyAlignment="0" applyProtection="0">
      <alignment vertical="top"/>
      <protection locked="0"/>
    </xf>
  </cellStyleXfs>
  <cellXfs count="681">
    <xf numFmtId="0" fontId="0" fillId="0" borderId="0" xfId="0"/>
    <xf numFmtId="0" fontId="38" fillId="47" borderId="0" xfId="0" applyFont="1" applyFill="1"/>
    <xf numFmtId="0" fontId="39" fillId="47" borderId="0" xfId="0" applyFont="1" applyFill="1"/>
    <xf numFmtId="164" fontId="39" fillId="47" borderId="0" xfId="0" applyNumberFormat="1" applyFont="1" applyFill="1"/>
    <xf numFmtId="0" fontId="39" fillId="49" borderId="0" xfId="0" applyFont="1" applyFill="1"/>
    <xf numFmtId="0" fontId="1" fillId="47" borderId="0" xfId="0" applyFont="1" applyFill="1"/>
    <xf numFmtId="0" fontId="76" fillId="49" borderId="36" xfId="0" applyFont="1" applyFill="1" applyBorder="1"/>
    <xf numFmtId="0" fontId="67" fillId="47" borderId="0" xfId="0" applyFont="1" applyFill="1"/>
    <xf numFmtId="0" fontId="66" fillId="27" borderId="23" xfId="0" applyFont="1" applyFill="1" applyBorder="1" applyAlignment="1">
      <alignment horizontal="left"/>
    </xf>
    <xf numFmtId="0" fontId="78" fillId="47" borderId="0" xfId="80" applyFont="1" applyFill="1" applyBorder="1" applyAlignment="1" applyProtection="1">
      <alignment horizontal="center" vertical="center" wrapText="1"/>
    </xf>
    <xf numFmtId="0" fontId="1" fillId="49" borderId="0" xfId="0" applyFont="1" applyFill="1"/>
    <xf numFmtId="0" fontId="71" fillId="47" borderId="0" xfId="0" applyFont="1" applyFill="1"/>
    <xf numFmtId="2" fontId="71" fillId="47" borderId="0" xfId="0" applyNumberFormat="1" applyFont="1" applyFill="1"/>
    <xf numFmtId="0" fontId="76" fillId="49" borderId="36" xfId="0" applyFont="1" applyFill="1" applyBorder="1" applyAlignment="1">
      <alignment horizontal="left"/>
    </xf>
    <xf numFmtId="164" fontId="66" fillId="49" borderId="37" xfId="0" applyNumberFormat="1" applyFont="1" applyFill="1" applyBorder="1" applyAlignment="1">
      <alignment horizontal="center"/>
    </xf>
    <xf numFmtId="0" fontId="67" fillId="49" borderId="0" xfId="0" applyFont="1" applyFill="1"/>
    <xf numFmtId="0" fontId="67" fillId="49" borderId="40" xfId="0" applyFont="1" applyFill="1" applyBorder="1"/>
    <xf numFmtId="0" fontId="77" fillId="49" borderId="0" xfId="0" applyFont="1" applyFill="1"/>
    <xf numFmtId="0" fontId="77" fillId="49" borderId="37" xfId="0" applyFont="1" applyFill="1" applyBorder="1"/>
    <xf numFmtId="0" fontId="78" fillId="49" borderId="0" xfId="80" applyFont="1" applyFill="1" applyBorder="1" applyAlignment="1" applyProtection="1">
      <alignment horizontal="center" vertical="center" wrapText="1"/>
    </xf>
    <xf numFmtId="164" fontId="77" fillId="49" borderId="0" xfId="0" applyNumberFormat="1" applyFont="1" applyFill="1"/>
    <xf numFmtId="164" fontId="0" fillId="49" borderId="0" xfId="0" applyNumberFormat="1" applyFill="1"/>
    <xf numFmtId="0" fontId="64" fillId="47" borderId="0" xfId="0" applyFont="1" applyFill="1"/>
    <xf numFmtId="164" fontId="67" fillId="47" borderId="0" xfId="0" applyNumberFormat="1" applyFont="1" applyFill="1"/>
    <xf numFmtId="0" fontId="82" fillId="27" borderId="0" xfId="0" applyFont="1" applyFill="1"/>
    <xf numFmtId="178" fontId="77" fillId="49" borderId="0" xfId="198" applyNumberFormat="1" applyFont="1" applyFill="1"/>
    <xf numFmtId="1" fontId="77" fillId="49" borderId="0" xfId="0" applyNumberFormat="1" applyFont="1" applyFill="1"/>
    <xf numFmtId="180" fontId="39" fillId="47" borderId="0" xfId="0" applyNumberFormat="1" applyFont="1" applyFill="1"/>
    <xf numFmtId="0" fontId="39" fillId="27" borderId="0" xfId="0" applyFont="1" applyFill="1"/>
    <xf numFmtId="0" fontId="67" fillId="48" borderId="23" xfId="0" applyFont="1" applyFill="1" applyBorder="1"/>
    <xf numFmtId="0" fontId="67" fillId="48" borderId="29" xfId="0" applyFont="1" applyFill="1" applyBorder="1" applyAlignment="1">
      <alignment horizontal="center" vertical="center" wrapText="1"/>
    </xf>
    <xf numFmtId="0" fontId="67" fillId="48" borderId="41" xfId="0" applyFont="1" applyFill="1" applyBorder="1" applyAlignment="1">
      <alignment horizontal="center" vertical="center" wrapText="1"/>
    </xf>
    <xf numFmtId="0" fontId="67" fillId="50" borderId="42" xfId="0" applyFont="1" applyFill="1" applyBorder="1" applyAlignment="1">
      <alignment horizontal="center" vertical="center" wrapText="1"/>
    </xf>
    <xf numFmtId="165" fontId="39" fillId="27" borderId="0" xfId="0" applyNumberFormat="1" applyFont="1" applyFill="1"/>
    <xf numFmtId="164" fontId="39" fillId="27" borderId="0" xfId="0" applyNumberFormat="1" applyFont="1" applyFill="1"/>
    <xf numFmtId="2" fontId="39" fillId="27" borderId="0" xfId="0" applyNumberFormat="1" applyFont="1" applyFill="1"/>
    <xf numFmtId="0" fontId="85" fillId="0" borderId="0" xfId="0" applyFont="1" applyAlignment="1">
      <alignment vertical="center"/>
    </xf>
    <xf numFmtId="0" fontId="76" fillId="49" borderId="0" xfId="0" applyFont="1" applyFill="1"/>
    <xf numFmtId="0" fontId="76" fillId="49" borderId="37" xfId="0" applyFont="1" applyFill="1" applyBorder="1"/>
    <xf numFmtId="0" fontId="80" fillId="50" borderId="0" xfId="0" applyFont="1" applyFill="1"/>
    <xf numFmtId="0" fontId="80" fillId="50" borderId="0" xfId="0" applyFont="1" applyFill="1" applyAlignment="1">
      <alignment horizontal="center" vertical="center" wrapText="1"/>
    </xf>
    <xf numFmtId="0" fontId="76" fillId="49" borderId="0" xfId="0" applyFont="1" applyFill="1" applyAlignment="1">
      <alignment horizontal="left"/>
    </xf>
    <xf numFmtId="164" fontId="76" fillId="49" borderId="0" xfId="0" applyNumberFormat="1" applyFont="1" applyFill="1"/>
    <xf numFmtId="0" fontId="76" fillId="50" borderId="41" xfId="0" applyFont="1" applyFill="1" applyBorder="1" applyAlignment="1">
      <alignment horizontal="left"/>
    </xf>
    <xf numFmtId="0" fontId="70" fillId="50" borderId="35" xfId="0" applyFont="1" applyFill="1" applyBorder="1" applyAlignment="1">
      <alignment horizontal="center" vertical="center" wrapText="1"/>
    </xf>
    <xf numFmtId="0" fontId="70" fillId="48" borderId="35" xfId="0" applyFont="1" applyFill="1" applyBorder="1" applyAlignment="1">
      <alignment horizontal="center" vertical="center" wrapText="1"/>
    </xf>
    <xf numFmtId="0" fontId="70" fillId="48" borderId="48" xfId="0" applyFont="1" applyFill="1" applyBorder="1" applyAlignment="1">
      <alignment horizontal="center" vertical="center" wrapText="1"/>
    </xf>
    <xf numFmtId="0" fontId="66" fillId="49" borderId="23" xfId="0" applyFont="1" applyFill="1" applyBorder="1" applyAlignment="1">
      <alignment horizontal="left"/>
    </xf>
    <xf numFmtId="1" fontId="39" fillId="47" borderId="0" xfId="0" applyNumberFormat="1" applyFont="1" applyFill="1"/>
    <xf numFmtId="164" fontId="67" fillId="47" borderId="37" xfId="0" applyNumberFormat="1" applyFont="1" applyFill="1" applyBorder="1"/>
    <xf numFmtId="165" fontId="67" fillId="47" borderId="0" xfId="0" applyNumberFormat="1" applyFont="1" applyFill="1"/>
    <xf numFmtId="0" fontId="66" fillId="27" borderId="36" xfId="0" applyFont="1" applyFill="1" applyBorder="1" applyAlignment="1">
      <alignment horizontal="left"/>
    </xf>
    <xf numFmtId="2" fontId="77" fillId="49" borderId="0" xfId="0" applyNumberFormat="1" applyFont="1" applyFill="1"/>
    <xf numFmtId="0" fontId="67" fillId="48" borderId="59" xfId="0" applyFont="1" applyFill="1" applyBorder="1" applyAlignment="1">
      <alignment horizontal="center" vertical="center" wrapText="1"/>
    </xf>
    <xf numFmtId="164" fontId="66" fillId="27" borderId="57" xfId="0" applyNumberFormat="1" applyFont="1" applyFill="1" applyBorder="1" applyAlignment="1">
      <alignment horizontal="center" vertical="center"/>
    </xf>
    <xf numFmtId="0" fontId="39" fillId="47" borderId="37" xfId="0" applyFont="1" applyFill="1" applyBorder="1"/>
    <xf numFmtId="0" fontId="64" fillId="49" borderId="50" xfId="0" applyFont="1" applyFill="1" applyBorder="1" applyAlignment="1">
      <alignment vertical="center"/>
    </xf>
    <xf numFmtId="0" fontId="64" fillId="49" borderId="40" xfId="0" applyFont="1" applyFill="1" applyBorder="1" applyAlignment="1">
      <alignment vertical="center"/>
    </xf>
    <xf numFmtId="0" fontId="64" fillId="49" borderId="49" xfId="0" applyFont="1" applyFill="1" applyBorder="1" applyAlignment="1">
      <alignment vertical="center"/>
    </xf>
    <xf numFmtId="0" fontId="64" fillId="49" borderId="23" xfId="0" applyFont="1" applyFill="1" applyBorder="1" applyAlignment="1">
      <alignment horizontal="left" vertical="center"/>
    </xf>
    <xf numFmtId="0" fontId="64" fillId="49" borderId="37" xfId="0" applyFont="1" applyFill="1" applyBorder="1" applyAlignment="1">
      <alignment horizontal="left" vertical="center"/>
    </xf>
    <xf numFmtId="0" fontId="64" fillId="49" borderId="23" xfId="0" applyFont="1" applyFill="1" applyBorder="1" applyAlignment="1">
      <alignment vertical="center"/>
    </xf>
    <xf numFmtId="0" fontId="64" fillId="49" borderId="37" xfId="0" applyFont="1" applyFill="1" applyBorder="1" applyAlignment="1">
      <alignment vertical="center"/>
    </xf>
    <xf numFmtId="0" fontId="37" fillId="49" borderId="40" xfId="0" applyFont="1" applyFill="1" applyBorder="1" applyAlignment="1">
      <alignment vertical="center"/>
    </xf>
    <xf numFmtId="0" fontId="1" fillId="0" borderId="0" xfId="0" applyFont="1"/>
    <xf numFmtId="0" fontId="0" fillId="52" borderId="0" xfId="0" applyFill="1"/>
    <xf numFmtId="0" fontId="1" fillId="52" borderId="0" xfId="0" applyFont="1" applyFill="1"/>
    <xf numFmtId="164" fontId="66" fillId="0" borderId="0" xfId="0" applyNumberFormat="1" applyFont="1" applyAlignment="1">
      <alignment horizontal="center"/>
    </xf>
    <xf numFmtId="0" fontId="70" fillId="48" borderId="0" xfId="0" applyFont="1" applyFill="1" applyAlignment="1">
      <alignment horizontal="center" vertical="center" wrapText="1"/>
    </xf>
    <xf numFmtId="164" fontId="66" fillId="53" borderId="37" xfId="0" applyNumberFormat="1" applyFont="1" applyFill="1" applyBorder="1" applyAlignment="1">
      <alignment horizontal="center"/>
    </xf>
    <xf numFmtId="164" fontId="76" fillId="49" borderId="0" xfId="0" applyNumberFormat="1" applyFont="1" applyFill="1" applyAlignment="1">
      <alignment horizontal="center"/>
    </xf>
    <xf numFmtId="164" fontId="66" fillId="0" borderId="37" xfId="0" applyNumberFormat="1" applyFont="1" applyBorder="1" applyAlignment="1">
      <alignment horizontal="center"/>
    </xf>
    <xf numFmtId="0" fontId="79" fillId="50" borderId="0" xfId="0" applyFont="1" applyFill="1" applyAlignment="1">
      <alignment horizontal="center"/>
    </xf>
    <xf numFmtId="181" fontId="76" fillId="49" borderId="0" xfId="0" applyNumberFormat="1" applyFont="1" applyFill="1"/>
    <xf numFmtId="182" fontId="76" fillId="49" borderId="0" xfId="0" applyNumberFormat="1" applyFont="1" applyFill="1"/>
    <xf numFmtId="164" fontId="66" fillId="0" borderId="0" xfId="0" applyNumberFormat="1" applyFont="1" applyAlignment="1">
      <alignment horizontal="center" wrapText="1"/>
    </xf>
    <xf numFmtId="164" fontId="68" fillId="0" borderId="0" xfId="0" applyNumberFormat="1" applyFont="1" applyAlignment="1">
      <alignment horizontal="center" wrapText="1"/>
    </xf>
    <xf numFmtId="164" fontId="76" fillId="0" borderId="37" xfId="0" applyNumberFormat="1" applyFont="1" applyBorder="1" applyAlignment="1">
      <alignment horizontal="center" vertical="center"/>
    </xf>
    <xf numFmtId="0" fontId="66" fillId="27" borderId="26" xfId="0" applyFont="1" applyFill="1" applyBorder="1" applyAlignment="1">
      <alignment horizontal="left"/>
    </xf>
    <xf numFmtId="164" fontId="68" fillId="0" borderId="0" xfId="0" applyNumberFormat="1" applyFont="1" applyAlignment="1">
      <alignment horizontal="center"/>
    </xf>
    <xf numFmtId="0" fontId="39" fillId="0" borderId="0" xfId="0" applyFont="1"/>
    <xf numFmtId="0" fontId="66" fillId="27" borderId="27" xfId="0" applyFont="1" applyFill="1" applyBorder="1" applyAlignment="1">
      <alignment horizontal="left"/>
    </xf>
    <xf numFmtId="0" fontId="41" fillId="27" borderId="0" xfId="0" applyFont="1" applyFill="1" applyAlignment="1">
      <alignment wrapText="1"/>
    </xf>
    <xf numFmtId="0" fontId="41" fillId="27" borderId="0" xfId="0" applyFont="1" applyFill="1"/>
    <xf numFmtId="0" fontId="86" fillId="27" borderId="0" xfId="0" applyFont="1" applyFill="1"/>
    <xf numFmtId="0" fontId="64" fillId="49" borderId="0" xfId="0" applyFont="1" applyFill="1" applyAlignment="1">
      <alignment horizontal="left" vertical="center"/>
    </xf>
    <xf numFmtId="0" fontId="64" fillId="49" borderId="0" xfId="0" applyFont="1" applyFill="1" applyAlignment="1">
      <alignment vertical="center"/>
    </xf>
    <xf numFmtId="164" fontId="66" fillId="49" borderId="37" xfId="0" applyNumberFormat="1" applyFont="1" applyFill="1" applyBorder="1" applyAlignment="1">
      <alignment horizontal="center" vertical="center"/>
    </xf>
    <xf numFmtId="164" fontId="66" fillId="49" borderId="0" xfId="0" applyNumberFormat="1" applyFont="1" applyFill="1" applyAlignment="1">
      <alignment horizontal="center" vertical="center"/>
    </xf>
    <xf numFmtId="164" fontId="68" fillId="49" borderId="0" xfId="0" applyNumberFormat="1" applyFont="1" applyFill="1" applyAlignment="1">
      <alignment horizontal="center" vertical="center"/>
    </xf>
    <xf numFmtId="164" fontId="66" fillId="49" borderId="57" xfId="0" applyNumberFormat="1" applyFont="1" applyFill="1" applyBorder="1" applyAlignment="1">
      <alignment horizontal="center" vertical="center"/>
    </xf>
    <xf numFmtId="3" fontId="66" fillId="49" borderId="0" xfId="0" applyNumberFormat="1" applyFont="1" applyFill="1" applyAlignment="1">
      <alignment horizontal="center" vertical="center"/>
    </xf>
    <xf numFmtId="179" fontId="0" fillId="0" borderId="0" xfId="0" applyNumberFormat="1"/>
    <xf numFmtId="3" fontId="0" fillId="0" borderId="0" xfId="0" applyNumberFormat="1"/>
    <xf numFmtId="179" fontId="66" fillId="49" borderId="0" xfId="0" applyNumberFormat="1" applyFont="1" applyFill="1" applyAlignment="1">
      <alignment horizontal="center" vertical="center"/>
    </xf>
    <xf numFmtId="0" fontId="67" fillId="48" borderId="60" xfId="0" applyFont="1" applyFill="1" applyBorder="1"/>
    <xf numFmtId="178" fontId="39" fillId="27" borderId="0" xfId="317" applyNumberFormat="1" applyFont="1" applyFill="1"/>
    <xf numFmtId="0" fontId="77" fillId="52" borderId="0" xfId="0" applyFont="1" applyFill="1"/>
    <xf numFmtId="0" fontId="80" fillId="50" borderId="35" xfId="0" applyFont="1" applyFill="1" applyBorder="1" applyAlignment="1">
      <alignment horizontal="center" vertical="center" wrapText="1"/>
    </xf>
    <xf numFmtId="0" fontId="64" fillId="27" borderId="0" xfId="0" applyFont="1" applyFill="1"/>
    <xf numFmtId="0" fontId="67" fillId="27" borderId="0" xfId="0" applyFont="1" applyFill="1"/>
    <xf numFmtId="0" fontId="67" fillId="27" borderId="40" xfId="0" applyFont="1" applyFill="1" applyBorder="1"/>
    <xf numFmtId="0" fontId="92" fillId="51" borderId="43" xfId="0" applyFont="1" applyFill="1" applyBorder="1" applyAlignment="1">
      <alignment horizontal="center" vertical="center" wrapText="1"/>
    </xf>
    <xf numFmtId="0" fontId="92" fillId="51" borderId="47" xfId="0" applyFont="1" applyFill="1" applyBorder="1" applyAlignment="1">
      <alignment horizontal="center" vertical="center" wrapText="1"/>
    </xf>
    <xf numFmtId="0" fontId="67" fillId="48" borderId="29" xfId="0" applyFont="1" applyFill="1" applyBorder="1" applyAlignment="1">
      <alignment horizontal="center" vertical="center"/>
    </xf>
    <xf numFmtId="0" fontId="67" fillId="48" borderId="41" xfId="0" applyFont="1" applyFill="1" applyBorder="1" applyAlignment="1">
      <alignment horizontal="center" wrapText="1"/>
    </xf>
    <xf numFmtId="0" fontId="67" fillId="50" borderId="42" xfId="0" applyFont="1" applyFill="1" applyBorder="1" applyAlignment="1">
      <alignment vertical="center" wrapText="1"/>
    </xf>
    <xf numFmtId="0" fontId="67" fillId="48" borderId="0" xfId="0" applyFont="1" applyFill="1" applyAlignment="1">
      <alignment horizontal="center" vertical="center" wrapText="1"/>
    </xf>
    <xf numFmtId="0" fontId="66" fillId="27" borderId="61" xfId="0" applyFont="1" applyFill="1" applyBorder="1" applyAlignment="1">
      <alignment horizontal="left"/>
    </xf>
    <xf numFmtId="164" fontId="66" fillId="27" borderId="62" xfId="0" applyNumberFormat="1" applyFont="1" applyFill="1" applyBorder="1" applyAlignment="1">
      <alignment horizontal="center" vertical="center"/>
    </xf>
    <xf numFmtId="164" fontId="66" fillId="0" borderId="62" xfId="0" applyNumberFormat="1" applyFont="1" applyBorder="1" applyAlignment="1">
      <alignment horizontal="center" vertical="center"/>
    </xf>
    <xf numFmtId="164" fontId="66" fillId="49" borderId="63" xfId="0" applyNumberFormat="1" applyFont="1" applyFill="1" applyBorder="1" applyAlignment="1">
      <alignment horizontal="center"/>
    </xf>
    <xf numFmtId="164" fontId="66" fillId="27" borderId="0" xfId="0" applyNumberFormat="1" applyFont="1" applyFill="1" applyAlignment="1">
      <alignment horizontal="center" vertical="center"/>
    </xf>
    <xf numFmtId="164" fontId="66" fillId="0" borderId="0" xfId="0" applyNumberFormat="1" applyFont="1" applyAlignment="1">
      <alignment horizontal="center" vertical="center"/>
    </xf>
    <xf numFmtId="164" fontId="66" fillId="47" borderId="37" xfId="0" applyNumberFormat="1" applyFont="1" applyFill="1" applyBorder="1" applyAlignment="1">
      <alignment horizontal="center"/>
    </xf>
    <xf numFmtId="0" fontId="36" fillId="47" borderId="0" xfId="0" applyFont="1" applyFill="1"/>
    <xf numFmtId="164" fontId="66" fillId="49" borderId="0" xfId="0" applyNumberFormat="1" applyFont="1" applyFill="1" applyAlignment="1">
      <alignment horizontal="center"/>
    </xf>
    <xf numFmtId="0" fontId="93" fillId="47" borderId="0" xfId="0" applyFont="1" applyFill="1"/>
    <xf numFmtId="0" fontId="94" fillId="47" borderId="0" xfId="0" applyFont="1" applyFill="1"/>
    <xf numFmtId="0" fontId="95" fillId="47" borderId="0" xfId="0" applyFont="1" applyFill="1"/>
    <xf numFmtId="0" fontId="93" fillId="47" borderId="0" xfId="0" applyFont="1" applyFill="1" applyAlignment="1">
      <alignment wrapText="1"/>
    </xf>
    <xf numFmtId="0" fontId="67" fillId="48" borderId="23" xfId="0" applyFont="1" applyFill="1" applyBorder="1" applyAlignment="1">
      <alignment wrapText="1"/>
    </xf>
    <xf numFmtId="0" fontId="95" fillId="47" borderId="0" xfId="0" applyFont="1" applyFill="1" applyAlignment="1">
      <alignment wrapText="1"/>
    </xf>
    <xf numFmtId="0" fontId="66" fillId="27" borderId="23" xfId="0" applyFont="1" applyFill="1" applyBorder="1"/>
    <xf numFmtId="164" fontId="68" fillId="27" borderId="0" xfId="0" applyNumberFormat="1" applyFont="1" applyFill="1" applyAlignment="1">
      <alignment horizontal="center"/>
    </xf>
    <xf numFmtId="164" fontId="66" fillId="49" borderId="24" xfId="0" applyNumberFormat="1" applyFont="1" applyFill="1" applyBorder="1" applyAlignment="1">
      <alignment horizontal="center"/>
    </xf>
    <xf numFmtId="0" fontId="66" fillId="27" borderId="23" xfId="0" applyFont="1" applyFill="1" applyBorder="1" applyProtection="1">
      <protection locked="0"/>
    </xf>
    <xf numFmtId="164" fontId="68" fillId="49" borderId="0" xfId="0" applyNumberFormat="1" applyFont="1" applyFill="1" applyAlignment="1">
      <alignment horizontal="center"/>
    </xf>
    <xf numFmtId="0" fontId="66" fillId="27" borderId="64" xfId="0" applyFont="1" applyFill="1" applyBorder="1" applyAlignment="1">
      <alignment horizontal="left"/>
    </xf>
    <xf numFmtId="164" fontId="39" fillId="47" borderId="0" xfId="0" applyNumberFormat="1" applyFont="1" applyFill="1" applyAlignment="1">
      <alignment horizontal="center"/>
    </xf>
    <xf numFmtId="0" fontId="39" fillId="47" borderId="0" xfId="0" applyFont="1" applyFill="1" applyProtection="1">
      <protection locked="0"/>
    </xf>
    <xf numFmtId="0" fontId="64" fillId="49" borderId="40" xfId="0" applyFont="1" applyFill="1" applyBorder="1"/>
    <xf numFmtId="0" fontId="77" fillId="49" borderId="40" xfId="0" applyFont="1" applyFill="1" applyBorder="1"/>
    <xf numFmtId="1" fontId="2" fillId="49" borderId="0" xfId="1" applyNumberFormat="1" applyFill="1" applyAlignment="1">
      <alignment horizontal="right"/>
    </xf>
    <xf numFmtId="0" fontId="1" fillId="47" borderId="0" xfId="0" applyFont="1" applyFill="1" applyAlignment="1">
      <alignment wrapText="1"/>
    </xf>
    <xf numFmtId="0" fontId="67" fillId="48" borderId="27" xfId="0" applyFont="1" applyFill="1" applyBorder="1" applyAlignment="1">
      <alignment wrapText="1"/>
    </xf>
    <xf numFmtId="0" fontId="70" fillId="48" borderId="22" xfId="0" applyFont="1" applyFill="1" applyBorder="1" applyAlignment="1">
      <alignment horizontal="center" vertical="center" wrapText="1"/>
    </xf>
    <xf numFmtId="0" fontId="70" fillId="48" borderId="25" xfId="0" applyFont="1" applyFill="1" applyBorder="1" applyAlignment="1">
      <alignment horizontal="center" vertical="center" wrapText="1"/>
    </xf>
    <xf numFmtId="1" fontId="1" fillId="47" borderId="0" xfId="0" applyNumberFormat="1" applyFont="1" applyFill="1"/>
    <xf numFmtId="164" fontId="1" fillId="47" borderId="0" xfId="0" applyNumberFormat="1" applyFont="1" applyFill="1"/>
    <xf numFmtId="1" fontId="1" fillId="47" borderId="0" xfId="0" applyNumberFormat="1" applyFont="1" applyFill="1" applyAlignment="1">
      <alignment horizontal="center"/>
    </xf>
    <xf numFmtId="2" fontId="1" fillId="47" borderId="0" xfId="0" applyNumberFormat="1" applyFont="1" applyFill="1" applyAlignment="1">
      <alignment horizontal="center"/>
    </xf>
    <xf numFmtId="0" fontId="1" fillId="47" borderId="0" xfId="0" applyFont="1" applyFill="1" applyProtection="1">
      <protection locked="0"/>
    </xf>
    <xf numFmtId="0" fontId="69" fillId="49" borderId="0" xfId="0" applyFont="1" applyFill="1"/>
    <xf numFmtId="0" fontId="67" fillId="47" borderId="0" xfId="0" applyFont="1" applyFill="1" applyAlignment="1">
      <alignment wrapText="1"/>
    </xf>
    <xf numFmtId="0" fontId="70" fillId="47" borderId="0" xfId="0" applyFont="1" applyFill="1" applyAlignment="1">
      <alignment horizontal="center" wrapText="1"/>
    </xf>
    <xf numFmtId="0" fontId="39" fillId="47" borderId="0" xfId="0" applyFont="1" applyFill="1" applyAlignment="1">
      <alignment wrapText="1"/>
    </xf>
    <xf numFmtId="164" fontId="66" fillId="27" borderId="0" xfId="0" applyNumberFormat="1" applyFont="1" applyFill="1" applyAlignment="1">
      <alignment horizontal="center"/>
    </xf>
    <xf numFmtId="164" fontId="66" fillId="27" borderId="37" xfId="0" applyNumberFormat="1" applyFont="1" applyFill="1" applyBorder="1" applyAlignment="1">
      <alignment horizontal="center"/>
    </xf>
    <xf numFmtId="2" fontId="67" fillId="47" borderId="0" xfId="0" applyNumberFormat="1" applyFont="1" applyFill="1" applyAlignment="1">
      <alignment horizontal="center"/>
    </xf>
    <xf numFmtId="2" fontId="39" fillId="47" borderId="0" xfId="0" applyNumberFormat="1" applyFont="1" applyFill="1" applyAlignment="1">
      <alignment horizontal="center"/>
    </xf>
    <xf numFmtId="1" fontId="66" fillId="49" borderId="0" xfId="0" applyNumberFormat="1" applyFont="1" applyFill="1" applyAlignment="1">
      <alignment horizontal="center"/>
    </xf>
    <xf numFmtId="0" fontId="66" fillId="49" borderId="23" xfId="0" applyFont="1" applyFill="1" applyBorder="1"/>
    <xf numFmtId="1" fontId="38" fillId="47" borderId="0" xfId="0" applyNumberFormat="1" applyFont="1" applyFill="1"/>
    <xf numFmtId="164" fontId="38" fillId="47" borderId="0" xfId="0" applyNumberFormat="1" applyFont="1" applyFill="1"/>
    <xf numFmtId="178" fontId="1" fillId="47" borderId="0" xfId="198" applyNumberFormat="1" applyFont="1" applyFill="1"/>
    <xf numFmtId="1" fontId="66" fillId="49" borderId="24" xfId="0" applyNumberFormat="1" applyFont="1" applyFill="1" applyBorder="1" applyAlignment="1">
      <alignment horizontal="center"/>
    </xf>
    <xf numFmtId="1" fontId="66" fillId="27" borderId="0" xfId="0" applyNumberFormat="1" applyFont="1" applyFill="1" applyAlignment="1">
      <alignment horizontal="center"/>
    </xf>
    <xf numFmtId="164" fontId="38" fillId="47" borderId="36" xfId="0" applyNumberFormat="1" applyFont="1" applyFill="1" applyBorder="1"/>
    <xf numFmtId="1" fontId="66" fillId="49" borderId="37" xfId="0" applyNumberFormat="1" applyFont="1" applyFill="1" applyBorder="1" applyAlignment="1">
      <alignment horizontal="center"/>
    </xf>
    <xf numFmtId="0" fontId="64" fillId="27" borderId="23" xfId="0" applyFont="1" applyFill="1" applyBorder="1"/>
    <xf numFmtId="0" fontId="64" fillId="0" borderId="23" xfId="0" applyFont="1" applyBorder="1"/>
    <xf numFmtId="0" fontId="64" fillId="0" borderId="0" xfId="0" applyFont="1"/>
    <xf numFmtId="0" fontId="66" fillId="48" borderId="27" xfId="0" applyFont="1" applyFill="1" applyBorder="1" applyAlignment="1">
      <alignment vertical="center" wrapText="1"/>
    </xf>
    <xf numFmtId="164" fontId="66" fillId="49" borderId="41" xfId="0" applyNumberFormat="1" applyFont="1" applyFill="1" applyBorder="1" applyAlignment="1">
      <alignment horizontal="center"/>
    </xf>
    <xf numFmtId="164" fontId="66" fillId="27" borderId="65" xfId="0" applyNumberFormat="1" applyFont="1" applyFill="1" applyBorder="1" applyAlignment="1">
      <alignment horizontal="center"/>
    </xf>
    <xf numFmtId="178" fontId="38" fillId="47" borderId="0" xfId="0" applyNumberFormat="1" applyFont="1" applyFill="1"/>
    <xf numFmtId="178" fontId="38" fillId="47" borderId="0" xfId="198" applyNumberFormat="1" applyFont="1" applyFill="1"/>
    <xf numFmtId="178" fontId="96" fillId="47" borderId="0" xfId="198" applyNumberFormat="1" applyFont="1" applyFill="1"/>
    <xf numFmtId="183" fontId="38" fillId="47" borderId="0" xfId="0" applyNumberFormat="1" applyFont="1" applyFill="1"/>
    <xf numFmtId="0" fontId="64" fillId="27" borderId="30" xfId="0" applyFont="1" applyFill="1" applyBorder="1"/>
    <xf numFmtId="0" fontId="64" fillId="47" borderId="28" xfId="0" applyFont="1" applyFill="1" applyBorder="1"/>
    <xf numFmtId="0" fontId="64" fillId="47" borderId="31" xfId="0" applyFont="1" applyFill="1" applyBorder="1"/>
    <xf numFmtId="0" fontId="38" fillId="27" borderId="0" xfId="0" applyFont="1" applyFill="1"/>
    <xf numFmtId="0" fontId="79" fillId="50" borderId="46" xfId="0" applyFont="1" applyFill="1" applyBorder="1" applyAlignment="1">
      <alignment vertical="center" wrapText="1"/>
    </xf>
    <xf numFmtId="3" fontId="66" fillId="27" borderId="0" xfId="0" applyNumberFormat="1" applyFont="1" applyFill="1" applyAlignment="1">
      <alignment horizontal="center"/>
    </xf>
    <xf numFmtId="0" fontId="64" fillId="47" borderId="22" xfId="0" applyFont="1" applyFill="1" applyBorder="1"/>
    <xf numFmtId="0" fontId="66" fillId="48" borderId="23" xfId="0" applyFont="1" applyFill="1" applyBorder="1" applyAlignment="1">
      <alignment wrapText="1"/>
    </xf>
    <xf numFmtId="0" fontId="70" fillId="48" borderId="0" xfId="0" applyFont="1" applyFill="1" applyAlignment="1">
      <alignment horizontal="center" vertical="top" wrapText="1"/>
    </xf>
    <xf numFmtId="0" fontId="70" fillId="48" borderId="0" xfId="0" applyFont="1" applyFill="1" applyAlignment="1">
      <alignment horizontal="center" wrapText="1"/>
    </xf>
    <xf numFmtId="0" fontId="83" fillId="48" borderId="0" xfId="0" applyFont="1" applyFill="1" applyAlignment="1">
      <alignment horizontal="center" wrapText="1"/>
    </xf>
    <xf numFmtId="2" fontId="97" fillId="27" borderId="0" xfId="0" applyNumberFormat="1" applyFont="1" applyFill="1" applyAlignment="1">
      <alignment horizontal="center" wrapText="1"/>
    </xf>
    <xf numFmtId="0" fontId="66" fillId="49" borderId="23" xfId="0" applyFont="1" applyFill="1" applyBorder="1" applyProtection="1">
      <protection locked="0"/>
    </xf>
    <xf numFmtId="0" fontId="98" fillId="47" borderId="24" xfId="0" applyFont="1" applyFill="1" applyBorder="1" applyAlignment="1">
      <alignment wrapText="1"/>
    </xf>
    <xf numFmtId="0" fontId="41" fillId="47" borderId="0" xfId="0" applyFont="1" applyFill="1"/>
    <xf numFmtId="0" fontId="70" fillId="48" borderId="22" xfId="0" applyFont="1" applyFill="1" applyBorder="1" applyAlignment="1">
      <alignment horizontal="center" wrapText="1"/>
    </xf>
    <xf numFmtId="2" fontId="39" fillId="47" borderId="0" xfId="0" applyNumberFormat="1" applyFont="1" applyFill="1"/>
    <xf numFmtId="166" fontId="39" fillId="47" borderId="0" xfId="0" applyNumberFormat="1" applyFont="1" applyFill="1"/>
    <xf numFmtId="1" fontId="39" fillId="47" borderId="0" xfId="0" applyNumberFormat="1" applyFont="1" applyFill="1" applyAlignment="1">
      <alignment horizontal="center"/>
    </xf>
    <xf numFmtId="0" fontId="67" fillId="48" borderId="22" xfId="0" applyFont="1" applyFill="1" applyBorder="1" applyAlignment="1">
      <alignment horizontal="center" vertical="center" wrapText="1"/>
    </xf>
    <xf numFmtId="0" fontId="70" fillId="50" borderId="24" xfId="0" applyFont="1" applyFill="1" applyBorder="1" applyAlignment="1">
      <alignment horizontal="center" vertical="center" wrapText="1"/>
    </xf>
    <xf numFmtId="2" fontId="66" fillId="47" borderId="0" xfId="0" applyNumberFormat="1" applyFont="1" applyFill="1" applyAlignment="1">
      <alignment horizontal="center"/>
    </xf>
    <xf numFmtId="164" fontId="66" fillId="47" borderId="0" xfId="0" applyNumberFormat="1" applyFont="1" applyFill="1" applyAlignment="1">
      <alignment horizontal="center"/>
    </xf>
    <xf numFmtId="1" fontId="66" fillId="47" borderId="24" xfId="0" applyNumberFormat="1" applyFont="1" applyFill="1" applyBorder="1" applyAlignment="1">
      <alignment horizontal="center"/>
    </xf>
    <xf numFmtId="2" fontId="66" fillId="49" borderId="0" xfId="0" applyNumberFormat="1" applyFont="1" applyFill="1" applyAlignment="1">
      <alignment horizontal="center"/>
    </xf>
    <xf numFmtId="2" fontId="67" fillId="47" borderId="0" xfId="0" applyNumberFormat="1" applyFont="1" applyFill="1"/>
    <xf numFmtId="0" fontId="67" fillId="47" borderId="37" xfId="0" applyFont="1" applyFill="1" applyBorder="1"/>
    <xf numFmtId="0" fontId="80" fillId="50" borderId="48" xfId="0" applyFont="1" applyFill="1" applyBorder="1" applyAlignment="1">
      <alignment horizontal="center" vertical="center" wrapText="1"/>
    </xf>
    <xf numFmtId="3" fontId="66" fillId="49" borderId="0" xfId="0" applyNumberFormat="1" applyFont="1" applyFill="1" applyAlignment="1">
      <alignment horizontal="center"/>
    </xf>
    <xf numFmtId="179" fontId="66" fillId="27" borderId="0" xfId="0" applyNumberFormat="1" applyFont="1" applyFill="1" applyAlignment="1">
      <alignment horizontal="center"/>
    </xf>
    <xf numFmtId="4" fontId="66" fillId="49" borderId="37" xfId="0" applyNumberFormat="1" applyFont="1" applyFill="1" applyBorder="1" applyAlignment="1">
      <alignment horizontal="center"/>
    </xf>
    <xf numFmtId="179" fontId="66" fillId="49" borderId="0" xfId="0" applyNumberFormat="1" applyFont="1" applyFill="1" applyAlignment="1">
      <alignment horizontal="center"/>
    </xf>
    <xf numFmtId="184" fontId="77" fillId="49" borderId="0" xfId="0" applyNumberFormat="1" applyFont="1" applyFill="1"/>
    <xf numFmtId="3" fontId="77" fillId="49" borderId="0" xfId="0" applyNumberFormat="1" applyFont="1" applyFill="1"/>
    <xf numFmtId="0" fontId="0" fillId="49" borderId="0" xfId="0" applyFill="1"/>
    <xf numFmtId="0" fontId="0" fillId="49" borderId="36" xfId="0" applyFill="1" applyBorder="1"/>
    <xf numFmtId="0" fontId="80" fillId="50" borderId="69" xfId="0" applyFont="1" applyFill="1" applyBorder="1" applyAlignment="1">
      <alignment horizontal="center" vertical="center" wrapText="1"/>
    </xf>
    <xf numFmtId="0" fontId="76" fillId="50" borderId="70" xfId="0" applyFont="1" applyFill="1" applyBorder="1" applyAlignment="1">
      <alignment horizontal="center"/>
    </xf>
    <xf numFmtId="0" fontId="80" fillId="50" borderId="71" xfId="0" applyFont="1" applyFill="1" applyBorder="1" applyAlignment="1">
      <alignment horizontal="center" vertical="center" wrapText="1"/>
    </xf>
    <xf numFmtId="164" fontId="76" fillId="49" borderId="72" xfId="0" applyNumberFormat="1" applyFont="1" applyFill="1" applyBorder="1"/>
    <xf numFmtId="0" fontId="76" fillId="50" borderId="71" xfId="0" applyFont="1" applyFill="1" applyBorder="1" applyAlignment="1">
      <alignment horizontal="center"/>
    </xf>
    <xf numFmtId="0" fontId="80" fillId="50" borderId="72" xfId="0" applyFont="1" applyFill="1" applyBorder="1" applyAlignment="1">
      <alignment horizontal="center" vertical="center" wrapText="1"/>
    </xf>
    <xf numFmtId="0" fontId="66" fillId="49" borderId="50" xfId="0" applyFont="1" applyFill="1" applyBorder="1"/>
    <xf numFmtId="0" fontId="76" fillId="49" borderId="53" xfId="0" applyFont="1" applyFill="1" applyBorder="1" applyAlignment="1">
      <alignment horizontal="left"/>
    </xf>
    <xf numFmtId="3" fontId="66" fillId="49" borderId="36" xfId="0" applyNumberFormat="1" applyFont="1" applyFill="1" applyBorder="1" applyAlignment="1">
      <alignment horizontal="center" vertical="center"/>
    </xf>
    <xf numFmtId="0" fontId="67" fillId="50" borderId="0" xfId="0" applyFont="1" applyFill="1" applyAlignment="1">
      <alignment horizontal="center" vertical="center" wrapText="1"/>
    </xf>
    <xf numFmtId="0" fontId="70" fillId="50" borderId="0" xfId="0" applyFont="1" applyFill="1" applyAlignment="1">
      <alignment horizontal="center" vertical="center" wrapText="1"/>
    </xf>
    <xf numFmtId="0" fontId="80" fillId="50" borderId="0" xfId="0" applyFont="1" applyFill="1" applyAlignment="1">
      <alignment horizontal="center" vertical="center"/>
    </xf>
    <xf numFmtId="164" fontId="66" fillId="27" borderId="24" xfId="0" applyNumberFormat="1" applyFont="1" applyFill="1" applyBorder="1" applyAlignment="1">
      <alignment horizontal="center" vertical="center"/>
    </xf>
    <xf numFmtId="0" fontId="69" fillId="48" borderId="23" xfId="0" applyFont="1" applyFill="1" applyBorder="1" applyAlignment="1">
      <alignment horizontal="center"/>
    </xf>
    <xf numFmtId="0" fontId="70" fillId="48" borderId="77" xfId="0" applyFont="1" applyFill="1" applyBorder="1" applyAlignment="1">
      <alignment horizontal="center" vertical="center" wrapText="1"/>
    </xf>
    <xf numFmtId="0" fontId="67" fillId="48" borderId="23" xfId="0" applyFont="1" applyFill="1" applyBorder="1" applyAlignment="1">
      <alignment vertical="center" wrapText="1"/>
    </xf>
    <xf numFmtId="0" fontId="70" fillId="48" borderId="78" xfId="0" applyFont="1" applyFill="1" applyBorder="1" applyAlignment="1">
      <alignment horizontal="center" vertical="center" wrapText="1"/>
    </xf>
    <xf numFmtId="0" fontId="80" fillId="50" borderId="41" xfId="0" applyFont="1" applyFill="1" applyBorder="1" applyAlignment="1">
      <alignment horizontal="center" vertical="center"/>
    </xf>
    <xf numFmtId="0" fontId="70" fillId="48" borderId="42" xfId="0" applyFont="1" applyFill="1" applyBorder="1" applyAlignment="1">
      <alignment horizontal="center" vertical="center" wrapText="1"/>
    </xf>
    <xf numFmtId="164" fontId="66" fillId="27" borderId="78" xfId="0" applyNumberFormat="1" applyFont="1" applyFill="1" applyBorder="1" applyAlignment="1">
      <alignment horizontal="center"/>
    </xf>
    <xf numFmtId="164" fontId="76" fillId="49" borderId="79" xfId="0" applyNumberFormat="1" applyFont="1" applyFill="1" applyBorder="1" applyAlignment="1">
      <alignment horizontal="center"/>
    </xf>
    <xf numFmtId="164" fontId="66" fillId="27" borderId="80" xfId="0" applyNumberFormat="1" applyFont="1" applyFill="1" applyBorder="1" applyAlignment="1">
      <alignment horizontal="center"/>
    </xf>
    <xf numFmtId="164" fontId="76" fillId="49" borderId="38" xfId="0" applyNumberFormat="1" applyFont="1" applyFill="1" applyBorder="1" applyAlignment="1">
      <alignment horizontal="center"/>
    </xf>
    <xf numFmtId="0" fontId="67" fillId="49" borderId="37" xfId="0" applyFont="1" applyFill="1" applyBorder="1"/>
    <xf numFmtId="0" fontId="80" fillId="50" borderId="35" xfId="0" applyFont="1" applyFill="1" applyBorder="1" applyAlignment="1">
      <alignment vertical="center" wrapText="1"/>
    </xf>
    <xf numFmtId="0" fontId="80" fillId="50" borderId="48" xfId="0" applyFont="1" applyFill="1" applyBorder="1" applyAlignment="1">
      <alignment vertical="center" wrapText="1"/>
    </xf>
    <xf numFmtId="179" fontId="66" fillId="49" borderId="37" xfId="0" applyNumberFormat="1" applyFont="1" applyFill="1" applyBorder="1" applyAlignment="1">
      <alignment horizontal="center"/>
    </xf>
    <xf numFmtId="0" fontId="76" fillId="49" borderId="45" xfId="0" applyFont="1" applyFill="1" applyBorder="1" applyAlignment="1">
      <alignment horizontal="left"/>
    </xf>
    <xf numFmtId="0" fontId="103" fillId="48" borderId="82" xfId="0" applyFont="1" applyFill="1" applyBorder="1" applyAlignment="1">
      <alignment wrapText="1"/>
    </xf>
    <xf numFmtId="0" fontId="69" fillId="48" borderId="23" xfId="0" applyFont="1" applyFill="1" applyBorder="1"/>
    <xf numFmtId="1" fontId="66" fillId="0" borderId="23" xfId="0" applyNumberFormat="1" applyFont="1" applyBorder="1" applyAlignment="1">
      <alignment horizontal="center"/>
    </xf>
    <xf numFmtId="1" fontId="66" fillId="0" borderId="0" xfId="0" applyNumberFormat="1" applyFont="1" applyAlignment="1">
      <alignment horizontal="center"/>
    </xf>
    <xf numFmtId="1" fontId="66" fillId="0" borderId="24" xfId="0" applyNumberFormat="1" applyFont="1" applyBorder="1" applyAlignment="1">
      <alignment horizontal="center"/>
    </xf>
    <xf numFmtId="1" fontId="68" fillId="0" borderId="23" xfId="319" applyNumberFormat="1" applyFont="1" applyBorder="1" applyAlignment="1">
      <alignment horizontal="center"/>
    </xf>
    <xf numFmtId="1" fontId="68" fillId="0" borderId="24" xfId="319" applyNumberFormat="1" applyFont="1" applyBorder="1" applyAlignment="1">
      <alignment horizontal="center"/>
    </xf>
    <xf numFmtId="0" fontId="1" fillId="47" borderId="57" xfId="0" applyFont="1" applyFill="1" applyBorder="1"/>
    <xf numFmtId="1" fontId="66" fillId="27" borderId="29" xfId="0" applyNumberFormat="1" applyFont="1" applyFill="1" applyBorder="1" applyAlignment="1">
      <alignment horizontal="center"/>
    </xf>
    <xf numFmtId="1" fontId="66" fillId="0" borderId="29" xfId="0" applyNumberFormat="1" applyFont="1" applyBorder="1" applyAlignment="1">
      <alignment horizontal="center"/>
    </xf>
    <xf numFmtId="1" fontId="66" fillId="0" borderId="85" xfId="0" applyNumberFormat="1" applyFont="1" applyBorder="1" applyAlignment="1">
      <alignment horizontal="center"/>
    </xf>
    <xf numFmtId="0" fontId="66" fillId="49" borderId="86" xfId="0" applyFont="1" applyFill="1" applyBorder="1"/>
    <xf numFmtId="164" fontId="66" fillId="49" borderId="87" xfId="0" applyNumberFormat="1" applyFont="1" applyFill="1" applyBorder="1" applyAlignment="1">
      <alignment horizontal="center"/>
    </xf>
    <xf numFmtId="1" fontId="66" fillId="0" borderId="37" xfId="0" applyNumberFormat="1" applyFont="1" applyBorder="1" applyAlignment="1">
      <alignment horizontal="center"/>
    </xf>
    <xf numFmtId="1" fontId="66" fillId="0" borderId="36" xfId="0" applyNumberFormat="1" applyFont="1" applyBorder="1" applyAlignment="1">
      <alignment horizontal="center"/>
    </xf>
    <xf numFmtId="164" fontId="66" fillId="49" borderId="23" xfId="0" applyNumberFormat="1" applyFont="1" applyFill="1" applyBorder="1" applyAlignment="1">
      <alignment horizontal="center"/>
    </xf>
    <xf numFmtId="0" fontId="66" fillId="49" borderId="0" xfId="0" applyFont="1" applyFill="1"/>
    <xf numFmtId="164" fontId="66" fillId="49" borderId="36" xfId="0" applyNumberFormat="1" applyFont="1" applyFill="1" applyBorder="1" applyAlignment="1">
      <alignment horizontal="center"/>
    </xf>
    <xf numFmtId="0" fontId="66" fillId="27" borderId="64" xfId="0" applyFont="1" applyFill="1" applyBorder="1"/>
    <xf numFmtId="1" fontId="66" fillId="27" borderId="85" xfId="0" applyNumberFormat="1" applyFont="1" applyFill="1" applyBorder="1" applyAlignment="1">
      <alignment horizontal="center"/>
    </xf>
    <xf numFmtId="1" fontId="66" fillId="27" borderId="23" xfId="0" applyNumberFormat="1" applyFont="1" applyFill="1" applyBorder="1" applyAlignment="1">
      <alignment horizontal="center"/>
    </xf>
    <xf numFmtId="1" fontId="66" fillId="27" borderId="24" xfId="0" applyNumberFormat="1" applyFont="1" applyFill="1" applyBorder="1" applyAlignment="1">
      <alignment horizontal="center"/>
    </xf>
    <xf numFmtId="1" fontId="66" fillId="27" borderId="36" xfId="0" applyNumberFormat="1" applyFont="1" applyFill="1" applyBorder="1" applyAlignment="1">
      <alignment horizontal="center"/>
    </xf>
    <xf numFmtId="164" fontId="66" fillId="0" borderId="57" xfId="0" applyNumberFormat="1" applyFont="1" applyBorder="1" applyAlignment="1">
      <alignment horizontal="center"/>
    </xf>
    <xf numFmtId="164" fontId="64" fillId="27" borderId="0" xfId="0" applyNumberFormat="1" applyFont="1" applyFill="1" applyAlignment="1">
      <alignment horizontal="center"/>
    </xf>
    <xf numFmtId="0" fontId="1" fillId="49" borderId="24" xfId="0" applyFont="1" applyFill="1" applyBorder="1"/>
    <xf numFmtId="0" fontId="1" fillId="27" borderId="87" xfId="0" applyFont="1" applyFill="1" applyBorder="1"/>
    <xf numFmtId="0" fontId="64" fillId="27" borderId="37" xfId="0" applyFont="1" applyFill="1" applyBorder="1"/>
    <xf numFmtId="0" fontId="1" fillId="27" borderId="24" xfId="0" applyFont="1" applyFill="1" applyBorder="1"/>
    <xf numFmtId="0" fontId="1" fillId="49" borderId="23" xfId="0" applyFont="1" applyFill="1" applyBorder="1" applyAlignment="1">
      <alignment vertical="top" wrapText="1"/>
    </xf>
    <xf numFmtId="0" fontId="77" fillId="49" borderId="24" xfId="0" applyFont="1" applyFill="1" applyBorder="1" applyAlignment="1">
      <alignment vertical="top" wrapText="1"/>
    </xf>
    <xf numFmtId="0" fontId="64" fillId="27" borderId="30" xfId="0" applyFont="1" applyFill="1" applyBorder="1" applyAlignment="1">
      <alignment vertical="top"/>
    </xf>
    <xf numFmtId="0" fontId="64" fillId="27" borderId="28" xfId="0" applyFont="1" applyFill="1" applyBorder="1" applyAlignment="1">
      <alignment vertical="center"/>
    </xf>
    <xf numFmtId="0" fontId="1" fillId="27" borderId="28" xfId="0" applyFont="1" applyFill="1" applyBorder="1"/>
    <xf numFmtId="0" fontId="1" fillId="27" borderId="31" xfId="0" applyFont="1" applyFill="1" applyBorder="1"/>
    <xf numFmtId="0" fontId="1" fillId="49" borderId="30" xfId="0" applyFont="1" applyFill="1" applyBorder="1" applyAlignment="1">
      <alignment vertical="top" wrapText="1"/>
    </xf>
    <xf numFmtId="0" fontId="77" fillId="49" borderId="31" xfId="0" applyFont="1" applyFill="1" applyBorder="1" applyAlignment="1">
      <alignment vertical="top" wrapText="1"/>
    </xf>
    <xf numFmtId="0" fontId="0" fillId="50" borderId="46" xfId="0" applyFill="1" applyBorder="1"/>
    <xf numFmtId="0" fontId="0" fillId="50" borderId="36" xfId="0" applyFill="1" applyBorder="1"/>
    <xf numFmtId="0" fontId="84" fillId="50" borderId="41" xfId="0" applyFont="1" applyFill="1" applyBorder="1" applyAlignment="1">
      <alignment horizontal="center" vertical="center"/>
    </xf>
    <xf numFmtId="0" fontId="84" fillId="50" borderId="42" xfId="0" applyFont="1" applyFill="1" applyBorder="1" applyAlignment="1">
      <alignment horizontal="center" vertical="center"/>
    </xf>
    <xf numFmtId="2" fontId="70" fillId="48" borderId="35" xfId="127" applyNumberFormat="1" applyFont="1" applyFill="1" applyBorder="1" applyAlignment="1">
      <alignment horizontal="center" vertical="center"/>
    </xf>
    <xf numFmtId="0" fontId="64" fillId="49" borderId="23" xfId="0" applyFont="1" applyFill="1" applyBorder="1"/>
    <xf numFmtId="0" fontId="64" fillId="49" borderId="0" xfId="0" applyFont="1" applyFill="1"/>
    <xf numFmtId="0" fontId="64" fillId="49" borderId="37" xfId="0" applyFont="1" applyFill="1" applyBorder="1"/>
    <xf numFmtId="0" fontId="64" fillId="49" borderId="23" xfId="0" applyFont="1" applyFill="1" applyBorder="1" applyProtection="1">
      <protection locked="0"/>
    </xf>
    <xf numFmtId="0" fontId="67" fillId="48" borderId="37" xfId="0" applyFont="1" applyFill="1" applyBorder="1" applyAlignment="1">
      <alignment horizontal="center" vertical="center" wrapText="1"/>
    </xf>
    <xf numFmtId="0" fontId="64" fillId="49" borderId="0" xfId="0" applyFont="1" applyFill="1" applyProtection="1">
      <protection locked="0"/>
    </xf>
    <xf numFmtId="0" fontId="64" fillId="49" borderId="37" xfId="0" applyFont="1" applyFill="1" applyBorder="1" applyProtection="1">
      <protection locked="0"/>
    </xf>
    <xf numFmtId="0" fontId="64" fillId="49" borderId="30" xfId="0" applyFont="1" applyFill="1" applyBorder="1"/>
    <xf numFmtId="0" fontId="64" fillId="49" borderId="28" xfId="0" applyFont="1" applyFill="1" applyBorder="1"/>
    <xf numFmtId="0" fontId="64" fillId="49" borderId="68" xfId="0" applyFont="1" applyFill="1" applyBorder="1"/>
    <xf numFmtId="0" fontId="64" fillId="49" borderId="24" xfId="0" applyFont="1" applyFill="1" applyBorder="1"/>
    <xf numFmtId="0" fontId="64" fillId="49" borderId="24" xfId="0" applyFont="1" applyFill="1" applyBorder="1" applyProtection="1">
      <protection locked="0"/>
    </xf>
    <xf numFmtId="0" fontId="64" fillId="49" borderId="31" xfId="0" applyFont="1" applyFill="1" applyBorder="1"/>
    <xf numFmtId="0" fontId="64" fillId="49" borderId="50" xfId="0" applyFont="1" applyFill="1" applyBorder="1" applyProtection="1">
      <protection locked="0"/>
    </xf>
    <xf numFmtId="0" fontId="64" fillId="49" borderId="40" xfId="0" applyFont="1" applyFill="1" applyBorder="1" applyProtection="1">
      <protection locked="0"/>
    </xf>
    <xf numFmtId="0" fontId="64" fillId="49" borderId="66" xfId="0" applyFont="1" applyFill="1" applyBorder="1" applyProtection="1">
      <protection locked="0"/>
    </xf>
    <xf numFmtId="1" fontId="66" fillId="0" borderId="56" xfId="0" applyNumberFormat="1" applyFont="1" applyBorder="1" applyAlignment="1">
      <alignment horizontal="center"/>
    </xf>
    <xf numFmtId="1" fontId="66" fillId="0" borderId="42" xfId="0" applyNumberFormat="1" applyFont="1" applyBorder="1" applyAlignment="1">
      <alignment horizontal="center"/>
    </xf>
    <xf numFmtId="164" fontId="38" fillId="47" borderId="23" xfId="0" applyNumberFormat="1" applyFont="1" applyFill="1" applyBorder="1"/>
    <xf numFmtId="0" fontId="64" fillId="0" borderId="0" xfId="0" applyFont="1" applyAlignment="1">
      <alignment wrapText="1"/>
    </xf>
    <xf numFmtId="0" fontId="67" fillId="0" borderId="0" xfId="0" applyFont="1"/>
    <xf numFmtId="0" fontId="90" fillId="0" borderId="0" xfId="0" applyFont="1"/>
    <xf numFmtId="0" fontId="72" fillId="48" borderId="74" xfId="0" applyFont="1" applyFill="1" applyBorder="1" applyAlignment="1">
      <alignment horizontal="center" vertical="center"/>
    </xf>
    <xf numFmtId="2" fontId="70" fillId="48" borderId="48" xfId="127" applyNumberFormat="1" applyFont="1" applyFill="1" applyBorder="1" applyAlignment="1">
      <alignment horizontal="center" vertical="center"/>
    </xf>
    <xf numFmtId="0" fontId="66" fillId="49" borderId="26" xfId="0" applyFont="1" applyFill="1" applyBorder="1" applyAlignment="1">
      <alignment horizontal="left"/>
    </xf>
    <xf numFmtId="0" fontId="81" fillId="49" borderId="53" xfId="0" applyFont="1" applyFill="1" applyBorder="1"/>
    <xf numFmtId="0" fontId="81" fillId="49" borderId="49" xfId="0" applyFont="1" applyFill="1" applyBorder="1"/>
    <xf numFmtId="0" fontId="79" fillId="50" borderId="52" xfId="0" applyFont="1" applyFill="1" applyBorder="1" applyAlignment="1">
      <alignment horizontal="center"/>
    </xf>
    <xf numFmtId="0" fontId="64" fillId="49" borderId="30" xfId="0" applyFont="1" applyFill="1" applyBorder="1" applyProtection="1">
      <protection locked="0"/>
    </xf>
    <xf numFmtId="0" fontId="64" fillId="49" borderId="28" xfId="0" applyFont="1" applyFill="1" applyBorder="1" applyProtection="1">
      <protection locked="0"/>
    </xf>
    <xf numFmtId="0" fontId="64" fillId="49" borderId="31" xfId="0" applyFont="1" applyFill="1" applyBorder="1" applyProtection="1">
      <protection locked="0"/>
    </xf>
    <xf numFmtId="0" fontId="64" fillId="49" borderId="60" xfId="0" applyFont="1" applyFill="1" applyBorder="1" applyProtection="1">
      <protection locked="0"/>
    </xf>
    <xf numFmtId="0" fontId="64" fillId="49" borderId="35" xfId="0" applyFont="1" applyFill="1" applyBorder="1" applyProtection="1">
      <protection locked="0"/>
    </xf>
    <xf numFmtId="0" fontId="64" fillId="49" borderId="48" xfId="0" applyFont="1" applyFill="1" applyBorder="1" applyProtection="1">
      <protection locked="0"/>
    </xf>
    <xf numFmtId="0" fontId="39" fillId="47" borderId="36" xfId="0" applyFont="1" applyFill="1" applyBorder="1"/>
    <xf numFmtId="0" fontId="64" fillId="49" borderId="81" xfId="0" applyFont="1" applyFill="1" applyBorder="1" applyProtection="1">
      <protection locked="0"/>
    </xf>
    <xf numFmtId="0" fontId="0" fillId="49" borderId="37" xfId="0" applyFill="1" applyBorder="1"/>
    <xf numFmtId="0" fontId="64" fillId="49" borderId="46" xfId="0" applyFont="1" applyFill="1" applyBorder="1"/>
    <xf numFmtId="0" fontId="64" fillId="49" borderId="35" xfId="0" applyFont="1" applyFill="1" applyBorder="1"/>
    <xf numFmtId="0" fontId="64" fillId="49" borderId="48" xfId="0" applyFont="1" applyFill="1" applyBorder="1"/>
    <xf numFmtId="164" fontId="66" fillId="49" borderId="57" xfId="0" applyNumberFormat="1" applyFont="1" applyFill="1" applyBorder="1" applyAlignment="1">
      <alignment horizontal="center"/>
    </xf>
    <xf numFmtId="164" fontId="66" fillId="53" borderId="48" xfId="0" applyNumberFormat="1" applyFont="1" applyFill="1" applyBorder="1" applyAlignment="1">
      <alignment horizontal="center"/>
    </xf>
    <xf numFmtId="0" fontId="66" fillId="49" borderId="87" xfId="0" applyFont="1" applyFill="1" applyBorder="1" applyAlignment="1">
      <alignment horizontal="left"/>
    </xf>
    <xf numFmtId="164" fontId="66" fillId="49" borderId="87" xfId="0" applyNumberFormat="1" applyFont="1" applyFill="1" applyBorder="1" applyAlignment="1">
      <alignment horizontal="center" vertical="center"/>
    </xf>
    <xf numFmtId="0" fontId="66" fillId="49" borderId="86" xfId="0" applyFont="1" applyFill="1" applyBorder="1" applyAlignment="1">
      <alignment horizontal="left"/>
    </xf>
    <xf numFmtId="0" fontId="1" fillId="47" borderId="40" xfId="0" applyFont="1" applyFill="1" applyBorder="1"/>
    <xf numFmtId="2" fontId="67" fillId="47" borderId="36" xfId="0" applyNumberFormat="1" applyFont="1" applyFill="1" applyBorder="1" applyAlignment="1">
      <alignment horizontal="center"/>
    </xf>
    <xf numFmtId="1" fontId="66" fillId="49" borderId="36" xfId="0" applyNumberFormat="1" applyFont="1" applyFill="1" applyBorder="1" applyAlignment="1">
      <alignment horizontal="center"/>
    </xf>
    <xf numFmtId="164" fontId="66" fillId="49" borderId="88" xfId="0" applyNumberFormat="1" applyFont="1" applyFill="1" applyBorder="1" applyAlignment="1">
      <alignment horizontal="center"/>
    </xf>
    <xf numFmtId="1" fontId="38" fillId="47" borderId="36" xfId="0" applyNumberFormat="1" applyFont="1" applyFill="1" applyBorder="1"/>
    <xf numFmtId="0" fontId="94" fillId="0" borderId="23" xfId="0" applyFont="1" applyBorder="1" applyAlignment="1">
      <alignment wrapText="1"/>
    </xf>
    <xf numFmtId="0" fontId="69" fillId="0" borderId="23" xfId="0" applyFont="1" applyBorder="1" applyAlignment="1">
      <alignment vertical="center"/>
    </xf>
    <xf numFmtId="178" fontId="1" fillId="47" borderId="37" xfId="198" applyNumberFormat="1" applyFont="1" applyFill="1" applyBorder="1"/>
    <xf numFmtId="0" fontId="38" fillId="47" borderId="37" xfId="0" applyFont="1" applyFill="1" applyBorder="1"/>
    <xf numFmtId="164" fontId="66" fillId="27" borderId="29" xfId="0" applyNumberFormat="1" applyFont="1" applyFill="1" applyBorder="1" applyAlignment="1">
      <alignment horizontal="center"/>
    </xf>
    <xf numFmtId="0" fontId="66" fillId="49" borderId="30" xfId="0" applyFont="1" applyFill="1" applyBorder="1" applyAlignment="1">
      <alignment horizontal="left"/>
    </xf>
    <xf numFmtId="164" fontId="66" fillId="27" borderId="24" xfId="0" applyNumberFormat="1" applyFont="1" applyFill="1" applyBorder="1" applyAlignment="1">
      <alignment horizontal="center"/>
    </xf>
    <xf numFmtId="179" fontId="76" fillId="49" borderId="0" xfId="0" applyNumberFormat="1" applyFont="1" applyFill="1" applyAlignment="1">
      <alignment horizontal="center"/>
    </xf>
    <xf numFmtId="43" fontId="67" fillId="47" borderId="0" xfId="336" applyFont="1" applyFill="1"/>
    <xf numFmtId="1" fontId="67" fillId="47" borderId="0" xfId="0" applyNumberFormat="1" applyFont="1" applyFill="1"/>
    <xf numFmtId="185" fontId="39" fillId="47" borderId="0" xfId="0" applyNumberFormat="1" applyFont="1" applyFill="1"/>
    <xf numFmtId="43" fontId="67" fillId="47" borderId="0" xfId="0" applyNumberFormat="1" applyFont="1" applyFill="1"/>
    <xf numFmtId="186" fontId="67" fillId="47" borderId="0" xfId="336" applyNumberFormat="1" applyFont="1" applyFill="1"/>
    <xf numFmtId="186" fontId="67" fillId="47" borderId="0" xfId="0" applyNumberFormat="1" applyFont="1" applyFill="1"/>
    <xf numFmtId="0" fontId="1" fillId="47" borderId="0" xfId="0" applyFont="1" applyFill="1" applyAlignment="1">
      <alignment horizontal="left" vertical="top" indent="2"/>
    </xf>
    <xf numFmtId="0" fontId="79" fillId="50" borderId="46" xfId="0" applyFont="1" applyFill="1" applyBorder="1" applyAlignment="1">
      <alignment horizontal="center" vertical="center" wrapText="1"/>
    </xf>
    <xf numFmtId="0" fontId="79" fillId="50" borderId="36" xfId="0" applyFont="1" applyFill="1" applyBorder="1" applyAlignment="1">
      <alignment vertical="center" wrapText="1"/>
    </xf>
    <xf numFmtId="0" fontId="80" fillId="50" borderId="37" xfId="0" applyFont="1" applyFill="1" applyBorder="1" applyAlignment="1">
      <alignment horizontal="center" vertical="center" wrapText="1"/>
    </xf>
    <xf numFmtId="0" fontId="66" fillId="49" borderId="36" xfId="0" applyFont="1" applyFill="1" applyBorder="1" applyAlignment="1">
      <alignment horizontal="left"/>
    </xf>
    <xf numFmtId="0" fontId="76" fillId="49" borderId="45" xfId="0" applyFont="1" applyFill="1" applyBorder="1"/>
    <xf numFmtId="0" fontId="77" fillId="49" borderId="41" xfId="0" applyFont="1" applyFill="1" applyBorder="1"/>
    <xf numFmtId="0" fontId="77" fillId="49" borderId="42" xfId="0" applyFont="1" applyFill="1" applyBorder="1"/>
    <xf numFmtId="0" fontId="76" fillId="0" borderId="53" xfId="0" applyFont="1" applyBorder="1"/>
    <xf numFmtId="0" fontId="77" fillId="49" borderId="49" xfId="0" applyFont="1" applyFill="1" applyBorder="1"/>
    <xf numFmtId="164" fontId="66" fillId="53" borderId="49" xfId="0" applyNumberFormat="1" applyFont="1" applyFill="1" applyBorder="1" applyAlignment="1">
      <alignment horizontal="center"/>
    </xf>
    <xf numFmtId="2" fontId="0" fillId="0" borderId="0" xfId="0" applyNumberFormat="1"/>
    <xf numFmtId="0" fontId="81" fillId="0" borderId="36" xfId="0" applyFont="1" applyBorder="1" applyAlignment="1">
      <alignment vertical="top" wrapText="1"/>
    </xf>
    <xf numFmtId="0" fontId="81" fillId="0" borderId="0" xfId="0" applyFont="1" applyAlignment="1">
      <alignment vertical="top" wrapText="1"/>
    </xf>
    <xf numFmtId="179" fontId="0" fillId="49" borderId="0" xfId="0" applyNumberFormat="1" applyFill="1"/>
    <xf numFmtId="0" fontId="64" fillId="27" borderId="23" xfId="0" applyFont="1" applyFill="1" applyBorder="1" applyAlignment="1">
      <alignment horizontal="left"/>
    </xf>
    <xf numFmtId="0" fontId="64" fillId="27" borderId="24" xfId="0" applyFont="1" applyFill="1" applyBorder="1" applyAlignment="1">
      <alignment horizontal="left"/>
    </xf>
    <xf numFmtId="0" fontId="67" fillId="48" borderId="23" xfId="0" applyFont="1" applyFill="1" applyBorder="1" applyAlignment="1">
      <alignment horizontal="center" vertical="center" wrapText="1"/>
    </xf>
    <xf numFmtId="0" fontId="67" fillId="48" borderId="24" xfId="0" applyFont="1" applyFill="1" applyBorder="1" applyAlignment="1">
      <alignment horizontal="center" vertical="center" wrapText="1"/>
    </xf>
    <xf numFmtId="0" fontId="67" fillId="48" borderId="24" xfId="318" applyFont="1" applyFill="1" applyBorder="1" applyAlignment="1">
      <alignment horizontal="center" vertical="center" wrapText="1"/>
    </xf>
    <xf numFmtId="0" fontId="67" fillId="48" borderId="23" xfId="0" applyFont="1" applyFill="1" applyBorder="1" applyAlignment="1">
      <alignment vertical="center"/>
    </xf>
    <xf numFmtId="0" fontId="93" fillId="48" borderId="23" xfId="0" applyFont="1" applyFill="1" applyBorder="1" applyAlignment="1">
      <alignment wrapText="1"/>
    </xf>
    <xf numFmtId="0" fontId="67" fillId="48" borderId="25" xfId="0" applyFont="1" applyFill="1" applyBorder="1" applyAlignment="1">
      <alignment wrapText="1"/>
    </xf>
    <xf numFmtId="0" fontId="107" fillId="47" borderId="0" xfId="0" applyFont="1" applyFill="1"/>
    <xf numFmtId="0" fontId="37" fillId="0" borderId="23" xfId="0" applyFont="1" applyBorder="1"/>
    <xf numFmtId="0" fontId="64" fillId="49" borderId="28" xfId="0" applyFont="1" applyFill="1" applyBorder="1" applyAlignment="1">
      <alignment horizontal="left" wrapText="1"/>
    </xf>
    <xf numFmtId="164" fontId="66" fillId="49" borderId="89" xfId="0" applyNumberFormat="1" applyFont="1" applyFill="1" applyBorder="1" applyAlignment="1">
      <alignment horizontal="center"/>
    </xf>
    <xf numFmtId="164" fontId="66" fillId="49" borderId="90" xfId="0" applyNumberFormat="1" applyFont="1" applyFill="1" applyBorder="1" applyAlignment="1">
      <alignment horizontal="center"/>
    </xf>
    <xf numFmtId="164" fontId="66" fillId="49" borderId="91" xfId="0" applyNumberFormat="1" applyFont="1" applyFill="1" applyBorder="1" applyAlignment="1">
      <alignment horizontal="center"/>
    </xf>
    <xf numFmtId="164" fontId="68" fillId="27" borderId="89" xfId="0" applyNumberFormat="1" applyFont="1" applyFill="1" applyBorder="1" applyAlignment="1">
      <alignment horizontal="center"/>
    </xf>
    <xf numFmtId="164" fontId="68" fillId="49" borderId="89" xfId="0" applyNumberFormat="1" applyFont="1" applyFill="1" applyBorder="1" applyAlignment="1">
      <alignment horizontal="center"/>
    </xf>
    <xf numFmtId="0" fontId="66" fillId="49" borderId="30" xfId="0" applyFont="1" applyFill="1" applyBorder="1"/>
    <xf numFmtId="164" fontId="66" fillId="49" borderId="28" xfId="0" applyNumberFormat="1" applyFont="1" applyFill="1" applyBorder="1" applyAlignment="1">
      <alignment horizontal="center"/>
    </xf>
    <xf numFmtId="164" fontId="68" fillId="49" borderId="28" xfId="0" applyNumberFormat="1" applyFont="1" applyFill="1" applyBorder="1" applyAlignment="1">
      <alignment horizontal="center"/>
    </xf>
    <xf numFmtId="164" fontId="66" fillId="49" borderId="31" xfId="0" applyNumberFormat="1" applyFont="1" applyFill="1" applyBorder="1" applyAlignment="1">
      <alignment horizontal="center"/>
    </xf>
    <xf numFmtId="0" fontId="81" fillId="49" borderId="46" xfId="0" applyFont="1" applyFill="1" applyBorder="1"/>
    <xf numFmtId="0" fontId="81" fillId="49" borderId="48" xfId="0" applyFont="1" applyFill="1" applyBorder="1"/>
    <xf numFmtId="0" fontId="77" fillId="49" borderId="35" xfId="0" applyFont="1" applyFill="1" applyBorder="1"/>
    <xf numFmtId="0" fontId="81" fillId="49" borderId="35" xfId="0" applyFont="1" applyFill="1" applyBorder="1"/>
    <xf numFmtId="0" fontId="66" fillId="49" borderId="64" xfId="0" applyFont="1" applyFill="1" applyBorder="1" applyAlignment="1">
      <alignment horizontal="left"/>
    </xf>
    <xf numFmtId="164" fontId="66" fillId="0" borderId="29" xfId="0" applyNumberFormat="1" applyFont="1" applyBorder="1" applyAlignment="1">
      <alignment horizontal="center" wrapText="1"/>
    </xf>
    <xf numFmtId="164" fontId="68" fillId="0" borderId="29" xfId="0" applyNumberFormat="1" applyFont="1" applyBorder="1" applyAlignment="1">
      <alignment horizontal="center" wrapText="1"/>
    </xf>
    <xf numFmtId="164" fontId="76" fillId="0" borderId="65" xfId="0" applyNumberFormat="1" applyFont="1" applyBorder="1" applyAlignment="1">
      <alignment horizontal="center" vertical="center"/>
    </xf>
    <xf numFmtId="164" fontId="66" fillId="27" borderId="29" xfId="0" applyNumberFormat="1" applyFont="1" applyFill="1" applyBorder="1" applyAlignment="1">
      <alignment horizontal="center" vertical="center"/>
    </xf>
    <xf numFmtId="164" fontId="66" fillId="49" borderId="29" xfId="0" applyNumberFormat="1" applyFont="1" applyFill="1" applyBorder="1" applyAlignment="1">
      <alignment horizontal="center" vertical="center"/>
    </xf>
    <xf numFmtId="164" fontId="66" fillId="0" borderId="65" xfId="0" applyNumberFormat="1" applyFont="1" applyBorder="1" applyAlignment="1">
      <alignment horizontal="center"/>
    </xf>
    <xf numFmtId="164" fontId="66" fillId="0" borderId="29" xfId="0" applyNumberFormat="1" applyFont="1" applyBorder="1" applyAlignment="1">
      <alignment horizontal="center" vertical="center"/>
    </xf>
    <xf numFmtId="0" fontId="64" fillId="0" borderId="27" xfId="0" applyFont="1" applyBorder="1" applyAlignment="1">
      <alignment vertical="center"/>
    </xf>
    <xf numFmtId="0" fontId="64" fillId="0" borderId="22" xfId="0" applyFont="1" applyBorder="1" applyAlignment="1">
      <alignment vertical="center"/>
    </xf>
    <xf numFmtId="0" fontId="64" fillId="0" borderId="55" xfId="0" applyFont="1" applyBorder="1" applyAlignment="1">
      <alignment vertical="center"/>
    </xf>
    <xf numFmtId="0" fontId="70" fillId="48" borderId="41" xfId="0" applyFont="1" applyFill="1" applyBorder="1" applyAlignment="1">
      <alignment horizontal="center" vertical="center" wrapText="1"/>
    </xf>
    <xf numFmtId="164" fontId="66" fillId="27" borderId="85" xfId="0" applyNumberFormat="1" applyFont="1" applyFill="1" applyBorder="1" applyAlignment="1">
      <alignment horizontal="center" vertical="center"/>
    </xf>
    <xf numFmtId="0" fontId="64" fillId="49" borderId="27" xfId="0" applyFont="1" applyFill="1" applyBorder="1" applyProtection="1">
      <protection locked="0"/>
    </xf>
    <xf numFmtId="0" fontId="64" fillId="49" borderId="22" xfId="0" applyFont="1" applyFill="1" applyBorder="1" applyProtection="1">
      <protection locked="0"/>
    </xf>
    <xf numFmtId="0" fontId="64" fillId="49" borderId="25" xfId="0" applyFont="1" applyFill="1" applyBorder="1" applyProtection="1">
      <protection locked="0"/>
    </xf>
    <xf numFmtId="164" fontId="66" fillId="47" borderId="29" xfId="0" applyNumberFormat="1" applyFont="1" applyFill="1" applyBorder="1" applyAlignment="1">
      <alignment horizontal="center"/>
    </xf>
    <xf numFmtId="164" fontId="66" fillId="49" borderId="29" xfId="0" applyNumberFormat="1" applyFont="1" applyFill="1" applyBorder="1" applyAlignment="1">
      <alignment horizontal="center"/>
    </xf>
    <xf numFmtId="2" fontId="66" fillId="47" borderId="29" xfId="0" applyNumberFormat="1" applyFont="1" applyFill="1" applyBorder="1" applyAlignment="1">
      <alignment horizontal="center"/>
    </xf>
    <xf numFmtId="1" fontId="66" fillId="47" borderId="85" xfId="0" applyNumberFormat="1" applyFont="1" applyFill="1" applyBorder="1" applyAlignment="1">
      <alignment horizontal="center"/>
    </xf>
    <xf numFmtId="0" fontId="64" fillId="27" borderId="0" xfId="0" applyFont="1" applyFill="1" applyAlignment="1">
      <alignment horizontal="left"/>
    </xf>
    <xf numFmtId="0" fontId="64" fillId="49" borderId="0" xfId="0" applyFont="1" applyFill="1" applyAlignment="1">
      <alignment horizontal="left" wrapText="1"/>
    </xf>
    <xf numFmtId="164" fontId="76" fillId="49" borderId="29" xfId="0" applyNumberFormat="1" applyFont="1" applyFill="1" applyBorder="1" applyAlignment="1">
      <alignment horizontal="center"/>
    </xf>
    <xf numFmtId="164" fontId="66" fillId="27" borderId="92" xfId="0" applyNumberFormat="1" applyFont="1" applyFill="1" applyBorder="1" applyAlignment="1">
      <alignment horizontal="center"/>
    </xf>
    <xf numFmtId="164" fontId="76" fillId="49" borderId="93" xfId="0" applyNumberFormat="1" applyFont="1" applyFill="1" applyBorder="1" applyAlignment="1">
      <alignment horizontal="center"/>
    </xf>
    <xf numFmtId="2" fontId="64" fillId="49" borderId="22" xfId="0" applyNumberFormat="1" applyFont="1" applyFill="1" applyBorder="1" applyAlignment="1">
      <alignment horizontal="center"/>
    </xf>
    <xf numFmtId="0" fontId="81" fillId="49" borderId="22" xfId="0" applyFont="1" applyFill="1" applyBorder="1"/>
    <xf numFmtId="0" fontId="81" fillId="49" borderId="55" xfId="0" applyFont="1" applyFill="1" applyBorder="1"/>
    <xf numFmtId="0" fontId="64" fillId="49" borderId="0" xfId="0" applyFont="1" applyFill="1" applyAlignment="1" applyProtection="1">
      <alignment horizontal="left" wrapText="1"/>
      <protection locked="0"/>
    </xf>
    <xf numFmtId="0" fontId="67" fillId="49" borderId="28" xfId="0" applyFont="1" applyFill="1" applyBorder="1"/>
    <xf numFmtId="0" fontId="67" fillId="49" borderId="68" xfId="0" applyFont="1" applyFill="1" applyBorder="1"/>
    <xf numFmtId="1" fontId="66" fillId="0" borderId="45" xfId="0" applyNumberFormat="1" applyFont="1" applyBorder="1" applyAlignment="1">
      <alignment horizontal="center"/>
    </xf>
    <xf numFmtId="1" fontId="66" fillId="0" borderId="41" xfId="0" applyNumberFormat="1" applyFont="1" applyBorder="1" applyAlignment="1">
      <alignment horizontal="center"/>
    </xf>
    <xf numFmtId="1" fontId="66" fillId="27" borderId="41" xfId="0" applyNumberFormat="1" applyFont="1" applyFill="1" applyBorder="1" applyAlignment="1">
      <alignment horizontal="center"/>
    </xf>
    <xf numFmtId="1" fontId="66" fillId="0" borderId="94" xfId="0" applyNumberFormat="1" applyFont="1" applyBorder="1" applyAlignment="1">
      <alignment horizontal="center"/>
    </xf>
    <xf numFmtId="1" fontId="66" fillId="27" borderId="64" xfId="0" applyNumberFormat="1" applyFont="1" applyFill="1" applyBorder="1" applyAlignment="1">
      <alignment horizontal="center"/>
    </xf>
    <xf numFmtId="1" fontId="66" fillId="27" borderId="45" xfId="0" applyNumberFormat="1" applyFont="1" applyFill="1" applyBorder="1" applyAlignment="1">
      <alignment horizontal="center"/>
    </xf>
    <xf numFmtId="1" fontId="66" fillId="49" borderId="94" xfId="0" applyNumberFormat="1" applyFont="1" applyFill="1" applyBorder="1" applyAlignment="1">
      <alignment horizontal="center"/>
    </xf>
    <xf numFmtId="0" fontId="64" fillId="27" borderId="27" xfId="0" applyFont="1" applyFill="1" applyBorder="1"/>
    <xf numFmtId="0" fontId="64" fillId="27" borderId="22" xfId="0" applyFont="1" applyFill="1" applyBorder="1"/>
    <xf numFmtId="164" fontId="64" fillId="27" borderId="22" xfId="0" applyNumberFormat="1" applyFont="1" applyFill="1" applyBorder="1" applyAlignment="1">
      <alignment horizontal="center"/>
    </xf>
    <xf numFmtId="0" fontId="1" fillId="49" borderId="22" xfId="0" applyFont="1" applyFill="1" applyBorder="1"/>
    <xf numFmtId="0" fontId="1" fillId="49" borderId="25" xfId="0" applyFont="1" applyFill="1" applyBorder="1"/>
    <xf numFmtId="0" fontId="64" fillId="27" borderId="25" xfId="0" applyFont="1" applyFill="1" applyBorder="1"/>
    <xf numFmtId="0" fontId="64" fillId="27" borderId="24" xfId="0" applyFont="1" applyFill="1" applyBorder="1"/>
    <xf numFmtId="0" fontId="1" fillId="27" borderId="0" xfId="0" applyFont="1" applyFill="1" applyAlignment="1">
      <alignment wrapText="1"/>
    </xf>
    <xf numFmtId="0" fontId="1" fillId="27" borderId="0" xfId="0" applyFont="1" applyFill="1"/>
    <xf numFmtId="0" fontId="64" fillId="49" borderId="27" xfId="0" applyFont="1" applyFill="1" applyBorder="1"/>
    <xf numFmtId="0" fontId="104" fillId="27" borderId="25" xfId="0" applyFont="1" applyFill="1" applyBorder="1"/>
    <xf numFmtId="0" fontId="38" fillId="47" borderId="22" xfId="0" applyFont="1" applyFill="1" applyBorder="1"/>
    <xf numFmtId="0" fontId="38" fillId="47" borderId="55" xfId="0" applyFont="1" applyFill="1" applyBorder="1"/>
    <xf numFmtId="1" fontId="64" fillId="27" borderId="25" xfId="0" applyNumberFormat="1" applyFont="1" applyFill="1" applyBorder="1"/>
    <xf numFmtId="0" fontId="108" fillId="49" borderId="0" xfId="0" applyFont="1" applyFill="1"/>
    <xf numFmtId="164" fontId="68" fillId="53" borderId="37" xfId="0" applyNumberFormat="1" applyFont="1" applyFill="1" applyBorder="1" applyAlignment="1">
      <alignment horizontal="center"/>
    </xf>
    <xf numFmtId="164" fontId="66" fillId="49" borderId="23" xfId="0" applyNumberFormat="1" applyFont="1" applyFill="1" applyBorder="1" applyAlignment="1">
      <alignment horizontal="center" vertical="center"/>
    </xf>
    <xf numFmtId="164" fontId="66" fillId="49" borderId="95" xfId="0" applyNumberFormat="1" applyFont="1" applyFill="1" applyBorder="1" applyAlignment="1">
      <alignment horizontal="center" vertical="center"/>
    </xf>
    <xf numFmtId="3" fontId="66" fillId="49" borderId="29" xfId="0" applyNumberFormat="1" applyFont="1" applyFill="1" applyBorder="1" applyAlignment="1">
      <alignment horizontal="center" vertical="center"/>
    </xf>
    <xf numFmtId="164" fontId="68" fillId="49" borderId="29" xfId="0" applyNumberFormat="1" applyFont="1" applyFill="1" applyBorder="1" applyAlignment="1">
      <alignment horizontal="center" vertical="center"/>
    </xf>
    <xf numFmtId="164" fontId="66" fillId="49" borderId="65" xfId="0" applyNumberFormat="1" applyFont="1" applyFill="1" applyBorder="1" applyAlignment="1">
      <alignment horizontal="center" vertical="center"/>
    </xf>
    <xf numFmtId="164" fontId="66" fillId="49" borderId="86" xfId="0" applyNumberFormat="1" applyFont="1" applyFill="1" applyBorder="1" applyAlignment="1">
      <alignment horizontal="center" vertical="center"/>
    </xf>
    <xf numFmtId="0" fontId="37" fillId="0" borderId="22" xfId="0" applyFont="1" applyBorder="1" applyAlignment="1">
      <alignment vertical="center"/>
    </xf>
    <xf numFmtId="0" fontId="37" fillId="0" borderId="0" xfId="0" applyFont="1"/>
    <xf numFmtId="0" fontId="89" fillId="47" borderId="0" xfId="0" applyFont="1" applyFill="1"/>
    <xf numFmtId="0" fontId="37" fillId="49" borderId="0" xfId="0" applyFont="1" applyFill="1"/>
    <xf numFmtId="0" fontId="37" fillId="49" borderId="0" xfId="0" applyFont="1" applyFill="1" applyAlignment="1">
      <alignment vertical="center"/>
    </xf>
    <xf numFmtId="0" fontId="37" fillId="49" borderId="0" xfId="0" applyFont="1" applyFill="1" applyAlignment="1">
      <alignment horizontal="left" vertical="center"/>
    </xf>
    <xf numFmtId="3" fontId="66" fillId="27" borderId="29" xfId="0" applyNumberFormat="1" applyFont="1" applyFill="1" applyBorder="1" applyAlignment="1">
      <alignment horizontal="center"/>
    </xf>
    <xf numFmtId="4" fontId="66" fillId="49" borderId="65" xfId="0" applyNumberFormat="1" applyFont="1" applyFill="1" applyBorder="1" applyAlignment="1">
      <alignment horizontal="center"/>
    </xf>
    <xf numFmtId="179" fontId="66" fillId="49" borderId="29" xfId="0" applyNumberFormat="1" applyFont="1" applyFill="1" applyBorder="1" applyAlignment="1">
      <alignment horizontal="center"/>
    </xf>
    <xf numFmtId="0" fontId="81" fillId="49" borderId="46" xfId="0" applyFont="1" applyFill="1" applyBorder="1" applyAlignment="1">
      <alignment horizontal="left"/>
    </xf>
    <xf numFmtId="0" fontId="81" fillId="49" borderId="35" xfId="0" applyFont="1" applyFill="1" applyBorder="1" applyAlignment="1">
      <alignment horizontal="left"/>
    </xf>
    <xf numFmtId="164" fontId="64" fillId="27" borderId="35" xfId="0" applyNumberFormat="1" applyFont="1" applyFill="1" applyBorder="1" applyAlignment="1">
      <alignment horizontal="center"/>
    </xf>
    <xf numFmtId="164" fontId="64" fillId="27" borderId="48" xfId="0" applyNumberFormat="1" applyFont="1" applyFill="1" applyBorder="1" applyAlignment="1">
      <alignment horizontal="center"/>
    </xf>
    <xf numFmtId="179" fontId="66" fillId="49" borderId="65" xfId="0" applyNumberFormat="1" applyFont="1" applyFill="1" applyBorder="1" applyAlignment="1">
      <alignment horizontal="center"/>
    </xf>
    <xf numFmtId="164" fontId="68" fillId="27" borderId="37" xfId="0" applyNumberFormat="1" applyFont="1" applyFill="1" applyBorder="1" applyAlignment="1">
      <alignment horizontal="center"/>
    </xf>
    <xf numFmtId="0" fontId="66" fillId="27" borderId="45" xfId="0" applyFont="1" applyFill="1" applyBorder="1" applyAlignment="1">
      <alignment horizontal="left"/>
    </xf>
    <xf numFmtId="164" fontId="66" fillId="53" borderId="42" xfId="0" applyNumberFormat="1" applyFont="1" applyFill="1" applyBorder="1" applyAlignment="1">
      <alignment horizontal="center"/>
    </xf>
    <xf numFmtId="178" fontId="0" fillId="0" borderId="0" xfId="317" applyNumberFormat="1" applyFont="1"/>
    <xf numFmtId="0" fontId="64" fillId="0" borderId="23" xfId="0" applyFont="1" applyBorder="1" applyAlignment="1">
      <alignment horizontal="left" vertical="center"/>
    </xf>
    <xf numFmtId="0" fontId="64" fillId="0" borderId="0" xfId="0" applyFont="1" applyAlignment="1">
      <alignment horizontal="left" vertical="center" wrapText="1"/>
    </xf>
    <xf numFmtId="0" fontId="64" fillId="0" borderId="37" xfId="0" applyFont="1" applyBorder="1" applyAlignment="1">
      <alignment horizontal="left" vertical="center" wrapText="1"/>
    </xf>
    <xf numFmtId="164" fontId="76" fillId="27" borderId="0" xfId="0" applyNumberFormat="1" applyFont="1" applyFill="1" applyAlignment="1">
      <alignment horizontal="center"/>
    </xf>
    <xf numFmtId="164" fontId="76" fillId="27" borderId="37" xfId="0" applyNumberFormat="1" applyFont="1" applyFill="1" applyBorder="1" applyAlignment="1">
      <alignment horizontal="center"/>
    </xf>
    <xf numFmtId="164" fontId="76" fillId="49" borderId="41" xfId="0" applyNumberFormat="1" applyFont="1" applyFill="1" applyBorder="1" applyAlignment="1">
      <alignment horizontal="center"/>
    </xf>
    <xf numFmtId="164" fontId="76" fillId="49" borderId="42" xfId="0" applyNumberFormat="1" applyFont="1" applyFill="1" applyBorder="1" applyAlignment="1">
      <alignment horizontal="center"/>
    </xf>
    <xf numFmtId="164" fontId="76" fillId="49" borderId="37" xfId="0" applyNumberFormat="1" applyFont="1" applyFill="1" applyBorder="1" applyAlignment="1">
      <alignment horizontal="center"/>
    </xf>
    <xf numFmtId="164" fontId="76" fillId="49" borderId="40" xfId="0" applyNumberFormat="1" applyFont="1" applyFill="1" applyBorder="1" applyAlignment="1">
      <alignment horizontal="center"/>
    </xf>
    <xf numFmtId="164" fontId="76" fillId="49" borderId="49" xfId="0" applyNumberFormat="1" applyFont="1" applyFill="1" applyBorder="1" applyAlignment="1">
      <alignment horizontal="center"/>
    </xf>
    <xf numFmtId="0" fontId="67" fillId="0" borderId="57" xfId="0" applyFont="1" applyBorder="1" applyAlignment="1">
      <alignment horizontal="center" vertical="center" wrapText="1"/>
    </xf>
    <xf numFmtId="0" fontId="77" fillId="0" borderId="0" xfId="0" applyFont="1"/>
    <xf numFmtId="0" fontId="109" fillId="49" borderId="0" xfId="0" applyFont="1" applyFill="1"/>
    <xf numFmtId="0" fontId="110" fillId="0" borderId="0" xfId="0" applyFont="1"/>
    <xf numFmtId="185" fontId="77" fillId="49" borderId="0" xfId="0" applyNumberFormat="1" applyFont="1" applyFill="1"/>
    <xf numFmtId="179" fontId="66" fillId="49" borderId="29" xfId="0" applyNumberFormat="1" applyFont="1" applyFill="1" applyBorder="1" applyAlignment="1">
      <alignment horizontal="center" vertical="center"/>
    </xf>
    <xf numFmtId="2" fontId="68" fillId="49" borderId="37" xfId="127" applyNumberFormat="1" applyFont="1" applyFill="1" applyBorder="1" applyAlignment="1">
      <alignment vertical="center"/>
    </xf>
    <xf numFmtId="0" fontId="66" fillId="49" borderId="44" xfId="0" applyFont="1" applyFill="1" applyBorder="1" applyAlignment="1">
      <alignment horizontal="left"/>
    </xf>
    <xf numFmtId="0" fontId="111" fillId="47" borderId="73" xfId="80" applyFont="1" applyFill="1" applyBorder="1" applyAlignment="1" applyProtection="1">
      <alignment horizontal="left" vertical="top" indent="2"/>
    </xf>
    <xf numFmtId="2" fontId="76" fillId="49" borderId="37" xfId="127" applyNumberFormat="1" applyFont="1" applyFill="1" applyBorder="1" applyAlignment="1">
      <alignment horizontal="right" vertical="top" wrapText="1" indent="2"/>
    </xf>
    <xf numFmtId="0" fontId="107" fillId="0" borderId="40" xfId="0" applyFont="1" applyBorder="1"/>
    <xf numFmtId="187" fontId="90" fillId="47" borderId="22" xfId="0" applyNumberFormat="1" applyFont="1" applyFill="1" applyBorder="1"/>
    <xf numFmtId="165" fontId="108" fillId="49" borderId="0" xfId="0" applyNumberFormat="1" applyFont="1" applyFill="1"/>
    <xf numFmtId="180" fontId="107" fillId="47" borderId="40" xfId="0" applyNumberFormat="1" applyFont="1" applyFill="1" applyBorder="1"/>
    <xf numFmtId="165" fontId="77" fillId="49" borderId="0" xfId="0" applyNumberFormat="1" applyFont="1" applyFill="1"/>
    <xf numFmtId="2" fontId="70" fillId="48" borderId="46" xfId="127" applyNumberFormat="1" applyFont="1" applyFill="1" applyBorder="1" applyAlignment="1">
      <alignment horizontal="center" vertical="center"/>
    </xf>
    <xf numFmtId="2" fontId="101" fillId="49" borderId="36" xfId="127" applyNumberFormat="1" applyFont="1" applyFill="1" applyBorder="1"/>
    <xf numFmtId="2" fontId="68" fillId="49" borderId="0" xfId="127" applyNumberFormat="1" applyFont="1" applyFill="1" applyAlignment="1">
      <alignment vertical="center"/>
    </xf>
    <xf numFmtId="17" fontId="68" fillId="49" borderId="36" xfId="127" quotePrefix="1" applyNumberFormat="1" applyFont="1" applyFill="1" applyBorder="1" applyAlignment="1">
      <alignment horizontal="left" wrapText="1"/>
    </xf>
    <xf numFmtId="17" fontId="68" fillId="49" borderId="44" xfId="127" quotePrefix="1" applyNumberFormat="1" applyFont="1" applyFill="1" applyBorder="1" applyAlignment="1">
      <alignment horizontal="left" wrapText="1"/>
    </xf>
    <xf numFmtId="17" fontId="101" fillId="49" borderId="36" xfId="127" applyNumberFormat="1" applyFont="1" applyFill="1" applyBorder="1" applyAlignment="1">
      <alignment horizontal="left" wrapText="1"/>
    </xf>
    <xf numFmtId="2" fontId="68" fillId="49" borderId="0" xfId="127" applyNumberFormat="1" applyFont="1" applyFill="1" applyAlignment="1">
      <alignment horizontal="right" vertical="top" wrapText="1" indent="2"/>
    </xf>
    <xf numFmtId="2" fontId="76" fillId="49" borderId="0" xfId="127" applyNumberFormat="1" applyFont="1" applyFill="1" applyAlignment="1">
      <alignment horizontal="right" vertical="top" wrapText="1" indent="2"/>
    </xf>
    <xf numFmtId="164" fontId="66" fillId="47" borderId="89" xfId="0" applyNumberFormat="1" applyFont="1" applyFill="1" applyBorder="1" applyAlignment="1">
      <alignment horizontal="center"/>
    </xf>
    <xf numFmtId="164" fontId="66" fillId="47" borderId="28" xfId="0" applyNumberFormat="1" applyFont="1" applyFill="1" applyBorder="1" applyAlignment="1">
      <alignment horizontal="center"/>
    </xf>
    <xf numFmtId="2" fontId="66" fillId="0" borderId="0" xfId="0" applyNumberFormat="1" applyFont="1" applyAlignment="1">
      <alignment horizontal="center"/>
    </xf>
    <xf numFmtId="0" fontId="64" fillId="0" borderId="0" xfId="0" applyFont="1" applyAlignment="1">
      <alignment horizontal="left" vertical="center"/>
    </xf>
    <xf numFmtId="0" fontId="64" fillId="0" borderId="37" xfId="0" applyFont="1" applyBorder="1" applyAlignment="1">
      <alignment horizontal="left" vertical="center"/>
    </xf>
    <xf numFmtId="0" fontId="114" fillId="47" borderId="0" xfId="0" applyFont="1" applyFill="1"/>
    <xf numFmtId="164" fontId="115" fillId="49" borderId="38" xfId="0" applyNumberFormat="1" applyFont="1" applyFill="1" applyBorder="1" applyAlignment="1">
      <alignment horizontal="center"/>
    </xf>
    <xf numFmtId="164" fontId="115" fillId="49" borderId="37" xfId="0" applyNumberFormat="1" applyFont="1" applyFill="1" applyBorder="1" applyAlignment="1">
      <alignment horizontal="center"/>
    </xf>
    <xf numFmtId="164" fontId="115" fillId="49" borderId="39" xfId="0" applyNumberFormat="1" applyFont="1" applyFill="1" applyBorder="1" applyAlignment="1">
      <alignment horizontal="center"/>
    </xf>
    <xf numFmtId="164" fontId="115" fillId="49" borderId="49" xfId="0" applyNumberFormat="1" applyFont="1" applyFill="1" applyBorder="1" applyAlignment="1">
      <alignment horizontal="center"/>
    </xf>
    <xf numFmtId="0" fontId="66" fillId="27" borderId="30" xfId="0" applyFont="1" applyFill="1" applyBorder="1" applyAlignment="1">
      <alignment horizontal="left"/>
    </xf>
    <xf numFmtId="164" fontId="66" fillId="53" borderId="68" xfId="0" applyNumberFormat="1" applyFont="1" applyFill="1" applyBorder="1" applyAlignment="1">
      <alignment horizontal="center"/>
    </xf>
    <xf numFmtId="164" fontId="66" fillId="53" borderId="90" xfId="0" applyNumberFormat="1" applyFont="1" applyFill="1" applyBorder="1" applyAlignment="1">
      <alignment horizontal="center"/>
    </xf>
    <xf numFmtId="1" fontId="66" fillId="49" borderId="65" xfId="0" applyNumberFormat="1" applyFont="1" applyFill="1" applyBorder="1" applyAlignment="1">
      <alignment horizontal="center"/>
    </xf>
    <xf numFmtId="164" fontId="115" fillId="0" borderId="0" xfId="0" applyNumberFormat="1" applyFont="1" applyAlignment="1">
      <alignment horizontal="center" vertical="center"/>
    </xf>
    <xf numFmtId="10" fontId="76" fillId="0" borderId="0" xfId="317" applyNumberFormat="1" applyFont="1" applyAlignment="1">
      <alignment horizontal="center" vertical="center"/>
    </xf>
    <xf numFmtId="178" fontId="39" fillId="47" borderId="0" xfId="317" applyNumberFormat="1" applyFont="1" applyFill="1"/>
    <xf numFmtId="10" fontId="115" fillId="0" borderId="0" xfId="317" applyNumberFormat="1" applyFont="1" applyAlignment="1">
      <alignment horizontal="center" vertical="center"/>
    </xf>
    <xf numFmtId="178" fontId="116" fillId="47" borderId="0" xfId="317" applyNumberFormat="1" applyFont="1" applyFill="1"/>
    <xf numFmtId="1" fontId="116" fillId="47" borderId="0" xfId="0" applyNumberFormat="1" applyFont="1" applyFill="1"/>
    <xf numFmtId="10" fontId="39" fillId="47" borderId="0" xfId="317" applyNumberFormat="1" applyFont="1" applyFill="1"/>
    <xf numFmtId="10" fontId="116" fillId="47" borderId="0" xfId="317" applyNumberFormat="1" applyFont="1" applyFill="1"/>
    <xf numFmtId="2" fontId="39" fillId="47" borderId="0" xfId="317" applyNumberFormat="1" applyFont="1" applyFill="1"/>
    <xf numFmtId="2" fontId="116" fillId="47" borderId="0" xfId="317" applyNumberFormat="1" applyFont="1" applyFill="1"/>
    <xf numFmtId="166" fontId="116" fillId="47" borderId="0" xfId="0" applyNumberFormat="1" applyFont="1" applyFill="1"/>
    <xf numFmtId="164" fontId="39" fillId="47" borderId="0" xfId="0" applyNumberFormat="1" applyFont="1" applyFill="1" applyAlignment="1">
      <alignment wrapText="1"/>
    </xf>
    <xf numFmtId="164" fontId="116" fillId="47" borderId="0" xfId="0" applyNumberFormat="1" applyFont="1" applyFill="1" applyAlignment="1">
      <alignment wrapText="1"/>
    </xf>
    <xf numFmtId="164" fontId="76" fillId="0" borderId="0" xfId="0" applyNumberFormat="1" applyFont="1" applyAlignment="1">
      <alignment horizontal="center" vertical="center"/>
    </xf>
    <xf numFmtId="0" fontId="37" fillId="49" borderId="0" xfId="0" applyFont="1" applyFill="1" applyAlignment="1">
      <alignment wrapText="1"/>
    </xf>
    <xf numFmtId="0" fontId="69" fillId="0" borderId="0" xfId="0" applyFont="1" applyAlignment="1">
      <alignment horizontal="center"/>
    </xf>
    <xf numFmtId="0" fontId="70" fillId="0" borderId="0" xfId="0" applyFont="1" applyAlignment="1">
      <alignment horizontal="center" vertical="center" wrapText="1"/>
    </xf>
    <xf numFmtId="178" fontId="76" fillId="0" borderId="0" xfId="317" applyNumberFormat="1" applyFont="1" applyBorder="1" applyAlignment="1">
      <alignment horizontal="center" vertical="center"/>
    </xf>
    <xf numFmtId="0" fontId="116" fillId="47" borderId="0" xfId="0" applyFont="1" applyFill="1" applyAlignment="1">
      <alignment wrapText="1"/>
    </xf>
    <xf numFmtId="0" fontId="37" fillId="49" borderId="40" xfId="0" applyFont="1" applyFill="1" applyBorder="1" applyAlignment="1">
      <alignment wrapText="1"/>
    </xf>
    <xf numFmtId="0" fontId="37" fillId="49" borderId="49" xfId="0" applyFont="1" applyFill="1" applyBorder="1" applyAlignment="1">
      <alignment wrapText="1"/>
    </xf>
    <xf numFmtId="2" fontId="90" fillId="47" borderId="22" xfId="0" applyNumberFormat="1" applyFont="1" applyFill="1" applyBorder="1"/>
    <xf numFmtId="0" fontId="37" fillId="49" borderId="50" xfId="0" applyFont="1" applyFill="1" applyBorder="1"/>
    <xf numFmtId="0" fontId="117" fillId="47" borderId="57" xfId="80" applyFont="1" applyFill="1" applyBorder="1" applyAlignment="1" applyProtection="1">
      <alignment horizontal="left" indent="2"/>
    </xf>
    <xf numFmtId="0" fontId="117" fillId="47" borderId="57" xfId="80" applyFont="1" applyFill="1" applyBorder="1" applyAlignment="1" applyProtection="1">
      <alignment horizontal="left" vertical="top" indent="2"/>
    </xf>
    <xf numFmtId="0" fontId="118" fillId="49" borderId="44" xfId="0" applyFont="1" applyFill="1" applyBorder="1" applyAlignment="1">
      <alignment horizontal="left" vertical="center"/>
    </xf>
    <xf numFmtId="2" fontId="118" fillId="49" borderId="38" xfId="0" applyNumberFormat="1" applyFont="1" applyFill="1" applyBorder="1" applyAlignment="1">
      <alignment horizontal="center" vertical="center"/>
    </xf>
    <xf numFmtId="2" fontId="118" fillId="49" borderId="39" xfId="0" applyNumberFormat="1" applyFont="1" applyFill="1" applyBorder="1" applyAlignment="1">
      <alignment horizontal="center" vertical="center"/>
    </xf>
    <xf numFmtId="0" fontId="98" fillId="47" borderId="24" xfId="0" applyFont="1" applyFill="1" applyBorder="1" applyAlignment="1">
      <alignment horizontal="center" wrapText="1"/>
    </xf>
    <xf numFmtId="0" fontId="69" fillId="48" borderId="32" xfId="0" applyFont="1" applyFill="1" applyBorder="1" applyAlignment="1">
      <alignment horizontal="center" vertical="center"/>
    </xf>
    <xf numFmtId="0" fontId="69" fillId="48" borderId="33" xfId="0" applyFont="1" applyFill="1" applyBorder="1" applyAlignment="1">
      <alignment horizontal="center" vertical="center"/>
    </xf>
    <xf numFmtId="0" fontId="79" fillId="0" borderId="67" xfId="0" applyFont="1" applyBorder="1" applyAlignment="1">
      <alignment vertical="center"/>
    </xf>
    <xf numFmtId="0" fontId="70" fillId="50" borderId="0" xfId="0" applyFont="1" applyFill="1" applyAlignment="1">
      <alignment horizontal="center" vertical="center" wrapText="1"/>
    </xf>
    <xf numFmtId="0" fontId="67" fillId="50" borderId="0" xfId="0" applyFont="1" applyFill="1" applyAlignment="1">
      <alignment horizontal="center" vertical="center" wrapText="1"/>
    </xf>
    <xf numFmtId="0" fontId="67" fillId="48" borderId="55" xfId="0" applyFont="1" applyFill="1" applyBorder="1" applyAlignment="1">
      <alignment horizontal="center" vertical="center" wrapText="1"/>
    </xf>
    <xf numFmtId="0" fontId="67" fillId="48" borderId="37" xfId="0" applyFont="1" applyFill="1" applyBorder="1" applyAlignment="1">
      <alignment horizontal="center" vertical="center" wrapText="1"/>
    </xf>
    <xf numFmtId="0" fontId="69" fillId="48" borderId="32" xfId="0" applyFont="1" applyFill="1" applyBorder="1" applyAlignment="1">
      <alignment horizontal="center"/>
    </xf>
    <xf numFmtId="0" fontId="69" fillId="48" borderId="33" xfId="0" applyFont="1" applyFill="1" applyBorder="1" applyAlignment="1">
      <alignment horizontal="center"/>
    </xf>
    <xf numFmtId="0" fontId="69" fillId="48" borderId="34" xfId="0" applyFont="1" applyFill="1" applyBorder="1"/>
    <xf numFmtId="0" fontId="99" fillId="48" borderId="27" xfId="0" applyFont="1" applyFill="1" applyBorder="1" applyAlignment="1">
      <alignment horizontal="center" vertical="top" wrapText="1"/>
    </xf>
    <xf numFmtId="0" fontId="99" fillId="48" borderId="23" xfId="0" applyFont="1" applyFill="1" applyBorder="1" applyAlignment="1">
      <alignment horizontal="center" vertical="top" wrapText="1"/>
    </xf>
    <xf numFmtId="0" fontId="70" fillId="48" borderId="55" xfId="0" applyFont="1" applyFill="1" applyBorder="1" applyAlignment="1">
      <alignment horizontal="center" vertical="center" wrapText="1"/>
    </xf>
    <xf numFmtId="0" fontId="70" fillId="48" borderId="24" xfId="0" applyFont="1" applyFill="1" applyBorder="1" applyAlignment="1">
      <alignment horizontal="center" vertical="center" wrapText="1"/>
    </xf>
    <xf numFmtId="0" fontId="69" fillId="48" borderId="34" xfId="0" applyFont="1" applyFill="1" applyBorder="1" applyAlignment="1">
      <alignment horizontal="center"/>
    </xf>
    <xf numFmtId="0" fontId="0" fillId="0" borderId="0" xfId="0" applyAlignment="1">
      <alignment horizontal="left" vertical="center" wrapText="1"/>
    </xf>
    <xf numFmtId="0" fontId="64" fillId="49" borderId="23" xfId="0" applyFont="1" applyFill="1" applyBorder="1" applyAlignment="1" applyProtection="1">
      <alignment horizontal="left" vertical="center" wrapText="1"/>
      <protection locked="0"/>
    </xf>
    <xf numFmtId="0" fontId="64" fillId="49" borderId="0" xfId="0" applyFont="1" applyFill="1" applyAlignment="1" applyProtection="1">
      <alignment horizontal="left" vertical="center" wrapText="1"/>
      <protection locked="0"/>
    </xf>
    <xf numFmtId="0" fontId="64" fillId="49" borderId="24" xfId="0" applyFont="1" applyFill="1" applyBorder="1" applyAlignment="1" applyProtection="1">
      <alignment horizontal="left" vertical="center" wrapText="1"/>
      <protection locked="0"/>
    </xf>
    <xf numFmtId="0" fontId="80" fillId="50" borderId="46" xfId="0" applyFont="1" applyFill="1" applyBorder="1" applyAlignment="1">
      <alignment horizontal="center"/>
    </xf>
    <xf numFmtId="0" fontId="80" fillId="50" borderId="48" xfId="0" applyFont="1" applyFill="1" applyBorder="1" applyAlignment="1">
      <alignment horizontal="center"/>
    </xf>
    <xf numFmtId="0" fontId="79" fillId="50" borderId="51" xfId="0" applyFont="1" applyFill="1" applyBorder="1" applyAlignment="1">
      <alignment horizontal="center" vertical="center" wrapText="1"/>
    </xf>
    <xf numFmtId="0" fontId="79" fillId="50" borderId="52" xfId="0" applyFont="1" applyFill="1" applyBorder="1" applyAlignment="1">
      <alignment horizontal="center" vertical="center" wrapText="1"/>
    </xf>
    <xf numFmtId="0" fontId="76" fillId="50" borderId="41" xfId="0" applyFont="1" applyFill="1" applyBorder="1" applyAlignment="1">
      <alignment horizontal="center"/>
    </xf>
    <xf numFmtId="0" fontId="76" fillId="50" borderId="45" xfId="0" applyFont="1" applyFill="1" applyBorder="1" applyAlignment="1">
      <alignment horizontal="center"/>
    </xf>
    <xf numFmtId="0" fontId="79" fillId="50" borderId="51" xfId="0" applyFont="1" applyFill="1" applyBorder="1" applyAlignment="1">
      <alignment horizontal="center"/>
    </xf>
    <xf numFmtId="0" fontId="79" fillId="50" borderId="54" xfId="0" applyFont="1" applyFill="1" applyBorder="1" applyAlignment="1">
      <alignment horizontal="center"/>
    </xf>
    <xf numFmtId="0" fontId="79" fillId="50" borderId="52" xfId="0" applyFont="1" applyFill="1" applyBorder="1" applyAlignment="1">
      <alignment horizontal="center"/>
    </xf>
    <xf numFmtId="0" fontId="80" fillId="50" borderId="43" xfId="0" applyFont="1" applyFill="1" applyBorder="1" applyAlignment="1">
      <alignment horizontal="center" vertical="center"/>
    </xf>
    <xf numFmtId="0" fontId="81" fillId="49" borderId="36" xfId="0" applyFont="1" applyFill="1" applyBorder="1" applyAlignment="1">
      <alignment horizontal="left" vertical="center" wrapText="1"/>
    </xf>
    <xf numFmtId="0" fontId="81" fillId="49" borderId="0" xfId="0" applyFont="1" applyFill="1" applyAlignment="1">
      <alignment horizontal="left" vertical="center" wrapText="1"/>
    </xf>
    <xf numFmtId="0" fontId="81" fillId="49" borderId="37" xfId="0" applyFont="1" applyFill="1" applyBorder="1" applyAlignment="1">
      <alignment horizontal="left" vertical="center" wrapText="1"/>
    </xf>
    <xf numFmtId="0" fontId="81" fillId="49" borderId="53" xfId="0" applyFont="1" applyFill="1" applyBorder="1" applyAlignment="1">
      <alignment horizontal="left" vertical="center" wrapText="1"/>
    </xf>
    <xf numFmtId="0" fontId="81" fillId="49" borderId="40" xfId="0" applyFont="1" applyFill="1" applyBorder="1" applyAlignment="1">
      <alignment horizontal="left" vertical="center" wrapText="1"/>
    </xf>
    <xf numFmtId="0" fontId="81" fillId="49" borderId="49" xfId="0" applyFont="1" applyFill="1" applyBorder="1" applyAlignment="1">
      <alignment horizontal="left" vertical="center" wrapText="1"/>
    </xf>
    <xf numFmtId="0" fontId="69" fillId="48" borderId="51" xfId="0" applyFont="1" applyFill="1" applyBorder="1" applyAlignment="1">
      <alignment horizontal="center"/>
    </xf>
    <xf numFmtId="0" fontId="69" fillId="48" borderId="54" xfId="0" applyFont="1" applyFill="1" applyBorder="1" applyAlignment="1">
      <alignment horizontal="center"/>
    </xf>
    <xf numFmtId="0" fontId="69" fillId="48" borderId="52" xfId="0" applyFont="1" applyFill="1" applyBorder="1" applyAlignment="1">
      <alignment horizontal="center"/>
    </xf>
    <xf numFmtId="0" fontId="64" fillId="0" borderId="23" xfId="0" applyFont="1" applyBorder="1" applyAlignment="1">
      <alignment vertical="center" wrapText="1"/>
    </xf>
    <xf numFmtId="0" fontId="64" fillId="0" borderId="0" xfId="0" applyFont="1" applyAlignment="1">
      <alignment vertical="center" wrapText="1"/>
    </xf>
    <xf numFmtId="0" fontId="64" fillId="0" borderId="37" xfId="0" applyFont="1" applyBorder="1" applyAlignment="1">
      <alignment vertical="center" wrapText="1"/>
    </xf>
    <xf numFmtId="0" fontId="64" fillId="0" borderId="50" xfId="0" applyFont="1" applyBorder="1" applyAlignment="1">
      <alignment vertical="center" wrapText="1"/>
    </xf>
    <xf numFmtId="0" fontId="64" fillId="0" borderId="40" xfId="0" applyFont="1" applyBorder="1" applyAlignment="1">
      <alignment vertical="center" wrapText="1"/>
    </xf>
    <xf numFmtId="0" fontId="64" fillId="0" borderId="49" xfId="0" applyFont="1" applyBorder="1" applyAlignment="1">
      <alignment vertical="center" wrapText="1"/>
    </xf>
    <xf numFmtId="0" fontId="67" fillId="50" borderId="35" xfId="0" applyFont="1" applyFill="1" applyBorder="1" applyAlignment="1">
      <alignment horizontal="center" vertical="center"/>
    </xf>
    <xf numFmtId="0" fontId="67" fillId="50" borderId="48" xfId="0" applyFont="1" applyFill="1" applyBorder="1" applyAlignment="1">
      <alignment horizontal="center" vertical="center"/>
    </xf>
    <xf numFmtId="0" fontId="64" fillId="0" borderId="27" xfId="0" applyFont="1" applyBorder="1" applyAlignment="1">
      <alignment vertical="center"/>
    </xf>
    <xf numFmtId="0" fontId="64" fillId="0" borderId="22" xfId="0" applyFont="1" applyBorder="1" applyAlignment="1">
      <alignment vertical="center"/>
    </xf>
    <xf numFmtId="0" fontId="64" fillId="0" borderId="55" xfId="0" applyFont="1" applyBorder="1" applyAlignment="1">
      <alignment vertical="center"/>
    </xf>
    <xf numFmtId="0" fontId="64" fillId="0" borderId="23" xfId="0" applyFont="1" applyBorder="1" applyAlignment="1">
      <alignment horizontal="left" vertical="center"/>
    </xf>
    <xf numFmtId="0" fontId="64" fillId="0" borderId="0" xfId="0" applyFont="1" applyAlignment="1">
      <alignment horizontal="left" vertical="center"/>
    </xf>
    <xf numFmtId="0" fontId="64" fillId="0" borderId="37" xfId="0" applyFont="1" applyBorder="1" applyAlignment="1">
      <alignment horizontal="left" vertical="center"/>
    </xf>
    <xf numFmtId="0" fontId="64" fillId="0" borderId="23" xfId="0" quotePrefix="1" applyFont="1" applyBorder="1" applyAlignment="1">
      <alignment horizontal="left" vertical="center"/>
    </xf>
    <xf numFmtId="0" fontId="64" fillId="0" borderId="23" xfId="0" applyFont="1" applyBorder="1" applyAlignment="1">
      <alignment vertical="center"/>
    </xf>
    <xf numFmtId="0" fontId="64" fillId="0" borderId="0" xfId="0" applyFont="1" applyAlignment="1">
      <alignment vertical="center"/>
    </xf>
    <xf numFmtId="0" fontId="64" fillId="0" borderId="37" xfId="0" applyFont="1" applyBorder="1" applyAlignment="1">
      <alignment vertical="center"/>
    </xf>
    <xf numFmtId="0" fontId="64" fillId="0" borderId="23" xfId="0" applyFont="1" applyBorder="1" applyAlignment="1">
      <alignment horizontal="left" vertical="center" wrapText="1"/>
    </xf>
    <xf numFmtId="0" fontId="64" fillId="0" borderId="0" xfId="0" applyFont="1" applyAlignment="1">
      <alignment horizontal="left" vertical="center" wrapText="1"/>
    </xf>
    <xf numFmtId="0" fontId="64" fillId="0" borderId="37" xfId="0" applyFont="1" applyBorder="1" applyAlignment="1">
      <alignment horizontal="left" vertical="center" wrapText="1"/>
    </xf>
    <xf numFmtId="0" fontId="69" fillId="48" borderId="75" xfId="0" applyFont="1" applyFill="1" applyBorder="1" applyAlignment="1">
      <alignment horizontal="center"/>
    </xf>
    <xf numFmtId="0" fontId="64" fillId="27" borderId="27" xfId="0" applyFont="1" applyFill="1" applyBorder="1" applyAlignment="1">
      <alignment horizontal="left"/>
    </xf>
    <xf numFmtId="0" fontId="64" fillId="27" borderId="22" xfId="0" applyFont="1" applyFill="1" applyBorder="1" applyAlignment="1">
      <alignment horizontal="left"/>
    </xf>
    <xf numFmtId="0" fontId="64" fillId="27" borderId="25" xfId="0" applyFont="1" applyFill="1" applyBorder="1" applyAlignment="1">
      <alignment horizontal="left"/>
    </xf>
    <xf numFmtId="0" fontId="64" fillId="49" borderId="23" xfId="0" applyFont="1" applyFill="1" applyBorder="1" applyAlignment="1">
      <alignment horizontal="left" wrapText="1"/>
    </xf>
    <xf numFmtId="0" fontId="64" fillId="49" borderId="0" xfId="0" applyFont="1" applyFill="1" applyAlignment="1">
      <alignment horizontal="left" wrapText="1"/>
    </xf>
    <xf numFmtId="0" fontId="64" fillId="49" borderId="24" xfId="0" applyFont="1" applyFill="1" applyBorder="1" applyAlignment="1">
      <alignment horizontal="left" wrapText="1"/>
    </xf>
    <xf numFmtId="0" fontId="64" fillId="47" borderId="30" xfId="0" applyFont="1" applyFill="1" applyBorder="1" applyAlignment="1">
      <alignment horizontal="left"/>
    </xf>
    <xf numFmtId="0" fontId="64" fillId="47" borderId="28" xfId="0" applyFont="1" applyFill="1" applyBorder="1" applyAlignment="1">
      <alignment horizontal="left"/>
    </xf>
    <xf numFmtId="0" fontId="64" fillId="47" borderId="31" xfId="0" applyFont="1" applyFill="1" applyBorder="1" applyAlignment="1">
      <alignment horizontal="left"/>
    </xf>
    <xf numFmtId="0" fontId="64" fillId="49" borderId="0" xfId="0" applyFont="1" applyFill="1" applyAlignment="1">
      <alignment wrapText="1"/>
    </xf>
    <xf numFmtId="0" fontId="0" fillId="49" borderId="0" xfId="0" applyFill="1"/>
    <xf numFmtId="0" fontId="64" fillId="49" borderId="30" xfId="0" applyFont="1" applyFill="1" applyBorder="1" applyAlignment="1">
      <alignment horizontal="left" wrapText="1"/>
    </xf>
    <xf numFmtId="0" fontId="64" fillId="49" borderId="28" xfId="0" applyFont="1" applyFill="1" applyBorder="1" applyAlignment="1">
      <alignment horizontal="left" wrapText="1"/>
    </xf>
    <xf numFmtId="0" fontId="69" fillId="48" borderId="76" xfId="0" applyFont="1" applyFill="1" applyBorder="1" applyAlignment="1">
      <alignment horizontal="center"/>
    </xf>
    <xf numFmtId="0" fontId="77" fillId="0" borderId="54" xfId="0" applyFont="1" applyBorder="1" applyAlignment="1">
      <alignment horizontal="center"/>
    </xf>
    <xf numFmtId="0" fontId="77" fillId="0" borderId="52" xfId="0" applyFont="1" applyBorder="1" applyAlignment="1">
      <alignment horizontal="center"/>
    </xf>
    <xf numFmtId="0" fontId="67" fillId="48" borderId="43" xfId="0" applyFont="1" applyFill="1" applyBorder="1" applyAlignment="1">
      <alignment horizontal="center"/>
    </xf>
    <xf numFmtId="0" fontId="77" fillId="0" borderId="43" xfId="0" applyFont="1" applyBorder="1" applyAlignment="1">
      <alignment horizontal="center"/>
    </xf>
    <xf numFmtId="0" fontId="77" fillId="0" borderId="47" xfId="0" applyFont="1" applyBorder="1" applyAlignment="1">
      <alignment horizontal="center"/>
    </xf>
    <xf numFmtId="0" fontId="64" fillId="49" borderId="37" xfId="0" applyFont="1" applyFill="1" applyBorder="1" applyAlignment="1" applyProtection="1">
      <alignment horizontal="left" vertical="center" wrapText="1"/>
      <protection locked="0"/>
    </xf>
    <xf numFmtId="0" fontId="64" fillId="49" borderId="23" xfId="0" applyFont="1" applyFill="1" applyBorder="1" applyAlignment="1" applyProtection="1">
      <alignment horizontal="left" wrapText="1"/>
      <protection locked="0"/>
    </xf>
    <xf numFmtId="0" fontId="64" fillId="49" borderId="0" xfId="0" applyFont="1" applyFill="1" applyAlignment="1" applyProtection="1">
      <alignment horizontal="left" wrapText="1"/>
      <protection locked="0"/>
    </xf>
    <xf numFmtId="0" fontId="64" fillId="49" borderId="37" xfId="0" applyFont="1" applyFill="1" applyBorder="1" applyAlignment="1" applyProtection="1">
      <alignment horizontal="left" wrapText="1"/>
      <protection locked="0"/>
    </xf>
    <xf numFmtId="0" fontId="1" fillId="27" borderId="30" xfId="0" applyFont="1" applyFill="1" applyBorder="1" applyAlignment="1">
      <alignment vertical="center" wrapText="1"/>
    </xf>
    <xf numFmtId="0" fontId="1" fillId="27" borderId="28" xfId="0" applyFont="1" applyFill="1" applyBorder="1" applyAlignment="1">
      <alignment vertical="center" wrapText="1"/>
    </xf>
    <xf numFmtId="0" fontId="1" fillId="27" borderId="31" xfId="0" applyFont="1" applyFill="1" applyBorder="1" applyAlignment="1">
      <alignment vertical="center" wrapText="1"/>
    </xf>
    <xf numFmtId="0" fontId="69" fillId="47" borderId="33" xfId="0" applyFont="1" applyFill="1" applyBorder="1" applyAlignment="1">
      <alignment horizontal="center" vertical="center"/>
    </xf>
    <xf numFmtId="0" fontId="69" fillId="47" borderId="33" xfId="0" applyFont="1" applyFill="1" applyBorder="1" applyAlignment="1">
      <alignment vertical="center"/>
    </xf>
    <xf numFmtId="0" fontId="69" fillId="47" borderId="34" xfId="0" applyFont="1" applyFill="1" applyBorder="1" applyAlignment="1">
      <alignment vertical="center"/>
    </xf>
    <xf numFmtId="0" fontId="67" fillId="48" borderId="83" xfId="0" applyFont="1" applyFill="1" applyBorder="1" applyAlignment="1">
      <alignment horizontal="center" wrapText="1"/>
    </xf>
    <xf numFmtId="0" fontId="67" fillId="48" borderId="84" xfId="0" applyFont="1" applyFill="1" applyBorder="1" applyAlignment="1">
      <alignment horizontal="center" wrapText="1"/>
    </xf>
    <xf numFmtId="0" fontId="67" fillId="48" borderId="82" xfId="0" applyFont="1" applyFill="1" applyBorder="1" applyAlignment="1">
      <alignment horizontal="center" wrapText="1"/>
    </xf>
    <xf numFmtId="0" fontId="64" fillId="49" borderId="23" xfId="0" applyFont="1" applyFill="1" applyBorder="1" applyAlignment="1">
      <alignment wrapText="1"/>
    </xf>
    <xf numFmtId="0" fontId="64" fillId="27" borderId="24" xfId="0" applyFont="1" applyFill="1" applyBorder="1" applyAlignment="1">
      <alignment wrapText="1"/>
    </xf>
    <xf numFmtId="0" fontId="64" fillId="49" borderId="23" xfId="0" applyFont="1" applyFill="1" applyBorder="1" applyAlignment="1">
      <alignment vertical="top" wrapText="1"/>
    </xf>
    <xf numFmtId="0" fontId="64" fillId="49" borderId="24" xfId="0" applyFont="1" applyFill="1" applyBorder="1" applyAlignment="1">
      <alignment vertical="top" wrapText="1"/>
    </xf>
    <xf numFmtId="0" fontId="64" fillId="27" borderId="23" xfId="0" applyFont="1" applyFill="1" applyBorder="1" applyAlignment="1">
      <alignment wrapText="1"/>
    </xf>
    <xf numFmtId="0" fontId="0" fillId="0" borderId="0" xfId="0" applyAlignment="1">
      <alignment wrapText="1"/>
    </xf>
    <xf numFmtId="0" fontId="0" fillId="0" borderId="24" xfId="0" applyBorder="1" applyAlignment="1">
      <alignment wrapText="1"/>
    </xf>
    <xf numFmtId="0" fontId="0" fillId="0" borderId="23" xfId="0" applyBorder="1" applyAlignment="1">
      <alignment wrapText="1"/>
    </xf>
    <xf numFmtId="0" fontId="64" fillId="49" borderId="0" xfId="0" applyFont="1" applyFill="1" applyAlignment="1">
      <alignment vertical="top" wrapText="1"/>
    </xf>
    <xf numFmtId="0" fontId="69" fillId="48" borderId="34" xfId="0" applyFont="1" applyFill="1" applyBorder="1" applyAlignment="1">
      <alignment horizontal="center" vertical="center"/>
    </xf>
    <xf numFmtId="0" fontId="64" fillId="47" borderId="0" xfId="0" applyFont="1" applyFill="1" applyAlignment="1">
      <alignment wrapText="1"/>
    </xf>
    <xf numFmtId="0" fontId="64" fillId="47" borderId="24" xfId="0" applyFont="1" applyFill="1" applyBorder="1" applyAlignment="1">
      <alignment wrapText="1"/>
    </xf>
    <xf numFmtId="0" fontId="79" fillId="50" borderId="54" xfId="0" applyFont="1" applyFill="1" applyBorder="1" applyAlignment="1">
      <alignment horizontal="center" vertical="center" wrapText="1"/>
    </xf>
    <xf numFmtId="0" fontId="84" fillId="50" borderId="43" xfId="0" applyFont="1" applyFill="1" applyBorder="1" applyAlignment="1">
      <alignment horizontal="center" vertical="center" wrapText="1"/>
    </xf>
    <xf numFmtId="0" fontId="84" fillId="50" borderId="47" xfId="0" applyFont="1" applyFill="1" applyBorder="1" applyAlignment="1">
      <alignment horizontal="center" vertical="center" wrapText="1"/>
    </xf>
    <xf numFmtId="0" fontId="37" fillId="0" borderId="53" xfId="0" applyFont="1" applyBorder="1" applyAlignment="1">
      <alignment horizontal="left" vertical="center" wrapText="1"/>
    </xf>
    <xf numFmtId="0" fontId="37" fillId="0" borderId="40" xfId="0" applyFont="1" applyBorder="1" applyAlignment="1">
      <alignment horizontal="left" vertical="center" wrapText="1"/>
    </xf>
    <xf numFmtId="0" fontId="37" fillId="0" borderId="49" xfId="0" applyFont="1" applyBorder="1" applyAlignment="1">
      <alignment horizontal="left" vertical="center" wrapText="1"/>
    </xf>
    <xf numFmtId="164" fontId="68" fillId="47" borderId="30" xfId="0" applyNumberFormat="1" applyFont="1" applyFill="1" applyBorder="1" applyAlignment="1">
      <alignment horizontal="left" vertical="center" wrapText="1"/>
    </xf>
    <xf numFmtId="164" fontId="68" fillId="47" borderId="68" xfId="0" applyNumberFormat="1" applyFont="1" applyFill="1" applyBorder="1" applyAlignment="1">
      <alignment horizontal="left" vertical="center" wrapText="1"/>
    </xf>
    <xf numFmtId="0" fontId="84" fillId="51" borderId="35" xfId="0" applyFont="1" applyFill="1" applyBorder="1" applyAlignment="1">
      <alignment horizontal="center" vertical="center"/>
    </xf>
    <xf numFmtId="0" fontId="84" fillId="51" borderId="48" xfId="0" applyFont="1" applyFill="1" applyBorder="1" applyAlignment="1">
      <alignment horizontal="center" vertical="center"/>
    </xf>
    <xf numFmtId="0" fontId="84" fillId="51" borderId="58" xfId="0" applyFont="1" applyFill="1" applyBorder="1" applyAlignment="1">
      <alignment horizontal="center" vertical="center"/>
    </xf>
    <xf numFmtId="0" fontId="84" fillId="51" borderId="43" xfId="0" applyFont="1" applyFill="1" applyBorder="1" applyAlignment="1">
      <alignment horizontal="center" vertical="center"/>
    </xf>
    <xf numFmtId="0" fontId="84" fillId="51" borderId="47" xfId="0" applyFont="1" applyFill="1" applyBorder="1" applyAlignment="1">
      <alignment horizontal="center" vertical="center"/>
    </xf>
    <xf numFmtId="0" fontId="81" fillId="49" borderId="36" xfId="0" applyFont="1" applyFill="1" applyBorder="1" applyAlignment="1">
      <alignment horizontal="left" vertical="center"/>
    </xf>
    <xf numFmtId="0" fontId="81" fillId="49" borderId="0" xfId="0" applyFont="1" applyFill="1" applyAlignment="1">
      <alignment horizontal="left" vertical="center"/>
    </xf>
    <xf numFmtId="0" fontId="81" fillId="49" borderId="37" xfId="0" applyFont="1" applyFill="1" applyBorder="1" applyAlignment="1">
      <alignment horizontal="left" vertical="center"/>
    </xf>
    <xf numFmtId="0" fontId="80" fillId="50" borderId="54" xfId="0" applyFont="1" applyFill="1" applyBorder="1" applyAlignment="1">
      <alignment horizontal="center"/>
    </xf>
    <xf numFmtId="0" fontId="80" fillId="50" borderId="52" xfId="0" applyFont="1" applyFill="1" applyBorder="1" applyAlignment="1">
      <alignment horizontal="center"/>
    </xf>
    <xf numFmtId="0" fontId="81" fillId="49" borderId="46" xfId="0" applyFont="1" applyFill="1" applyBorder="1" applyAlignment="1">
      <alignment horizontal="left" vertical="center"/>
    </xf>
    <xf numFmtId="0" fontId="81" fillId="49" borderId="35" xfId="0" applyFont="1" applyFill="1" applyBorder="1" applyAlignment="1">
      <alignment horizontal="left" vertical="center"/>
    </xf>
    <xf numFmtId="0" fontId="81" fillId="49" borderId="48" xfId="0" applyFont="1" applyFill="1" applyBorder="1" applyAlignment="1">
      <alignment horizontal="left" vertical="center"/>
    </xf>
    <xf numFmtId="0" fontId="81" fillId="0" borderId="53" xfId="0" applyFont="1" applyBorder="1" applyAlignment="1">
      <alignment vertical="center" wrapText="1"/>
    </xf>
    <xf numFmtId="0" fontId="102" fillId="0" borderId="40" xfId="0" applyFont="1" applyBorder="1"/>
    <xf numFmtId="0" fontId="102" fillId="0" borderId="49" xfId="0" applyFont="1" applyBorder="1"/>
    <xf numFmtId="0" fontId="69" fillId="48" borderId="51" xfId="0" applyFont="1" applyFill="1" applyBorder="1" applyAlignment="1">
      <alignment horizontal="center" vertical="center"/>
    </xf>
    <xf numFmtId="0" fontId="69" fillId="48" borderId="54" xfId="0" applyFont="1" applyFill="1" applyBorder="1" applyAlignment="1">
      <alignment horizontal="center" vertical="center"/>
    </xf>
    <xf numFmtId="0" fontId="69" fillId="48" borderId="48" xfId="0" applyFont="1" applyFill="1" applyBorder="1" applyAlignment="1">
      <alignment horizontal="center" vertical="center"/>
    </xf>
    <xf numFmtId="0" fontId="64" fillId="49" borderId="46" xfId="0" applyFont="1" applyFill="1" applyBorder="1" applyAlignment="1">
      <alignment horizontal="left" vertical="center" wrapText="1"/>
    </xf>
    <xf numFmtId="0" fontId="64" fillId="49" borderId="35" xfId="0" applyFont="1" applyFill="1" applyBorder="1" applyAlignment="1">
      <alignment horizontal="left" vertical="center" wrapText="1"/>
    </xf>
    <xf numFmtId="0" fontId="64" fillId="49" borderId="37" xfId="0" applyFont="1" applyFill="1" applyBorder="1" applyAlignment="1">
      <alignment horizontal="left" vertical="center" wrapText="1"/>
    </xf>
    <xf numFmtId="0" fontId="64" fillId="49" borderId="36" xfId="0" applyFont="1" applyFill="1" applyBorder="1" applyAlignment="1">
      <alignment wrapText="1"/>
    </xf>
    <xf numFmtId="0" fontId="64" fillId="49" borderId="37" xfId="0" applyFont="1" applyFill="1" applyBorder="1" applyAlignment="1">
      <alignment wrapText="1"/>
    </xf>
    <xf numFmtId="0" fontId="64" fillId="49" borderId="53" xfId="0" quotePrefix="1" applyFont="1" applyFill="1" applyBorder="1" applyAlignment="1">
      <alignment wrapText="1"/>
    </xf>
    <xf numFmtId="0" fontId="64" fillId="49" borderId="40" xfId="0" quotePrefix="1" applyFont="1" applyFill="1" applyBorder="1" applyAlignment="1">
      <alignment wrapText="1"/>
    </xf>
    <xf numFmtId="0" fontId="64" fillId="49" borderId="49" xfId="0" quotePrefix="1" applyFont="1" applyFill="1" applyBorder="1" applyAlignment="1">
      <alignment wrapText="1"/>
    </xf>
    <xf numFmtId="0" fontId="113" fillId="49" borderId="36" xfId="0" applyFont="1" applyFill="1" applyBorder="1" applyAlignment="1">
      <alignment horizontal="left" wrapText="1"/>
    </xf>
    <xf numFmtId="0" fontId="113" fillId="49" borderId="0" xfId="0" applyFont="1" applyFill="1" applyAlignment="1">
      <alignment horizontal="left" wrapText="1"/>
    </xf>
    <xf numFmtId="0" fontId="113" fillId="49" borderId="37" xfId="0" applyFont="1" applyFill="1" applyBorder="1" applyAlignment="1">
      <alignment horizontal="left" wrapText="1"/>
    </xf>
    <xf numFmtId="0" fontId="80" fillId="50" borderId="43" xfId="0" applyFont="1" applyFill="1" applyBorder="1" applyAlignment="1">
      <alignment horizontal="center" vertical="center" wrapText="1"/>
    </xf>
    <xf numFmtId="0" fontId="80" fillId="50" borderId="47" xfId="0" applyFont="1" applyFill="1" applyBorder="1" applyAlignment="1">
      <alignment horizontal="center" vertical="center" wrapText="1"/>
    </xf>
    <xf numFmtId="0" fontId="81" fillId="0" borderId="51" xfId="0" applyFont="1" applyBorder="1" applyAlignment="1">
      <alignment horizontal="left" vertical="top" wrapText="1"/>
    </xf>
    <xf numFmtId="0" fontId="81" fillId="0" borderId="52" xfId="0" applyFont="1" applyBorder="1" applyAlignment="1">
      <alignment horizontal="left" vertical="top" wrapText="1"/>
    </xf>
    <xf numFmtId="0" fontId="79" fillId="50" borderId="46" xfId="0" applyFont="1" applyFill="1" applyBorder="1" applyAlignment="1">
      <alignment horizontal="center" vertical="center" wrapText="1"/>
    </xf>
    <xf numFmtId="0" fontId="79" fillId="50" borderId="48" xfId="0" applyFont="1" applyFill="1" applyBorder="1" applyAlignment="1">
      <alignment horizontal="center" vertical="center" wrapText="1"/>
    </xf>
  </cellXfs>
  <cellStyles count="375">
    <cellStyle name="%" xfId="1" xr:uid="{00000000-0005-0000-0000-000000000000}"/>
    <cellStyle name="% 2" xfId="2" xr:uid="{00000000-0005-0000-0000-000001000000}"/>
    <cellStyle name="%_PEF FSBR2011" xfId="3" xr:uid="{00000000-0005-0000-0000-000002000000}"/>
    <cellStyle name="]_x000d__x000a_Zoomed=1_x000d__x000a_Row=0_x000d__x000a_Column=0_x000d__x000a_Height=0_x000d__x000a_Width=0_x000d__x000a_FontName=FoxFont_x000d__x000a_FontStyle=0_x000d__x000a_FontSize=9_x000d__x000a_PrtFontName=FoxPrin" xfId="4" xr:uid="{00000000-0005-0000-0000-000003000000}"/>
    <cellStyle name="_TableHead" xfId="5" xr:uid="{00000000-0005-0000-0000-000004000000}"/>
    <cellStyle name="1dp" xfId="6" xr:uid="{00000000-0005-0000-0000-000005000000}"/>
    <cellStyle name="1dp 2" xfId="7" xr:uid="{00000000-0005-0000-0000-000006000000}"/>
    <cellStyle name="20% - Accent1 2" xfId="8" xr:uid="{00000000-0005-0000-0000-000007000000}"/>
    <cellStyle name="20% - Accent2 2" xfId="9" xr:uid="{00000000-0005-0000-0000-000008000000}"/>
    <cellStyle name="20% - Accent3 2" xfId="10" xr:uid="{00000000-0005-0000-0000-000009000000}"/>
    <cellStyle name="20% - Accent4 2" xfId="11" xr:uid="{00000000-0005-0000-0000-00000A000000}"/>
    <cellStyle name="20% - Accent5 2" xfId="12" xr:uid="{00000000-0005-0000-0000-00000B000000}"/>
    <cellStyle name="20% - Accent6 2" xfId="13" xr:uid="{00000000-0005-0000-0000-00000C000000}"/>
    <cellStyle name="3dp" xfId="14" xr:uid="{00000000-0005-0000-0000-00000D000000}"/>
    <cellStyle name="3dp 2" xfId="15" xr:uid="{00000000-0005-0000-0000-00000E000000}"/>
    <cellStyle name="40% - Accent1 2" xfId="16" xr:uid="{00000000-0005-0000-0000-00000F000000}"/>
    <cellStyle name="40% - Accent2 2" xfId="17" xr:uid="{00000000-0005-0000-0000-000010000000}"/>
    <cellStyle name="40% - Accent3 2" xfId="18" xr:uid="{00000000-0005-0000-0000-000011000000}"/>
    <cellStyle name="40% - Accent4 2" xfId="19" xr:uid="{00000000-0005-0000-0000-000012000000}"/>
    <cellStyle name="40% - Accent5 2" xfId="20" xr:uid="{00000000-0005-0000-0000-000013000000}"/>
    <cellStyle name="40% - Accent6 2" xfId="21" xr:uid="{00000000-0005-0000-0000-000014000000}"/>
    <cellStyle name="4dp" xfId="22" xr:uid="{00000000-0005-0000-0000-000015000000}"/>
    <cellStyle name="4dp 2" xfId="23" xr:uid="{00000000-0005-0000-0000-000016000000}"/>
    <cellStyle name="60% - Accent1 2" xfId="24" xr:uid="{00000000-0005-0000-0000-000017000000}"/>
    <cellStyle name="60% - Accent2 2" xfId="25" xr:uid="{00000000-0005-0000-0000-000018000000}"/>
    <cellStyle name="60% - Accent3 2" xfId="26" xr:uid="{00000000-0005-0000-0000-000019000000}"/>
    <cellStyle name="60% - Accent4 2" xfId="27" xr:uid="{00000000-0005-0000-0000-00001A000000}"/>
    <cellStyle name="60% - Accent5 2" xfId="28" xr:uid="{00000000-0005-0000-0000-00001B000000}"/>
    <cellStyle name="60% - Accent6 2" xfId="29" xr:uid="{00000000-0005-0000-0000-00001C000000}"/>
    <cellStyle name="Accent1 2" xfId="30" xr:uid="{00000000-0005-0000-0000-00001D000000}"/>
    <cellStyle name="Accent2 2" xfId="31" xr:uid="{00000000-0005-0000-0000-00001E000000}"/>
    <cellStyle name="Accent3 2" xfId="32" xr:uid="{00000000-0005-0000-0000-00001F000000}"/>
    <cellStyle name="Accent4 2" xfId="33" xr:uid="{00000000-0005-0000-0000-000020000000}"/>
    <cellStyle name="Accent5 2" xfId="34" xr:uid="{00000000-0005-0000-0000-000021000000}"/>
    <cellStyle name="Accent6 2" xfId="35" xr:uid="{00000000-0005-0000-0000-000022000000}"/>
    <cellStyle name="Bad 2" xfId="36" xr:uid="{00000000-0005-0000-0000-000023000000}"/>
    <cellStyle name="Bid £m format" xfId="37" xr:uid="{00000000-0005-0000-0000-000024000000}"/>
    <cellStyle name="Calculation 2" xfId="38" xr:uid="{00000000-0005-0000-0000-000025000000}"/>
    <cellStyle name="Check Cell 2" xfId="39" xr:uid="{00000000-0005-0000-0000-000026000000}"/>
    <cellStyle name="CIL" xfId="40" xr:uid="{00000000-0005-0000-0000-000027000000}"/>
    <cellStyle name="CIU" xfId="41" xr:uid="{00000000-0005-0000-0000-000028000000}"/>
    <cellStyle name="Comma" xfId="336" builtinId="3"/>
    <cellStyle name="Comma 2" xfId="42" xr:uid="{00000000-0005-0000-0000-000029000000}"/>
    <cellStyle name="Comma 2 2" xfId="43" xr:uid="{00000000-0005-0000-0000-00002A000000}"/>
    <cellStyle name="Comma 2 2 2" xfId="321" xr:uid="{5E1A5AE4-B6BD-4A14-909B-C776F3ADF4C1}"/>
    <cellStyle name="Comma 2 2 2 2" xfId="357" xr:uid="{BE1213E2-A7E0-4993-A04D-911B7BE13EF0}"/>
    <cellStyle name="Comma 2 2 3" xfId="341" xr:uid="{5687D0F3-E6D4-463F-B2E3-2A0B1EE20A95}"/>
    <cellStyle name="Comma 2 3" xfId="311" xr:uid="{00000000-0005-0000-0000-00002B000000}"/>
    <cellStyle name="Comma 2 3 2" xfId="331" xr:uid="{64B1989C-4964-4CD3-B3EC-C4A9A391B5F2}"/>
    <cellStyle name="Comma 2 3 2 2" xfId="367" xr:uid="{3DBEF241-DA54-4814-A550-686F9AF4534F}"/>
    <cellStyle name="Comma 2 3 3" xfId="351" xr:uid="{6CE3AB98-7E37-4190-83D4-2311E6C96904}"/>
    <cellStyle name="Comma 2 4" xfId="320" xr:uid="{0D0D3998-D138-44AD-8CA3-3199FB4E0A74}"/>
    <cellStyle name="Comma 2 4 2" xfId="356" xr:uid="{5E725015-630E-4AC2-8704-CCF1ED041A64}"/>
    <cellStyle name="Comma 2 5" xfId="340" xr:uid="{9BF6EE78-CA6C-444A-822D-4E5BDA8F33A1}"/>
    <cellStyle name="Comma 3" xfId="44" xr:uid="{00000000-0005-0000-0000-00002C000000}"/>
    <cellStyle name="Comma 3 2" xfId="45" xr:uid="{00000000-0005-0000-0000-00002D000000}"/>
    <cellStyle name="Comma 3 2 2" xfId="46" xr:uid="{00000000-0005-0000-0000-00002E000000}"/>
    <cellStyle name="Comma 3 2 2 2" xfId="324" xr:uid="{274162D3-73F4-44EB-8F8D-15124BC5C43C}"/>
    <cellStyle name="Comma 3 2 2 2 2" xfId="360" xr:uid="{614BDF5C-4883-4CF4-8C07-DD8FFF957505}"/>
    <cellStyle name="Comma 3 2 2 3" xfId="344" xr:uid="{03F1FE66-9A67-4BD2-99E6-DB7A220CBAA3}"/>
    <cellStyle name="Comma 3 2 3" xfId="313" xr:uid="{00000000-0005-0000-0000-00002F000000}"/>
    <cellStyle name="Comma 3 2 3 2" xfId="333" xr:uid="{23DA9731-06AF-4551-8871-15EE5A4F1273}"/>
    <cellStyle name="Comma 3 2 3 2 2" xfId="369" xr:uid="{10C6EEFA-C86F-4974-8717-9A5C316ADCB0}"/>
    <cellStyle name="Comma 3 2 3 3" xfId="353" xr:uid="{988D67B9-43F8-4E85-9D89-5E2E133A3124}"/>
    <cellStyle name="Comma 3 2 4" xfId="323" xr:uid="{BDA92D93-06B9-42F2-8F02-56CF8531C72B}"/>
    <cellStyle name="Comma 3 2 4 2" xfId="359" xr:uid="{9E0899D5-5926-4B82-93CF-4280315EEC63}"/>
    <cellStyle name="Comma 3 2 5" xfId="343" xr:uid="{EE25F789-3241-4E69-9A9B-3D84DB45B762}"/>
    <cellStyle name="Comma 3 3" xfId="47" xr:uid="{00000000-0005-0000-0000-000030000000}"/>
    <cellStyle name="Comma 3 3 2" xfId="325" xr:uid="{C4F8A83E-6F58-4FEF-A40C-04F524409F08}"/>
    <cellStyle name="Comma 3 3 2 2" xfId="361" xr:uid="{95505093-3C1B-4301-A03B-5DF8CB23C4F1}"/>
    <cellStyle name="Comma 3 3 3" xfId="345" xr:uid="{DFE2103E-70FE-4D5D-A23A-F6F7300DD432}"/>
    <cellStyle name="Comma 3 4" xfId="312" xr:uid="{00000000-0005-0000-0000-000031000000}"/>
    <cellStyle name="Comma 3 4 2" xfId="332" xr:uid="{36E26D0C-EB32-4FD4-93E0-2B64349A4836}"/>
    <cellStyle name="Comma 3 4 2 2" xfId="368" xr:uid="{ADDD680F-EE58-4478-89F9-A78E980B52EB}"/>
    <cellStyle name="Comma 3 4 3" xfId="352" xr:uid="{139030DF-C64B-4D6E-AE55-672D582E8121}"/>
    <cellStyle name="Comma 3 5" xfId="322" xr:uid="{9A2FF96C-3946-4754-987E-6A8CF32E7B00}"/>
    <cellStyle name="Comma 3 5 2" xfId="358" xr:uid="{F469F1D4-CB6A-422B-A515-CE31460C930A}"/>
    <cellStyle name="Comma 3 6" xfId="342" xr:uid="{4D68DC01-A2FD-44A6-85C7-0AFBDF8D54E1}"/>
    <cellStyle name="Comma 4" xfId="48" xr:uid="{00000000-0005-0000-0000-000032000000}"/>
    <cellStyle name="Comma 4 2" xfId="49" xr:uid="{00000000-0005-0000-0000-000033000000}"/>
    <cellStyle name="Comma 4 2 2" xfId="327" xr:uid="{D889C079-4C2C-4459-9D63-FFC594269896}"/>
    <cellStyle name="Comma 4 2 2 2" xfId="363" xr:uid="{D7C79B3B-16F2-42C5-B4A2-048E3096CF9A}"/>
    <cellStyle name="Comma 4 2 3" xfId="347" xr:uid="{27832D3B-9642-4801-8768-3DACB98D1086}"/>
    <cellStyle name="Comma 4 3" xfId="314" xr:uid="{00000000-0005-0000-0000-000034000000}"/>
    <cellStyle name="Comma 4 3 2" xfId="334" xr:uid="{7691EBC0-8D8C-4C4B-B102-7E422C130CAF}"/>
    <cellStyle name="Comma 4 3 2 2" xfId="370" xr:uid="{B045EEEA-AB09-420C-BD4C-8EE2C7914DBB}"/>
    <cellStyle name="Comma 4 3 3" xfId="354" xr:uid="{D5169D16-E82A-4EEC-AE54-CA77280F81DD}"/>
    <cellStyle name="Comma 4 4" xfId="326" xr:uid="{E671A099-3DF3-4BC8-BB71-EC89C615385D}"/>
    <cellStyle name="Comma 4 4 2" xfId="362" xr:uid="{476B44AE-2F49-4794-A51A-DF70CB6AABA6}"/>
    <cellStyle name="Comma 4 5" xfId="346" xr:uid="{1BB4C927-16E8-4946-8162-D2558AB7D0F2}"/>
    <cellStyle name="Comma 5" xfId="50" xr:uid="{00000000-0005-0000-0000-000035000000}"/>
    <cellStyle name="Comma 5 2" xfId="328" xr:uid="{A3E01180-0FF9-409F-90EE-E1C9346514CF}"/>
    <cellStyle name="Comma 5 2 2" xfId="364" xr:uid="{C1FF67F4-F325-4605-ABAE-E626DCEFD6BF}"/>
    <cellStyle name="Comma 5 3" xfId="348" xr:uid="{30C49046-E3B1-40E0-9441-522D79996E2A}"/>
    <cellStyle name="Comma 6" xfId="372" xr:uid="{91AC975E-38A3-4280-9FC8-351BEC7D6984}"/>
    <cellStyle name="Currency 2" xfId="51" xr:uid="{00000000-0005-0000-0000-000036000000}"/>
    <cellStyle name="Currency 2 2" xfId="52" xr:uid="{00000000-0005-0000-0000-000037000000}"/>
    <cellStyle name="Currency 2 2 2" xfId="330" xr:uid="{88CB099D-2FD9-43E8-8FAF-1198252E497D}"/>
    <cellStyle name="Currency 2 2 2 2" xfId="366" xr:uid="{8151D365-6516-43A6-A0B4-52AFC0E370B2}"/>
    <cellStyle name="Currency 2 2 3" xfId="350" xr:uid="{75E85041-1BFE-4422-8EBF-9C96EFA5A59B}"/>
    <cellStyle name="Currency 2 3" xfId="315" xr:uid="{00000000-0005-0000-0000-000038000000}"/>
    <cellStyle name="Currency 2 3 2" xfId="335" xr:uid="{FC110E0B-DF6E-41B5-96C8-EAE2526F6141}"/>
    <cellStyle name="Currency 2 3 2 2" xfId="371" xr:uid="{6D6D0701-83CD-4EE5-B2CD-9C2281C2E7FC}"/>
    <cellStyle name="Currency 2 3 3" xfId="355" xr:uid="{D1764132-3D39-4768-9DC7-622879EB2B9D}"/>
    <cellStyle name="Currency 2 4" xfId="329" xr:uid="{05BEC61B-D6CE-4D5F-924B-5B2567D45774}"/>
    <cellStyle name="Currency 2 4 2" xfId="365" xr:uid="{02407198-3C68-432B-8003-26015B882682}"/>
    <cellStyle name="Currency 2 5" xfId="349" xr:uid="{34C57DFF-ECE8-44CE-B0FC-3E51787D91CC}"/>
    <cellStyle name="Description" xfId="53" xr:uid="{00000000-0005-0000-0000-000039000000}"/>
    <cellStyle name="Euro" xfId="54" xr:uid="{00000000-0005-0000-0000-00003A000000}"/>
    <cellStyle name="Explanatory Text 2" xfId="55" xr:uid="{00000000-0005-0000-0000-00003B000000}"/>
    <cellStyle name="Flash" xfId="56" xr:uid="{00000000-0005-0000-0000-00003C000000}"/>
    <cellStyle name="footnote ref" xfId="57" xr:uid="{00000000-0005-0000-0000-00003D000000}"/>
    <cellStyle name="footnote text" xfId="58" xr:uid="{00000000-0005-0000-0000-00003E000000}"/>
    <cellStyle name="General" xfId="59" xr:uid="{00000000-0005-0000-0000-00003F000000}"/>
    <cellStyle name="General 2" xfId="60" xr:uid="{00000000-0005-0000-0000-000040000000}"/>
    <cellStyle name="Good 2" xfId="61" xr:uid="{00000000-0005-0000-0000-000041000000}"/>
    <cellStyle name="Grey" xfId="62" xr:uid="{00000000-0005-0000-0000-000042000000}"/>
    <cellStyle name="HeaderLabel" xfId="63" xr:uid="{00000000-0005-0000-0000-000043000000}"/>
    <cellStyle name="HeaderText" xfId="64" xr:uid="{00000000-0005-0000-0000-000044000000}"/>
    <cellStyle name="Heading 1 2" xfId="65" xr:uid="{00000000-0005-0000-0000-000045000000}"/>
    <cellStyle name="Heading 1 2 2" xfId="66" xr:uid="{00000000-0005-0000-0000-000046000000}"/>
    <cellStyle name="Heading 1 2_asset sales" xfId="67" xr:uid="{00000000-0005-0000-0000-000047000000}"/>
    <cellStyle name="Heading 1 3" xfId="68" xr:uid="{00000000-0005-0000-0000-000048000000}"/>
    <cellStyle name="Heading 1 4" xfId="69" xr:uid="{00000000-0005-0000-0000-000049000000}"/>
    <cellStyle name="Heading 2 2" xfId="70" xr:uid="{00000000-0005-0000-0000-00004A000000}"/>
    <cellStyle name="Heading 2 3" xfId="71" xr:uid="{00000000-0005-0000-0000-00004B000000}"/>
    <cellStyle name="Heading 3 2" xfId="72" xr:uid="{00000000-0005-0000-0000-00004C000000}"/>
    <cellStyle name="Heading 3 3" xfId="73" xr:uid="{00000000-0005-0000-0000-00004D000000}"/>
    <cellStyle name="Heading 4 2" xfId="74" xr:uid="{00000000-0005-0000-0000-00004E000000}"/>
    <cellStyle name="Heading 4 3" xfId="75" xr:uid="{00000000-0005-0000-0000-00004F000000}"/>
    <cellStyle name="Heading 5" xfId="76" xr:uid="{00000000-0005-0000-0000-000050000000}"/>
    <cellStyle name="Heading 6" xfId="77" xr:uid="{00000000-0005-0000-0000-000051000000}"/>
    <cellStyle name="Heading 7" xfId="78" xr:uid="{00000000-0005-0000-0000-000052000000}"/>
    <cellStyle name="Heading 8" xfId="79" xr:uid="{00000000-0005-0000-0000-000053000000}"/>
    <cellStyle name="Hyperlink" xfId="80" builtinId="8"/>
    <cellStyle name="Hyperlink 2" xfId="81" xr:uid="{00000000-0005-0000-0000-000055000000}"/>
    <cellStyle name="Hyperlink 2 2" xfId="339" xr:uid="{EF1F51B4-657B-434E-B3E6-01BE3B451CDF}"/>
    <cellStyle name="Hyperlink 3" xfId="374" xr:uid="{FEE6702A-746B-4C66-AA7A-88365CBAAB61}"/>
    <cellStyle name="Information" xfId="82" xr:uid="{00000000-0005-0000-0000-000056000000}"/>
    <cellStyle name="Input [yellow]" xfId="83" xr:uid="{00000000-0005-0000-0000-000057000000}"/>
    <cellStyle name="Input 10" xfId="84" xr:uid="{00000000-0005-0000-0000-000058000000}"/>
    <cellStyle name="Input 11" xfId="85" xr:uid="{00000000-0005-0000-0000-000059000000}"/>
    <cellStyle name="Input 12" xfId="86" xr:uid="{00000000-0005-0000-0000-00005A000000}"/>
    <cellStyle name="Input 13" xfId="87" xr:uid="{00000000-0005-0000-0000-00005B000000}"/>
    <cellStyle name="Input 14" xfId="88" xr:uid="{00000000-0005-0000-0000-00005C000000}"/>
    <cellStyle name="Input 15" xfId="89" xr:uid="{00000000-0005-0000-0000-00005D000000}"/>
    <cellStyle name="Input 16" xfId="90" xr:uid="{00000000-0005-0000-0000-00005E000000}"/>
    <cellStyle name="Input 17" xfId="91" xr:uid="{00000000-0005-0000-0000-00005F000000}"/>
    <cellStyle name="Input 18" xfId="92" xr:uid="{00000000-0005-0000-0000-000060000000}"/>
    <cellStyle name="Input 19" xfId="93" xr:uid="{00000000-0005-0000-0000-000061000000}"/>
    <cellStyle name="Input 2" xfId="94" xr:uid="{00000000-0005-0000-0000-000062000000}"/>
    <cellStyle name="Input 3" xfId="95" xr:uid="{00000000-0005-0000-0000-000063000000}"/>
    <cellStyle name="Input 4" xfId="96" xr:uid="{00000000-0005-0000-0000-000064000000}"/>
    <cellStyle name="Input 5" xfId="97" xr:uid="{00000000-0005-0000-0000-000065000000}"/>
    <cellStyle name="Input 6" xfId="98" xr:uid="{00000000-0005-0000-0000-000066000000}"/>
    <cellStyle name="Input 7" xfId="99" xr:uid="{00000000-0005-0000-0000-000067000000}"/>
    <cellStyle name="Input 8" xfId="100" xr:uid="{00000000-0005-0000-0000-000068000000}"/>
    <cellStyle name="Input 9" xfId="101" xr:uid="{00000000-0005-0000-0000-000069000000}"/>
    <cellStyle name="LabelIntersect" xfId="102" xr:uid="{00000000-0005-0000-0000-00006A000000}"/>
    <cellStyle name="LabelLeft" xfId="103" xr:uid="{00000000-0005-0000-0000-00006B000000}"/>
    <cellStyle name="LabelTop" xfId="104" xr:uid="{00000000-0005-0000-0000-00006C000000}"/>
    <cellStyle name="Linked Cell 2" xfId="105" xr:uid="{00000000-0005-0000-0000-00006D000000}"/>
    <cellStyle name="Mik" xfId="106" xr:uid="{00000000-0005-0000-0000-00006E000000}"/>
    <cellStyle name="Mik 2" xfId="107" xr:uid="{00000000-0005-0000-0000-00006F000000}"/>
    <cellStyle name="Mik_For fiscal tables" xfId="108" xr:uid="{00000000-0005-0000-0000-000070000000}"/>
    <cellStyle name="N" xfId="109" xr:uid="{00000000-0005-0000-0000-000071000000}"/>
    <cellStyle name="N 2" xfId="110" xr:uid="{00000000-0005-0000-0000-000072000000}"/>
    <cellStyle name="Neutral 2" xfId="111" xr:uid="{00000000-0005-0000-0000-000073000000}"/>
    <cellStyle name="Normal" xfId="0" builtinId="0"/>
    <cellStyle name="Normal - Style1" xfId="112" xr:uid="{00000000-0005-0000-0000-000075000000}"/>
    <cellStyle name="Normal - Style2" xfId="113" xr:uid="{00000000-0005-0000-0000-000076000000}"/>
    <cellStyle name="Normal - Style3" xfId="114" xr:uid="{00000000-0005-0000-0000-000077000000}"/>
    <cellStyle name="Normal - Style4" xfId="115" xr:uid="{00000000-0005-0000-0000-000078000000}"/>
    <cellStyle name="Normal - Style5" xfId="116" xr:uid="{00000000-0005-0000-0000-000079000000}"/>
    <cellStyle name="Normal 10" xfId="117" xr:uid="{00000000-0005-0000-0000-00007A000000}"/>
    <cellStyle name="Normal 10 4" xfId="316" xr:uid="{5A9F7424-DD9A-4C54-94A0-A2B597E56DE1}"/>
    <cellStyle name="Normal 11" xfId="118" xr:uid="{00000000-0005-0000-0000-00007B000000}"/>
    <cellStyle name="Normal 12" xfId="119" xr:uid="{00000000-0005-0000-0000-00007C000000}"/>
    <cellStyle name="Normal 13" xfId="120" xr:uid="{00000000-0005-0000-0000-00007D000000}"/>
    <cellStyle name="Normal 14" xfId="121" xr:uid="{00000000-0005-0000-0000-00007E000000}"/>
    <cellStyle name="Normal 15" xfId="122" xr:uid="{00000000-0005-0000-0000-00007F000000}"/>
    <cellStyle name="Normal 16" xfId="123" xr:uid="{00000000-0005-0000-0000-000080000000}"/>
    <cellStyle name="Normal 17" xfId="124" xr:uid="{00000000-0005-0000-0000-000081000000}"/>
    <cellStyle name="Normal 18" xfId="125" xr:uid="{00000000-0005-0000-0000-000082000000}"/>
    <cellStyle name="Normal 19" xfId="126" xr:uid="{00000000-0005-0000-0000-000083000000}"/>
    <cellStyle name="Normal 2" xfId="127" xr:uid="{00000000-0005-0000-0000-000084000000}"/>
    <cellStyle name="Normal 2 2" xfId="128" xr:uid="{00000000-0005-0000-0000-000085000000}"/>
    <cellStyle name="Normal 20" xfId="129" xr:uid="{00000000-0005-0000-0000-000086000000}"/>
    <cellStyle name="Normal 21" xfId="130" xr:uid="{00000000-0005-0000-0000-000087000000}"/>
    <cellStyle name="Normal 21 2" xfId="131" xr:uid="{00000000-0005-0000-0000-000088000000}"/>
    <cellStyle name="Normal 21_Copy of Fiscal Tables" xfId="132" xr:uid="{00000000-0005-0000-0000-000089000000}"/>
    <cellStyle name="Normal 22" xfId="133" xr:uid="{00000000-0005-0000-0000-00008A000000}"/>
    <cellStyle name="Normal 22 2" xfId="134" xr:uid="{00000000-0005-0000-0000-00008B000000}"/>
    <cellStyle name="Normal 22_Copy of Fiscal Tables" xfId="135" xr:uid="{00000000-0005-0000-0000-00008C000000}"/>
    <cellStyle name="Normal 23" xfId="136" xr:uid="{00000000-0005-0000-0000-00008D000000}"/>
    <cellStyle name="Normal 24" xfId="137" xr:uid="{00000000-0005-0000-0000-00008E000000}"/>
    <cellStyle name="Normal 24 2" xfId="138" xr:uid="{00000000-0005-0000-0000-00008F000000}"/>
    <cellStyle name="Normal 25" xfId="139" xr:uid="{00000000-0005-0000-0000-000090000000}"/>
    <cellStyle name="Normal 25 2" xfId="140" xr:uid="{00000000-0005-0000-0000-000091000000}"/>
    <cellStyle name="Normal 26" xfId="141" xr:uid="{00000000-0005-0000-0000-000092000000}"/>
    <cellStyle name="Normal 26 2" xfId="142" xr:uid="{00000000-0005-0000-0000-000093000000}"/>
    <cellStyle name="Normal 27" xfId="143" xr:uid="{00000000-0005-0000-0000-000094000000}"/>
    <cellStyle name="Normal 27 2" xfId="144" xr:uid="{00000000-0005-0000-0000-000095000000}"/>
    <cellStyle name="Normal 28" xfId="145" xr:uid="{00000000-0005-0000-0000-000096000000}"/>
    <cellStyle name="Normal 28 2" xfId="146" xr:uid="{00000000-0005-0000-0000-000097000000}"/>
    <cellStyle name="Normal 29" xfId="147" xr:uid="{00000000-0005-0000-0000-000098000000}"/>
    <cellStyle name="Normal 29 2" xfId="148" xr:uid="{00000000-0005-0000-0000-000099000000}"/>
    <cellStyle name="Normal 3" xfId="149" xr:uid="{00000000-0005-0000-0000-00009A000000}"/>
    <cellStyle name="Normal 3 2" xfId="150" xr:uid="{00000000-0005-0000-0000-00009B000000}"/>
    <cellStyle name="Normal 3_asset sales" xfId="151" xr:uid="{00000000-0005-0000-0000-00009C000000}"/>
    <cellStyle name="Normal 30" xfId="152" xr:uid="{00000000-0005-0000-0000-00009D000000}"/>
    <cellStyle name="Normal 30 2" xfId="153" xr:uid="{00000000-0005-0000-0000-00009E000000}"/>
    <cellStyle name="Normal 31" xfId="154" xr:uid="{00000000-0005-0000-0000-00009F000000}"/>
    <cellStyle name="Normal 31 2" xfId="155" xr:uid="{00000000-0005-0000-0000-0000A0000000}"/>
    <cellStyle name="Normal 32" xfId="156" xr:uid="{00000000-0005-0000-0000-0000A1000000}"/>
    <cellStyle name="Normal 32 2" xfId="157" xr:uid="{00000000-0005-0000-0000-0000A2000000}"/>
    <cellStyle name="Normal 33" xfId="158" xr:uid="{00000000-0005-0000-0000-0000A3000000}"/>
    <cellStyle name="Normal 33 2" xfId="159" xr:uid="{00000000-0005-0000-0000-0000A4000000}"/>
    <cellStyle name="Normal 34" xfId="160" xr:uid="{00000000-0005-0000-0000-0000A5000000}"/>
    <cellStyle name="Normal 34 2" xfId="161" xr:uid="{00000000-0005-0000-0000-0000A6000000}"/>
    <cellStyle name="Normal 35" xfId="162" xr:uid="{00000000-0005-0000-0000-0000A7000000}"/>
    <cellStyle name="Normal 35 2" xfId="163" xr:uid="{00000000-0005-0000-0000-0000A8000000}"/>
    <cellStyle name="Normal 36" xfId="164" xr:uid="{00000000-0005-0000-0000-0000A9000000}"/>
    <cellStyle name="Normal 37" xfId="165" xr:uid="{00000000-0005-0000-0000-0000AA000000}"/>
    <cellStyle name="Normal 38" xfId="166" xr:uid="{00000000-0005-0000-0000-0000AB000000}"/>
    <cellStyle name="Normal 39" xfId="167" xr:uid="{00000000-0005-0000-0000-0000AC000000}"/>
    <cellStyle name="Normal 4" xfId="168" xr:uid="{00000000-0005-0000-0000-0000AD000000}"/>
    <cellStyle name="Normal 40" xfId="169" xr:uid="{00000000-0005-0000-0000-0000AE000000}"/>
    <cellStyle name="Normal 41" xfId="170" xr:uid="{00000000-0005-0000-0000-0000AF000000}"/>
    <cellStyle name="Normal 42" xfId="171" xr:uid="{00000000-0005-0000-0000-0000B0000000}"/>
    <cellStyle name="Normal 43" xfId="172" xr:uid="{00000000-0005-0000-0000-0000B1000000}"/>
    <cellStyle name="Normal 44" xfId="173" xr:uid="{00000000-0005-0000-0000-0000B2000000}"/>
    <cellStyle name="Normal 45" xfId="174" xr:uid="{00000000-0005-0000-0000-0000B3000000}"/>
    <cellStyle name="Normal 46" xfId="175" xr:uid="{00000000-0005-0000-0000-0000B4000000}"/>
    <cellStyle name="Normal 47" xfId="176" xr:uid="{00000000-0005-0000-0000-0000B5000000}"/>
    <cellStyle name="Normal 48" xfId="338" xr:uid="{7A668A09-3685-4F80-AD94-1F973B0564D6}"/>
    <cellStyle name="Normal 48 2" xfId="373" xr:uid="{C3D8042A-ED4B-4715-B71A-43A257466FA0}"/>
    <cellStyle name="Normal 49" xfId="337" xr:uid="{8A132D17-3429-4BAA-BFF3-CDDCD337B210}"/>
    <cellStyle name="Normal 5" xfId="177" xr:uid="{00000000-0005-0000-0000-0000B6000000}"/>
    <cellStyle name="Normal 6" xfId="178" xr:uid="{00000000-0005-0000-0000-0000B7000000}"/>
    <cellStyle name="Normal 7" xfId="179" xr:uid="{00000000-0005-0000-0000-0000B8000000}"/>
    <cellStyle name="Normal 8" xfId="180" xr:uid="{00000000-0005-0000-0000-0000B9000000}"/>
    <cellStyle name="Normal 9" xfId="181" xr:uid="{00000000-0005-0000-0000-0000BA000000}"/>
    <cellStyle name="Normal_Firms 2" xfId="319" xr:uid="{B8B24DCF-4D5F-4608-B1D0-BD3CB57C1EBA}"/>
    <cellStyle name="Normal_Linked Economy Supplementary Tables AS11" xfId="318" xr:uid="{6A4E9186-E75C-428D-8B09-BEA59FDA4956}"/>
    <cellStyle name="Note 2" xfId="182" xr:uid="{00000000-0005-0000-0000-0000BD000000}"/>
    <cellStyle name="Output 2" xfId="183" xr:uid="{00000000-0005-0000-0000-0000BE000000}"/>
    <cellStyle name="Output Amounts" xfId="184" xr:uid="{00000000-0005-0000-0000-0000BF000000}"/>
    <cellStyle name="Output Column Headings" xfId="185" xr:uid="{00000000-0005-0000-0000-0000C0000000}"/>
    <cellStyle name="Output Line Items" xfId="186" xr:uid="{00000000-0005-0000-0000-0000C1000000}"/>
    <cellStyle name="Output Report Heading" xfId="187" xr:uid="{00000000-0005-0000-0000-0000C2000000}"/>
    <cellStyle name="Output Report Title" xfId="188" xr:uid="{00000000-0005-0000-0000-0000C3000000}"/>
    <cellStyle name="P" xfId="189" xr:uid="{00000000-0005-0000-0000-0000C4000000}"/>
    <cellStyle name="P 2" xfId="190" xr:uid="{00000000-0005-0000-0000-0000C5000000}"/>
    <cellStyle name="Per cent" xfId="317" builtinId="5"/>
    <cellStyle name="Percent [2]" xfId="191" xr:uid="{00000000-0005-0000-0000-0000C6000000}"/>
    <cellStyle name="Percent 2" xfId="192" xr:uid="{00000000-0005-0000-0000-0000C7000000}"/>
    <cellStyle name="Percent 3" xfId="193" xr:uid="{00000000-0005-0000-0000-0000C8000000}"/>
    <cellStyle name="Percent 3 2" xfId="194" xr:uid="{00000000-0005-0000-0000-0000C9000000}"/>
    <cellStyle name="Percent 4" xfId="195" xr:uid="{00000000-0005-0000-0000-0000CA000000}"/>
    <cellStyle name="Percent 4 2" xfId="196" xr:uid="{00000000-0005-0000-0000-0000CB000000}"/>
    <cellStyle name="Percent 5" xfId="197" xr:uid="{00000000-0005-0000-0000-0000CC000000}"/>
    <cellStyle name="Percent 6" xfId="198" xr:uid="{00000000-0005-0000-0000-0000CD000000}"/>
    <cellStyle name="Percent 7" xfId="199" xr:uid="{00000000-0005-0000-0000-0000CE000000}"/>
    <cellStyle name="Refdb standard" xfId="200" xr:uid="{00000000-0005-0000-0000-0000CF000000}"/>
    <cellStyle name="ReportData" xfId="201" xr:uid="{00000000-0005-0000-0000-0000D0000000}"/>
    <cellStyle name="ReportElements" xfId="202" xr:uid="{00000000-0005-0000-0000-0000D1000000}"/>
    <cellStyle name="ReportHeader" xfId="203" xr:uid="{00000000-0005-0000-0000-0000D2000000}"/>
    <cellStyle name="SAPBEXaggData" xfId="204" xr:uid="{00000000-0005-0000-0000-0000D3000000}"/>
    <cellStyle name="SAPBEXaggDataEmph" xfId="205" xr:uid="{00000000-0005-0000-0000-0000D4000000}"/>
    <cellStyle name="SAPBEXaggItem" xfId="206" xr:uid="{00000000-0005-0000-0000-0000D5000000}"/>
    <cellStyle name="SAPBEXaggItemX" xfId="207" xr:uid="{00000000-0005-0000-0000-0000D6000000}"/>
    <cellStyle name="SAPBEXchaText" xfId="208" xr:uid="{00000000-0005-0000-0000-0000D7000000}"/>
    <cellStyle name="SAPBEXexcBad7" xfId="209" xr:uid="{00000000-0005-0000-0000-0000D8000000}"/>
    <cellStyle name="SAPBEXexcBad8" xfId="210" xr:uid="{00000000-0005-0000-0000-0000D9000000}"/>
    <cellStyle name="SAPBEXexcBad9" xfId="211" xr:uid="{00000000-0005-0000-0000-0000DA000000}"/>
    <cellStyle name="SAPBEXexcCritical4" xfId="212" xr:uid="{00000000-0005-0000-0000-0000DB000000}"/>
    <cellStyle name="SAPBEXexcCritical5" xfId="213" xr:uid="{00000000-0005-0000-0000-0000DC000000}"/>
    <cellStyle name="SAPBEXexcCritical6" xfId="214" xr:uid="{00000000-0005-0000-0000-0000DD000000}"/>
    <cellStyle name="SAPBEXexcGood1" xfId="215" xr:uid="{00000000-0005-0000-0000-0000DE000000}"/>
    <cellStyle name="SAPBEXexcGood2" xfId="216" xr:uid="{00000000-0005-0000-0000-0000DF000000}"/>
    <cellStyle name="SAPBEXexcGood3" xfId="217" xr:uid="{00000000-0005-0000-0000-0000E0000000}"/>
    <cellStyle name="SAPBEXfilterDrill" xfId="218" xr:uid="{00000000-0005-0000-0000-0000E1000000}"/>
    <cellStyle name="SAPBEXfilterItem" xfId="219" xr:uid="{00000000-0005-0000-0000-0000E2000000}"/>
    <cellStyle name="SAPBEXfilterText" xfId="220" xr:uid="{00000000-0005-0000-0000-0000E3000000}"/>
    <cellStyle name="SAPBEXformats" xfId="221" xr:uid="{00000000-0005-0000-0000-0000E4000000}"/>
    <cellStyle name="SAPBEXheaderItem" xfId="222" xr:uid="{00000000-0005-0000-0000-0000E5000000}"/>
    <cellStyle name="SAPBEXheaderText" xfId="223" xr:uid="{00000000-0005-0000-0000-0000E6000000}"/>
    <cellStyle name="SAPBEXHLevel0" xfId="224" xr:uid="{00000000-0005-0000-0000-0000E7000000}"/>
    <cellStyle name="SAPBEXHLevel0X" xfId="225" xr:uid="{00000000-0005-0000-0000-0000E8000000}"/>
    <cellStyle name="SAPBEXHLevel1" xfId="226" xr:uid="{00000000-0005-0000-0000-0000E9000000}"/>
    <cellStyle name="SAPBEXHLevel1X" xfId="227" xr:uid="{00000000-0005-0000-0000-0000EA000000}"/>
    <cellStyle name="SAPBEXHLevel2" xfId="228" xr:uid="{00000000-0005-0000-0000-0000EB000000}"/>
    <cellStyle name="SAPBEXHLevel2X" xfId="229" xr:uid="{00000000-0005-0000-0000-0000EC000000}"/>
    <cellStyle name="SAPBEXHLevel3" xfId="230" xr:uid="{00000000-0005-0000-0000-0000ED000000}"/>
    <cellStyle name="SAPBEXHLevel3X" xfId="231" xr:uid="{00000000-0005-0000-0000-0000EE000000}"/>
    <cellStyle name="SAPBEXresData" xfId="232" xr:uid="{00000000-0005-0000-0000-0000EF000000}"/>
    <cellStyle name="SAPBEXresDataEmph" xfId="233" xr:uid="{00000000-0005-0000-0000-0000F0000000}"/>
    <cellStyle name="SAPBEXresItem" xfId="234" xr:uid="{00000000-0005-0000-0000-0000F1000000}"/>
    <cellStyle name="SAPBEXresItemX" xfId="235" xr:uid="{00000000-0005-0000-0000-0000F2000000}"/>
    <cellStyle name="SAPBEXstdData" xfId="236" xr:uid="{00000000-0005-0000-0000-0000F3000000}"/>
    <cellStyle name="SAPBEXstdDataEmph" xfId="237" xr:uid="{00000000-0005-0000-0000-0000F4000000}"/>
    <cellStyle name="SAPBEXstdItem" xfId="238" xr:uid="{00000000-0005-0000-0000-0000F5000000}"/>
    <cellStyle name="SAPBEXstdItemX" xfId="239" xr:uid="{00000000-0005-0000-0000-0000F6000000}"/>
    <cellStyle name="SAPBEXtitle" xfId="240" xr:uid="{00000000-0005-0000-0000-0000F7000000}"/>
    <cellStyle name="SAPBEXundefined" xfId="241" xr:uid="{00000000-0005-0000-0000-0000F8000000}"/>
    <cellStyle name="Style 1" xfId="242" xr:uid="{00000000-0005-0000-0000-0000F9000000}"/>
    <cellStyle name="Style1" xfId="243" xr:uid="{00000000-0005-0000-0000-0000FA000000}"/>
    <cellStyle name="Style2" xfId="244" xr:uid="{00000000-0005-0000-0000-0000FB000000}"/>
    <cellStyle name="Style3" xfId="245" xr:uid="{00000000-0005-0000-0000-0000FC000000}"/>
    <cellStyle name="Style4" xfId="246" xr:uid="{00000000-0005-0000-0000-0000FD000000}"/>
    <cellStyle name="Style5" xfId="247" xr:uid="{00000000-0005-0000-0000-0000FE000000}"/>
    <cellStyle name="Style6" xfId="248" xr:uid="{00000000-0005-0000-0000-0000FF000000}"/>
    <cellStyle name="Table Footnote" xfId="249" xr:uid="{00000000-0005-0000-0000-000000010000}"/>
    <cellStyle name="Table Footnote 2" xfId="250" xr:uid="{00000000-0005-0000-0000-000001010000}"/>
    <cellStyle name="Table Footnote 2 2" xfId="251" xr:uid="{00000000-0005-0000-0000-000002010000}"/>
    <cellStyle name="Table Footnote_Table 5.6 sales of assets 23Feb2010" xfId="252" xr:uid="{00000000-0005-0000-0000-000003010000}"/>
    <cellStyle name="Table Header" xfId="253" xr:uid="{00000000-0005-0000-0000-000004010000}"/>
    <cellStyle name="Table Header 2" xfId="254" xr:uid="{00000000-0005-0000-0000-000005010000}"/>
    <cellStyle name="Table Header 2 2" xfId="255" xr:uid="{00000000-0005-0000-0000-000006010000}"/>
    <cellStyle name="Table Header_Table 5.6 sales of assets 23Feb2010" xfId="256" xr:uid="{00000000-0005-0000-0000-000007010000}"/>
    <cellStyle name="Table Heading 1" xfId="257" xr:uid="{00000000-0005-0000-0000-000008010000}"/>
    <cellStyle name="Table Heading 1 2" xfId="258" xr:uid="{00000000-0005-0000-0000-000009010000}"/>
    <cellStyle name="Table Heading 1 2 2" xfId="259" xr:uid="{00000000-0005-0000-0000-00000A010000}"/>
    <cellStyle name="Table Heading 1_Table 5.6 sales of assets 23Feb2010" xfId="260" xr:uid="{00000000-0005-0000-0000-00000B010000}"/>
    <cellStyle name="Table Heading 2" xfId="261" xr:uid="{00000000-0005-0000-0000-00000C010000}"/>
    <cellStyle name="Table Heading 2 2" xfId="262" xr:uid="{00000000-0005-0000-0000-00000D010000}"/>
    <cellStyle name="Table Heading 2_Table 5.6 sales of assets 23Feb2010" xfId="263" xr:uid="{00000000-0005-0000-0000-00000E010000}"/>
    <cellStyle name="Table Of Which" xfId="264" xr:uid="{00000000-0005-0000-0000-00000F010000}"/>
    <cellStyle name="Table Of Which 2" xfId="265" xr:uid="{00000000-0005-0000-0000-000010010000}"/>
    <cellStyle name="Table Of Which_Table 5.6 sales of assets 23Feb2010" xfId="266" xr:uid="{00000000-0005-0000-0000-000011010000}"/>
    <cellStyle name="Table Row Billions" xfId="267" xr:uid="{00000000-0005-0000-0000-000012010000}"/>
    <cellStyle name="Table Row Billions 2" xfId="268" xr:uid="{00000000-0005-0000-0000-000013010000}"/>
    <cellStyle name="Table Row Billions Check" xfId="269" xr:uid="{00000000-0005-0000-0000-000014010000}"/>
    <cellStyle name="Table Row Billions Check 2" xfId="270" xr:uid="{00000000-0005-0000-0000-000015010000}"/>
    <cellStyle name="Table Row Billions Check 3" xfId="271" xr:uid="{00000000-0005-0000-0000-000016010000}"/>
    <cellStyle name="Table Row Billions Check_asset sales" xfId="272" xr:uid="{00000000-0005-0000-0000-000017010000}"/>
    <cellStyle name="Table Row Billions_Table 5.6 sales of assets 23Feb2010" xfId="273" xr:uid="{00000000-0005-0000-0000-000018010000}"/>
    <cellStyle name="Table Row Millions" xfId="274" xr:uid="{00000000-0005-0000-0000-000019010000}"/>
    <cellStyle name="Table Row Millions 2" xfId="275" xr:uid="{00000000-0005-0000-0000-00001A010000}"/>
    <cellStyle name="Table Row Millions 2 2" xfId="276" xr:uid="{00000000-0005-0000-0000-00001B010000}"/>
    <cellStyle name="Table Row Millions Check" xfId="277" xr:uid="{00000000-0005-0000-0000-00001C010000}"/>
    <cellStyle name="Table Row Millions Check 2" xfId="278" xr:uid="{00000000-0005-0000-0000-00001D010000}"/>
    <cellStyle name="Table Row Millions Check 3" xfId="279" xr:uid="{00000000-0005-0000-0000-00001E010000}"/>
    <cellStyle name="Table Row Millions Check 4" xfId="280" xr:uid="{00000000-0005-0000-0000-00001F010000}"/>
    <cellStyle name="Table Row Millions Check_asset sales" xfId="281" xr:uid="{00000000-0005-0000-0000-000020010000}"/>
    <cellStyle name="Table Row Millions_Table 5.6 sales of assets 23Feb2010" xfId="282" xr:uid="{00000000-0005-0000-0000-000021010000}"/>
    <cellStyle name="Table Row Percentage" xfId="283" xr:uid="{00000000-0005-0000-0000-000022010000}"/>
    <cellStyle name="Table Row Percentage 2" xfId="284" xr:uid="{00000000-0005-0000-0000-000023010000}"/>
    <cellStyle name="Table Row Percentage Check" xfId="285" xr:uid="{00000000-0005-0000-0000-000024010000}"/>
    <cellStyle name="Table Row Percentage Check 2" xfId="286" xr:uid="{00000000-0005-0000-0000-000025010000}"/>
    <cellStyle name="Table Row Percentage Check 3" xfId="287" xr:uid="{00000000-0005-0000-0000-000026010000}"/>
    <cellStyle name="Table Row Percentage Check_asset sales" xfId="288" xr:uid="{00000000-0005-0000-0000-000027010000}"/>
    <cellStyle name="Table Row Percentage_Table 5.6 sales of assets 23Feb2010" xfId="289" xr:uid="{00000000-0005-0000-0000-000028010000}"/>
    <cellStyle name="Table Total Billions" xfId="290" xr:uid="{00000000-0005-0000-0000-000029010000}"/>
    <cellStyle name="Table Total Billions 2" xfId="291" xr:uid="{00000000-0005-0000-0000-00002A010000}"/>
    <cellStyle name="Table Total Billions_Table 5.6 sales of assets 23Feb2010" xfId="292" xr:uid="{00000000-0005-0000-0000-00002B010000}"/>
    <cellStyle name="Table Total Millions" xfId="293" xr:uid="{00000000-0005-0000-0000-00002C010000}"/>
    <cellStyle name="Table Total Millions 2" xfId="294" xr:uid="{00000000-0005-0000-0000-00002D010000}"/>
    <cellStyle name="Table Total Millions 2 2" xfId="295" xr:uid="{00000000-0005-0000-0000-00002E010000}"/>
    <cellStyle name="Table Total Millions_Table 5.6 sales of assets 23Feb2010" xfId="296" xr:uid="{00000000-0005-0000-0000-00002F010000}"/>
    <cellStyle name="Table Total Percentage" xfId="297" xr:uid="{00000000-0005-0000-0000-000030010000}"/>
    <cellStyle name="Table Total Percentage 2" xfId="298" xr:uid="{00000000-0005-0000-0000-000031010000}"/>
    <cellStyle name="Table Total Percentage_Table 5.6 sales of assets 23Feb2010" xfId="299" xr:uid="{00000000-0005-0000-0000-000032010000}"/>
    <cellStyle name="Table Units" xfId="300" xr:uid="{00000000-0005-0000-0000-000033010000}"/>
    <cellStyle name="Table Units 2" xfId="301" xr:uid="{00000000-0005-0000-0000-000034010000}"/>
    <cellStyle name="Table Units 2 2" xfId="302" xr:uid="{00000000-0005-0000-0000-000035010000}"/>
    <cellStyle name="Table Units_Table 5.6 sales of assets 23Feb2010" xfId="303" xr:uid="{00000000-0005-0000-0000-000036010000}"/>
    <cellStyle name="Times New Roman" xfId="304" xr:uid="{00000000-0005-0000-0000-000037010000}"/>
    <cellStyle name="Title 2" xfId="305" xr:uid="{00000000-0005-0000-0000-000038010000}"/>
    <cellStyle name="Title 3" xfId="306" xr:uid="{00000000-0005-0000-0000-000039010000}"/>
    <cellStyle name="Title 4" xfId="307" xr:uid="{00000000-0005-0000-0000-00003A010000}"/>
    <cellStyle name="Total 2" xfId="308" xr:uid="{00000000-0005-0000-0000-00003B010000}"/>
    <cellStyle name="Warning Text 2" xfId="309" xr:uid="{00000000-0005-0000-0000-00003C010000}"/>
    <cellStyle name="whole number" xfId="310" xr:uid="{00000000-0005-0000-0000-00003D01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BE3E8"/>
      <rgbColor rgb="00B5C7D4"/>
      <rgbColor rgb="0091ABBD"/>
      <rgbColor rgb="0099CCFF"/>
      <rgbColor rgb="00477391"/>
      <rgbColor rgb="00CC99FF"/>
      <rgbColor rgb="006B8FA8"/>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theme/theme1.xml><?xml version="1.0" encoding="utf-8"?>
<a:theme xmlns:a="http://schemas.openxmlformats.org/drawingml/2006/main" name="EFO">
  <a:themeElements>
    <a:clrScheme name="EFO">
      <a:dk1>
        <a:srgbClr val="000000"/>
      </a:dk1>
      <a:lt1>
        <a:sysClr val="window" lastClr="FFFFFF"/>
      </a:lt1>
      <a:dk2>
        <a:srgbClr val="DBE3E8"/>
      </a:dk2>
      <a:lt2>
        <a:srgbClr val="FFFFFF"/>
      </a:lt2>
      <a:accent1>
        <a:srgbClr val="DBE3E8"/>
      </a:accent1>
      <a:accent2>
        <a:srgbClr val="B5C7D4"/>
      </a:accent2>
      <a:accent3>
        <a:srgbClr val="91ABBD"/>
      </a:accent3>
      <a:accent4>
        <a:srgbClr val="6B8FA8"/>
      </a:accent4>
      <a:accent5>
        <a:srgbClr val="477391"/>
      </a:accent5>
      <a:accent6>
        <a:srgbClr val="FFFFFF"/>
      </a:accent6>
      <a:hlink>
        <a:srgbClr val="6B8FA8"/>
      </a:hlink>
      <a:folHlink>
        <a:srgbClr val="477391"/>
      </a:folHlink>
    </a:clrScheme>
    <a:fontScheme name="All">
      <a:majorFont>
        <a:latin typeface="Futura Bk BT"/>
        <a:ea typeface=""/>
        <a:cs typeface=""/>
      </a:majorFont>
      <a:minorFont>
        <a:latin typeface="Futura Bk B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54"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68E1F39-671B-41B3-8AD3-B5C33E80F2E0}">
  <we:reference id="wa200003696" version="1.3.0.0" store="en-US" storeType="OMEX"/>
  <we:alternateReferences>
    <we:reference id="wa200003696" version="1.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sheetPr>
  <dimension ref="A1:N34"/>
  <sheetViews>
    <sheetView showFormulas="1" tabSelected="1" zoomScaleNormal="100" zoomScaleSheetLayoutView="100" workbookViewId="0"/>
  </sheetViews>
  <sheetFormatPr defaultColWidth="8.77734375" defaultRowHeight="15" x14ac:dyDescent="0.25"/>
  <cols>
    <col min="1" max="1" width="2.88671875" style="1" customWidth="1"/>
    <col min="2" max="2" width="76.109375" style="1" customWidth="1"/>
    <col min="3" max="16384" width="8.77734375" style="1"/>
  </cols>
  <sheetData>
    <row r="1" spans="1:14" ht="33.75" customHeight="1" thickBot="1" x14ac:dyDescent="0.3">
      <c r="A1" s="9"/>
      <c r="B1" s="5"/>
      <c r="C1" s="5"/>
      <c r="D1" s="5"/>
      <c r="E1" s="5"/>
      <c r="F1" s="5"/>
      <c r="G1" s="5"/>
      <c r="H1" s="5"/>
      <c r="I1" s="5"/>
      <c r="J1" s="5"/>
      <c r="K1" s="5"/>
      <c r="L1" s="5"/>
      <c r="M1" s="5"/>
      <c r="N1" s="5"/>
    </row>
    <row r="2" spans="1:14" ht="33" customHeight="1" thickBot="1" x14ac:dyDescent="0.3">
      <c r="A2" s="5"/>
      <c r="B2" s="298" t="s">
        <v>660</v>
      </c>
      <c r="C2" s="5"/>
      <c r="D2" s="5"/>
      <c r="E2" s="5"/>
      <c r="F2" s="5"/>
      <c r="G2" s="5"/>
      <c r="H2" s="5"/>
      <c r="I2" s="5"/>
      <c r="J2" s="5"/>
      <c r="K2" s="5"/>
      <c r="L2" s="5"/>
      <c r="M2" s="5"/>
      <c r="N2" s="5"/>
    </row>
    <row r="3" spans="1:14" ht="29.25" customHeight="1" x14ac:dyDescent="0.25">
      <c r="A3" s="11"/>
      <c r="B3" s="527" t="s">
        <v>0</v>
      </c>
      <c r="C3" s="5"/>
      <c r="E3" s="5"/>
      <c r="F3" s="5"/>
      <c r="G3" s="5"/>
      <c r="H3" s="5"/>
      <c r="I3" s="5"/>
      <c r="J3" s="5"/>
      <c r="K3" s="5"/>
      <c r="L3" s="5"/>
      <c r="M3" s="5"/>
      <c r="N3" s="5"/>
    </row>
    <row r="4" spans="1:14" ht="15.75" customHeight="1" x14ac:dyDescent="0.25">
      <c r="A4" s="11"/>
      <c r="B4" s="527" t="s">
        <v>1</v>
      </c>
      <c r="C4" s="5"/>
      <c r="D4" s="5"/>
      <c r="E4" s="5"/>
      <c r="F4" s="5"/>
      <c r="G4" s="5"/>
      <c r="H4" s="5"/>
      <c r="I4" s="5"/>
      <c r="J4" s="5"/>
      <c r="K4" s="5"/>
      <c r="L4" s="5"/>
      <c r="M4" s="5"/>
      <c r="N4" s="5"/>
    </row>
    <row r="5" spans="1:14" ht="15.75" customHeight="1" x14ac:dyDescent="0.25">
      <c r="A5" s="11"/>
      <c r="B5" s="527" t="s">
        <v>2</v>
      </c>
      <c r="C5" s="5"/>
      <c r="D5" s="5"/>
      <c r="E5" s="5"/>
      <c r="F5" s="5"/>
      <c r="G5" s="5"/>
      <c r="H5" s="5"/>
      <c r="I5" s="5"/>
      <c r="J5" s="5"/>
      <c r="K5" s="5"/>
      <c r="L5" s="5"/>
      <c r="M5" s="5"/>
      <c r="N5" s="5"/>
    </row>
    <row r="6" spans="1:14" ht="15.75" customHeight="1" x14ac:dyDescent="0.25">
      <c r="A6" s="11"/>
      <c r="B6" s="527" t="s">
        <v>3</v>
      </c>
      <c r="C6" s="5"/>
      <c r="D6" s="5"/>
      <c r="E6" s="5"/>
      <c r="F6" s="5"/>
      <c r="G6" s="5"/>
      <c r="H6" s="5"/>
      <c r="I6" s="5"/>
      <c r="J6" s="5"/>
      <c r="K6" s="5"/>
      <c r="L6" s="5"/>
      <c r="M6" s="5"/>
      <c r="N6" s="5"/>
    </row>
    <row r="7" spans="1:14" ht="15.75" customHeight="1" x14ac:dyDescent="0.25">
      <c r="A7" s="11"/>
      <c r="B7" s="527" t="s">
        <v>4</v>
      </c>
      <c r="C7" s="5"/>
      <c r="D7" s="5"/>
      <c r="E7" s="5"/>
      <c r="F7" s="5"/>
      <c r="G7" s="5"/>
      <c r="H7" s="5"/>
      <c r="I7" s="5"/>
      <c r="J7" s="5"/>
      <c r="K7" s="5"/>
      <c r="L7" s="5"/>
      <c r="M7" s="5"/>
      <c r="N7" s="5"/>
    </row>
    <row r="8" spans="1:14" ht="15.75" customHeight="1" x14ac:dyDescent="0.25">
      <c r="A8" s="11"/>
      <c r="B8" s="527" t="s">
        <v>5</v>
      </c>
      <c r="C8" s="5"/>
      <c r="D8" s="5"/>
      <c r="E8" s="5"/>
      <c r="F8" s="5"/>
      <c r="G8" s="5"/>
      <c r="H8" s="5"/>
      <c r="I8" s="5"/>
      <c r="J8" s="5"/>
      <c r="K8" s="5"/>
      <c r="L8" s="5"/>
      <c r="M8" s="5"/>
      <c r="N8" s="5"/>
    </row>
    <row r="9" spans="1:14" ht="15.75" customHeight="1" x14ac:dyDescent="0.25">
      <c r="A9" s="11"/>
      <c r="B9" s="527" t="s">
        <v>6</v>
      </c>
      <c r="C9" s="5"/>
      <c r="D9" s="5"/>
      <c r="E9" s="5"/>
      <c r="F9" s="5"/>
      <c r="G9" s="5"/>
      <c r="H9" s="5"/>
      <c r="I9" s="5"/>
      <c r="J9" s="5"/>
      <c r="K9" s="5"/>
      <c r="L9" s="5"/>
      <c r="M9" s="5"/>
      <c r="N9" s="5"/>
    </row>
    <row r="10" spans="1:14" ht="15.75" customHeight="1" x14ac:dyDescent="0.25">
      <c r="A10" s="11"/>
      <c r="B10" s="527" t="s">
        <v>7</v>
      </c>
      <c r="C10" s="5"/>
      <c r="D10" s="5"/>
      <c r="E10" s="5"/>
      <c r="F10" s="5"/>
      <c r="G10" s="5"/>
      <c r="H10" s="5"/>
      <c r="I10" s="5"/>
      <c r="J10" s="5"/>
      <c r="K10" s="5"/>
      <c r="L10" s="5"/>
      <c r="M10" s="5"/>
      <c r="N10" s="5"/>
    </row>
    <row r="11" spans="1:14" ht="15.75" customHeight="1" x14ac:dyDescent="0.25">
      <c r="A11" s="11"/>
      <c r="B11" s="527" t="s">
        <v>8</v>
      </c>
      <c r="C11" s="5"/>
      <c r="D11" s="5"/>
      <c r="E11" s="5"/>
      <c r="F11" s="5"/>
      <c r="G11" s="5"/>
      <c r="H11" s="5"/>
      <c r="I11" s="5"/>
      <c r="J11" s="5"/>
      <c r="K11" s="5"/>
      <c r="L11" s="5"/>
      <c r="M11" s="5"/>
      <c r="N11" s="5"/>
    </row>
    <row r="12" spans="1:14" ht="15.75" customHeight="1" x14ac:dyDescent="0.25">
      <c r="A12" s="12"/>
      <c r="B12" s="527" t="s">
        <v>9</v>
      </c>
      <c r="C12" s="5"/>
      <c r="D12" s="5"/>
      <c r="E12" s="5"/>
      <c r="F12" s="5"/>
      <c r="G12" s="5"/>
      <c r="H12" s="5"/>
      <c r="I12" s="5"/>
      <c r="J12" s="5"/>
      <c r="K12" s="5"/>
      <c r="L12" s="5"/>
      <c r="M12" s="5"/>
      <c r="N12" s="5"/>
    </row>
    <row r="13" spans="1:14" ht="15.75" customHeight="1" x14ac:dyDescent="0.25">
      <c r="A13" s="11"/>
      <c r="B13" s="527" t="s">
        <v>10</v>
      </c>
      <c r="C13" s="5"/>
      <c r="D13" s="5"/>
      <c r="E13" s="5"/>
      <c r="F13" s="5"/>
      <c r="G13" s="5"/>
      <c r="H13" s="5"/>
      <c r="I13" s="5"/>
      <c r="J13" s="5"/>
      <c r="K13" s="5"/>
      <c r="L13" s="5"/>
      <c r="M13" s="5"/>
      <c r="N13" s="5"/>
    </row>
    <row r="14" spans="1:14" ht="15.75" customHeight="1" x14ac:dyDescent="0.25">
      <c r="A14" s="11"/>
      <c r="B14" s="527" t="s">
        <v>11</v>
      </c>
      <c r="C14" s="5"/>
      <c r="D14" s="5"/>
      <c r="E14" s="5"/>
      <c r="F14" s="5"/>
      <c r="G14" s="5"/>
      <c r="H14" s="5"/>
      <c r="I14" s="5"/>
      <c r="J14" s="5"/>
      <c r="K14" s="5"/>
      <c r="L14" s="5"/>
      <c r="M14" s="5"/>
      <c r="N14" s="5"/>
    </row>
    <row r="15" spans="1:14" ht="15.75" customHeight="1" x14ac:dyDescent="0.25">
      <c r="A15" s="11"/>
      <c r="B15" s="527" t="s">
        <v>12</v>
      </c>
      <c r="C15" s="5"/>
      <c r="D15" s="5"/>
      <c r="E15" s="5"/>
      <c r="F15" s="5"/>
      <c r="G15" s="5"/>
      <c r="H15" s="5"/>
      <c r="I15" s="5"/>
      <c r="J15" s="5"/>
      <c r="K15" s="5"/>
      <c r="L15" s="5"/>
      <c r="M15" s="5"/>
      <c r="N15" s="5"/>
    </row>
    <row r="16" spans="1:14" ht="15.75" customHeight="1" x14ac:dyDescent="0.25">
      <c r="A16" s="11"/>
      <c r="B16" s="527" t="s">
        <v>13</v>
      </c>
      <c r="C16" s="5"/>
      <c r="E16" s="5"/>
      <c r="F16" s="5"/>
      <c r="G16" s="5"/>
      <c r="H16" s="5"/>
      <c r="I16" s="5"/>
      <c r="J16" s="5"/>
      <c r="K16" s="5"/>
      <c r="L16" s="5"/>
      <c r="M16" s="5"/>
      <c r="N16" s="5"/>
    </row>
    <row r="17" spans="1:14" ht="15.75" customHeight="1" x14ac:dyDescent="0.25">
      <c r="A17" s="11"/>
      <c r="B17" s="527" t="s">
        <v>14</v>
      </c>
      <c r="C17" s="5"/>
      <c r="D17" s="65"/>
      <c r="E17" s="5"/>
      <c r="F17" s="5"/>
      <c r="G17" s="5"/>
      <c r="H17" s="5"/>
      <c r="I17" s="5"/>
      <c r="J17" s="5"/>
      <c r="K17" s="5"/>
      <c r="L17" s="5"/>
      <c r="M17" s="5"/>
      <c r="N17" s="5"/>
    </row>
    <row r="18" spans="1:14" ht="15.75" customHeight="1" x14ac:dyDescent="0.25">
      <c r="A18" s="11"/>
      <c r="B18" s="527" t="s">
        <v>15</v>
      </c>
      <c r="C18" s="5"/>
      <c r="D18" s="65"/>
      <c r="E18" s="5"/>
      <c r="F18" s="5"/>
      <c r="G18" s="5"/>
      <c r="H18" s="5"/>
      <c r="I18" s="5"/>
      <c r="J18" s="5"/>
      <c r="K18" s="5"/>
      <c r="L18" s="5"/>
      <c r="M18" s="5"/>
      <c r="N18" s="5"/>
    </row>
    <row r="19" spans="1:14" ht="15.75" customHeight="1" x14ac:dyDescent="0.25">
      <c r="A19" s="11"/>
      <c r="B19" s="527" t="s">
        <v>16</v>
      </c>
      <c r="C19" s="64"/>
      <c r="D19" s="65"/>
      <c r="E19" s="5"/>
      <c r="F19" s="5"/>
      <c r="G19" s="5"/>
      <c r="H19" s="5"/>
      <c r="I19" s="5"/>
      <c r="J19" s="5"/>
      <c r="K19" s="5"/>
      <c r="L19" s="5"/>
      <c r="M19" s="5"/>
      <c r="N19" s="5"/>
    </row>
    <row r="20" spans="1:14" ht="15.75" customHeight="1" x14ac:dyDescent="0.25">
      <c r="A20" s="5"/>
      <c r="B20" s="527" t="s">
        <v>17</v>
      </c>
      <c r="C20" s="5"/>
      <c r="D20" s="65"/>
      <c r="E20" s="5"/>
      <c r="F20" s="5"/>
      <c r="G20" s="5"/>
      <c r="H20" s="5"/>
      <c r="I20" s="5"/>
      <c r="J20" s="5"/>
      <c r="K20" s="5"/>
      <c r="L20" s="5"/>
      <c r="M20" s="5"/>
      <c r="N20" s="5"/>
    </row>
    <row r="21" spans="1:14" ht="15.75" customHeight="1" x14ac:dyDescent="0.25">
      <c r="A21" s="5"/>
      <c r="B21" s="527" t="s">
        <v>18</v>
      </c>
      <c r="C21" s="5"/>
      <c r="D21" s="65"/>
      <c r="E21" s="5"/>
      <c r="F21" s="5"/>
      <c r="G21" s="5"/>
      <c r="H21" s="5"/>
      <c r="I21" s="5"/>
      <c r="J21" s="5"/>
      <c r="K21" s="5"/>
      <c r="L21" s="5"/>
      <c r="M21" s="5"/>
      <c r="N21" s="5"/>
    </row>
    <row r="22" spans="1:14" ht="15.75" customHeight="1" x14ac:dyDescent="0.25">
      <c r="A22" s="5"/>
      <c r="B22" s="527" t="s">
        <v>19</v>
      </c>
      <c r="C22" s="5"/>
      <c r="D22" s="65"/>
      <c r="E22" s="5"/>
      <c r="F22" s="5"/>
      <c r="G22" s="5"/>
      <c r="H22" s="5"/>
      <c r="I22" s="5"/>
      <c r="J22" s="5"/>
      <c r="K22" s="5"/>
      <c r="L22" s="5"/>
      <c r="M22" s="5"/>
      <c r="N22" s="5"/>
    </row>
    <row r="23" spans="1:14" ht="15.75" customHeight="1" x14ac:dyDescent="0.25">
      <c r="A23" s="5"/>
      <c r="B23" s="527" t="s">
        <v>20</v>
      </c>
      <c r="C23" s="5"/>
      <c r="D23" s="65"/>
      <c r="E23" s="5"/>
      <c r="F23" s="5"/>
      <c r="G23" s="5"/>
      <c r="H23" s="5"/>
      <c r="I23" s="5"/>
      <c r="J23" s="5"/>
      <c r="K23" s="5"/>
      <c r="L23" s="5"/>
      <c r="M23" s="5"/>
      <c r="N23" s="5"/>
    </row>
    <row r="24" spans="1:14" ht="15.75" customHeight="1" x14ac:dyDescent="0.25">
      <c r="A24" s="5"/>
      <c r="B24" s="528" t="s">
        <v>21</v>
      </c>
      <c r="C24" s="5"/>
      <c r="D24" s="65"/>
      <c r="E24" s="5"/>
      <c r="F24" s="5"/>
      <c r="G24" s="5"/>
      <c r="H24" s="5"/>
      <c r="I24" s="5"/>
      <c r="J24" s="5"/>
      <c r="K24" s="5"/>
      <c r="L24" s="5"/>
      <c r="M24" s="5"/>
      <c r="N24" s="5"/>
    </row>
    <row r="25" spans="1:14" ht="15.75" thickBot="1" x14ac:dyDescent="0.3">
      <c r="A25" s="5"/>
      <c r="B25" s="475"/>
      <c r="C25" s="5"/>
      <c r="D25" s="66"/>
      <c r="E25" s="5"/>
      <c r="F25" s="5"/>
      <c r="G25" s="5"/>
      <c r="H25" s="5"/>
      <c r="I25" s="5"/>
      <c r="J25" s="5"/>
      <c r="K25" s="5"/>
      <c r="L25" s="5"/>
      <c r="M25" s="5"/>
      <c r="N25" s="5"/>
    </row>
    <row r="26" spans="1:14" x14ac:dyDescent="0.25">
      <c r="A26" s="5"/>
      <c r="B26" s="340"/>
      <c r="C26" s="5"/>
      <c r="D26" s="66"/>
      <c r="E26" s="5"/>
      <c r="F26" s="5"/>
      <c r="G26" s="5"/>
      <c r="H26" s="5"/>
      <c r="I26" s="5"/>
      <c r="J26" s="5"/>
      <c r="K26" s="5"/>
      <c r="L26" s="5"/>
      <c r="M26" s="5"/>
      <c r="N26" s="5"/>
    </row>
    <row r="27" spans="1:14" x14ac:dyDescent="0.25">
      <c r="A27" s="5"/>
      <c r="B27" s="340"/>
      <c r="C27" s="5"/>
      <c r="D27" s="66"/>
      <c r="E27" s="5"/>
      <c r="F27" s="5"/>
      <c r="G27" s="5"/>
      <c r="H27" s="5"/>
      <c r="I27" s="5"/>
      <c r="J27" s="5"/>
      <c r="K27" s="5"/>
      <c r="L27" s="5"/>
      <c r="M27" s="5"/>
      <c r="N27" s="5"/>
    </row>
    <row r="28" spans="1:14" x14ac:dyDescent="0.25">
      <c r="A28" s="5"/>
      <c r="B28" s="340"/>
      <c r="C28" s="5"/>
      <c r="D28" s="5"/>
      <c r="E28" s="5"/>
      <c r="F28" s="5"/>
      <c r="G28" s="5"/>
      <c r="H28" s="5"/>
      <c r="I28" s="5"/>
      <c r="J28" s="5"/>
      <c r="K28" s="5"/>
      <c r="L28" s="5"/>
      <c r="M28" s="5"/>
      <c r="N28" s="5"/>
    </row>
    <row r="29" spans="1:14" x14ac:dyDescent="0.25">
      <c r="A29" s="5"/>
      <c r="B29" s="340"/>
      <c r="C29" s="5"/>
      <c r="D29" s="5"/>
      <c r="E29" s="5"/>
      <c r="F29" s="5"/>
      <c r="G29" s="5"/>
      <c r="H29" s="5"/>
      <c r="I29" s="5"/>
      <c r="J29" s="5"/>
      <c r="K29" s="5"/>
      <c r="L29" s="5"/>
      <c r="M29" s="5"/>
      <c r="N29" s="5"/>
    </row>
    <row r="30" spans="1:14" x14ac:dyDescent="0.25">
      <c r="A30" s="5"/>
      <c r="B30" s="340"/>
      <c r="C30" s="5"/>
      <c r="D30" s="5"/>
      <c r="E30" s="5"/>
      <c r="F30" s="5"/>
      <c r="G30" s="5"/>
      <c r="H30" s="5"/>
      <c r="I30" s="5"/>
      <c r="J30" s="5"/>
      <c r="K30" s="5"/>
      <c r="L30" s="5"/>
      <c r="M30" s="5"/>
      <c r="N30" s="5"/>
    </row>
    <row r="31" spans="1:14" x14ac:dyDescent="0.25">
      <c r="A31" s="5"/>
      <c r="B31" s="340"/>
      <c r="C31" s="5"/>
      <c r="D31" s="5"/>
      <c r="E31" s="5"/>
      <c r="F31" s="5"/>
      <c r="G31" s="5"/>
      <c r="H31" s="5"/>
      <c r="I31" s="5"/>
      <c r="J31" s="5"/>
      <c r="K31" s="5"/>
      <c r="L31" s="5"/>
      <c r="M31" s="5"/>
      <c r="N31" s="5"/>
    </row>
    <row r="32" spans="1:14" x14ac:dyDescent="0.25">
      <c r="A32" s="5"/>
      <c r="B32" s="340"/>
      <c r="C32" s="5"/>
      <c r="D32" s="5"/>
      <c r="E32" s="5"/>
      <c r="F32" s="5"/>
      <c r="G32" s="5"/>
      <c r="H32" s="5"/>
      <c r="I32" s="5"/>
      <c r="J32" s="5"/>
      <c r="K32" s="5"/>
      <c r="L32" s="5"/>
      <c r="M32" s="5"/>
      <c r="N32" s="5"/>
    </row>
    <row r="33" spans="1:14" x14ac:dyDescent="0.25">
      <c r="A33" s="5"/>
      <c r="C33" s="5"/>
      <c r="D33" s="5"/>
      <c r="E33" s="5"/>
      <c r="F33" s="5"/>
      <c r="G33" s="5"/>
      <c r="H33" s="5"/>
      <c r="I33" s="5"/>
      <c r="J33" s="5"/>
      <c r="K33" s="5"/>
      <c r="L33" s="5"/>
      <c r="M33" s="5"/>
      <c r="N33" s="5"/>
    </row>
    <row r="34" spans="1:14" x14ac:dyDescent="0.25">
      <c r="A34" s="5"/>
      <c r="C34" s="5"/>
      <c r="D34" s="5"/>
      <c r="E34" s="5"/>
      <c r="F34" s="5"/>
      <c r="G34" s="5"/>
      <c r="H34" s="5"/>
      <c r="I34" s="5"/>
      <c r="J34" s="5"/>
      <c r="K34" s="5"/>
      <c r="L34" s="5"/>
      <c r="M34" s="5"/>
      <c r="N34" s="5"/>
    </row>
  </sheetData>
  <phoneticPr fontId="37" type="noConversion"/>
  <hyperlinks>
    <hyperlink ref="B3" location="'1.1'!A1" display="Table 1.1: GDP Expenditure Components (Chain-Linked Volumes)" xr:uid="{00000000-0004-0000-0000-000000000000}"/>
    <hyperlink ref="B4" location="'1.2'!A1" display="Table 1.2: GDP Expenditure Components (Current Prices)" xr:uid="{00000000-0004-0000-0000-000001000000}"/>
    <hyperlink ref="B5" location="'1.3'!A1" display="Table 1.3: GDP Income Components" xr:uid="{00000000-0004-0000-0000-000002000000}"/>
    <hyperlink ref="B8" location="'1.6'!A1" display="Table 1.6: Labour Market" xr:uid="{00000000-0004-0000-0000-000003000000}"/>
    <hyperlink ref="B9" location="'1.7'!A1" display="Table 1.7: Inflation" xr:uid="{00000000-0004-0000-0000-000004000000}"/>
    <hyperlink ref="B10" location="'1.8'!A1" display="Table 1.8: Balance of Payments" xr:uid="{00000000-0004-0000-0000-000005000000}"/>
    <hyperlink ref="B11" location="'1.9'!A1" display="Table 1.9: Market-derived assumptions" xr:uid="{00000000-0004-0000-0000-000006000000}"/>
    <hyperlink ref="B12" location="'1.10'!A1" display="Table 1.10: Financial Balances by Sector" xr:uid="{00000000-0004-0000-0000-000007000000}"/>
    <hyperlink ref="B13" location="'1.11'!A1" display="Table 1.11: Balance Sheets and Lending" xr:uid="{00000000-0004-0000-0000-000008000000}"/>
    <hyperlink ref="B15" location="'1.12'!A1" display="Table 1.12: Household Disposable Income" xr:uid="{00000000-0004-0000-0000-00000A000000}"/>
    <hyperlink ref="B6" location="'1.4'!A1" display="Table 1.4: Nominal GDP (non-seasonally adjusted)" xr:uid="{00000000-0004-0000-0000-00000C000000}"/>
    <hyperlink ref="B7" location="'1.5'!A1" display="Table 1.5: Per capita (age +16)" xr:uid="{00000000-0004-0000-0000-00000D000000}"/>
    <hyperlink ref="B16" location="'1.13'!A1" display="Table 1.13: National Minimum Wage and National Living Wage" xr:uid="{00000000-0004-0000-0000-00000E000000}"/>
    <hyperlink ref="B17" location="'1.14'!A1" display="Table 1.14: OBR central estimate of the output gap" xr:uid="{00000000-0004-0000-0000-00000F000000}"/>
    <hyperlink ref="B18" location="'1.15'!A1" display="Table 1.15: Potential output forecast" xr:uid="{00000000-0004-0000-0000-000010000000}"/>
    <hyperlink ref="B20" location="'1.17'!A1" display="Table 1.16: Household debt servicing costs" xr:uid="{00000000-0004-0000-0000-000011000000}"/>
    <hyperlink ref="B19" location="'1.16'!A1" display="Table 1.16: Housing market" xr:uid="{00000000-0004-0000-0000-000015000000}"/>
    <hyperlink ref="B14" location="'1.11b'!A1" display="Table 1.11b: Household balance sheet - unsecured household debt" xr:uid="{A5F35F40-13C5-4D69-AFA5-59262A3477BE}"/>
    <hyperlink ref="B21" location="'1.18'!A1" display="Table 1.18: Eligible rent growth assumptions" xr:uid="{8038FD10-5374-4925-8715-0E0A986C372E}"/>
    <hyperlink ref="B23" location="'1.19b'!A1" display="Table 1.19b: CPI category weights" xr:uid="{DA68C604-7C42-42D3-B7F6-CCE3443AE601}"/>
    <hyperlink ref="B22" location="'1.19'!A1" display="Table 1.19: CPI category inflation" xr:uid="{2E46FC8C-519B-4DF3-B226-B761EC8141F3}"/>
    <hyperlink ref="B24" location="'1.20'!A1" display="Table 1.20 Electricity price forecast " xr:uid="{1F5066F8-C4CD-4561-9693-F70BCDBAB0F0}"/>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973E1-017B-4E27-AB4B-A7DB3DD37B17}">
  <sheetPr codeName="Sheet2">
    <tabColor theme="5"/>
  </sheetPr>
  <dimension ref="A1:V179"/>
  <sheetViews>
    <sheetView zoomScaleNormal="100" zoomScaleSheetLayoutView="85" workbookViewId="0"/>
  </sheetViews>
  <sheetFormatPr defaultColWidth="8.77734375" defaultRowHeight="15.75" x14ac:dyDescent="0.25"/>
  <cols>
    <col min="1" max="2" width="9.21875" style="2" customWidth="1"/>
    <col min="3" max="4" width="11" style="2" bestFit="1" customWidth="1"/>
    <col min="5" max="6" width="9.77734375" style="2" customWidth="1"/>
    <col min="7" max="7" width="9.21875" style="2" customWidth="1"/>
    <col min="8" max="8" width="10.21875" style="2" customWidth="1"/>
    <col min="9" max="9" width="9.21875" style="2" customWidth="1"/>
    <col min="10" max="10" width="12.77734375" style="2" bestFit="1" customWidth="1"/>
    <col min="11" max="11" width="9.21875" style="2" customWidth="1"/>
    <col min="12" max="12" width="10.21875" style="2" customWidth="1"/>
    <col min="13" max="14" width="9.21875" style="2" customWidth="1"/>
    <col min="15" max="15" width="10" style="2" bestFit="1" customWidth="1"/>
    <col min="16" max="16" width="9.21875" style="2" customWidth="1"/>
    <col min="17" max="17" width="10.21875" style="2" bestFit="1" customWidth="1"/>
    <col min="18" max="19" width="9.21875" style="2" customWidth="1"/>
    <col min="20" max="20" width="8.77734375" style="2"/>
    <col min="21" max="22" width="9.21875" style="2" bestFit="1" customWidth="1"/>
    <col min="23" max="16384" width="8.77734375" style="2"/>
  </cols>
  <sheetData>
    <row r="1" spans="1:22" ht="35.1" customHeight="1" thickBot="1" x14ac:dyDescent="0.3">
      <c r="A1" s="9" t="s">
        <v>22</v>
      </c>
      <c r="B1" s="176"/>
      <c r="C1" s="478"/>
      <c r="D1" s="176"/>
      <c r="E1" s="176"/>
      <c r="F1" s="176"/>
      <c r="G1" s="176"/>
      <c r="H1" s="176"/>
      <c r="I1" s="176"/>
      <c r="J1" s="176"/>
      <c r="K1" s="176"/>
      <c r="L1" s="176"/>
      <c r="M1" s="176"/>
      <c r="N1" s="176"/>
      <c r="O1" s="176"/>
      <c r="P1" s="176"/>
      <c r="Q1" s="176"/>
      <c r="R1" s="176"/>
      <c r="S1" s="7"/>
    </row>
    <row r="2" spans="1:22" s="119" customFormat="1" ht="34.5" customHeight="1" thickBot="1" x14ac:dyDescent="0.3">
      <c r="A2" s="117"/>
      <c r="B2" s="533" t="s">
        <v>23</v>
      </c>
      <c r="C2" s="534"/>
      <c r="D2" s="534"/>
      <c r="E2" s="534"/>
      <c r="F2" s="534"/>
      <c r="G2" s="534"/>
      <c r="H2" s="534"/>
      <c r="I2" s="534"/>
      <c r="J2" s="534"/>
      <c r="K2" s="534"/>
      <c r="L2" s="534"/>
      <c r="M2" s="534"/>
      <c r="N2" s="534"/>
      <c r="O2" s="534"/>
      <c r="P2" s="534"/>
      <c r="Q2" s="534"/>
      <c r="R2" s="534"/>
      <c r="S2" s="535"/>
    </row>
    <row r="3" spans="1:22" s="122" customFormat="1" ht="38.25" customHeight="1" x14ac:dyDescent="0.25">
      <c r="A3" s="120"/>
      <c r="B3" s="177" t="s">
        <v>24</v>
      </c>
      <c r="C3" s="536" t="s">
        <v>25</v>
      </c>
      <c r="D3" s="536" t="s">
        <v>26</v>
      </c>
      <c r="E3" s="178" t="s">
        <v>27</v>
      </c>
      <c r="F3" s="179"/>
      <c r="G3" s="179"/>
      <c r="H3" s="179"/>
      <c r="I3" s="179"/>
      <c r="J3" s="536" t="s">
        <v>28</v>
      </c>
      <c r="K3" s="536" t="s">
        <v>29</v>
      </c>
      <c r="L3" s="536" t="s">
        <v>30</v>
      </c>
      <c r="M3" s="536" t="s">
        <v>31</v>
      </c>
      <c r="N3" s="536" t="s">
        <v>32</v>
      </c>
      <c r="O3" s="536" t="s">
        <v>33</v>
      </c>
      <c r="P3" s="537" t="s">
        <v>34</v>
      </c>
      <c r="Q3" s="537" t="s">
        <v>35</v>
      </c>
      <c r="R3" s="537" t="s">
        <v>36</v>
      </c>
      <c r="S3" s="538" t="s">
        <v>37</v>
      </c>
    </row>
    <row r="4" spans="1:22" s="122" customFormat="1" ht="30.75" customHeight="1" x14ac:dyDescent="0.25">
      <c r="A4" s="120"/>
      <c r="B4" s="177"/>
      <c r="C4" s="536"/>
      <c r="D4" s="536"/>
      <c r="E4" s="180" t="s">
        <v>38</v>
      </c>
      <c r="F4" s="180" t="s">
        <v>39</v>
      </c>
      <c r="G4" s="180" t="s">
        <v>40</v>
      </c>
      <c r="H4" s="180" t="s">
        <v>41</v>
      </c>
      <c r="I4" s="180" t="s">
        <v>42</v>
      </c>
      <c r="J4" s="536"/>
      <c r="K4" s="536"/>
      <c r="L4" s="536"/>
      <c r="M4" s="536"/>
      <c r="N4" s="536"/>
      <c r="O4" s="536"/>
      <c r="P4" s="537"/>
      <c r="Q4" s="537"/>
      <c r="R4" s="537"/>
      <c r="S4" s="539"/>
    </row>
    <row r="5" spans="1:22" ht="15.75" customHeight="1" x14ac:dyDescent="0.25">
      <c r="A5" s="181"/>
      <c r="B5" s="182" t="s">
        <v>43</v>
      </c>
      <c r="C5" s="116">
        <v>366.79500000000002</v>
      </c>
      <c r="D5" s="116">
        <v>115.99299999999999</v>
      </c>
      <c r="E5" s="116">
        <v>101.666</v>
      </c>
      <c r="F5" s="116">
        <v>52.098999999999997</v>
      </c>
      <c r="G5" s="116">
        <v>31.882999999999999</v>
      </c>
      <c r="H5" s="116">
        <v>16.774999999999999</v>
      </c>
      <c r="I5" s="116">
        <v>1.784</v>
      </c>
      <c r="J5" s="116">
        <v>0.505</v>
      </c>
      <c r="K5" s="116">
        <v>584.95899999999995</v>
      </c>
      <c r="L5" s="116">
        <v>-4.6719999999999997</v>
      </c>
      <c r="M5" s="116">
        <v>580.28700000000003</v>
      </c>
      <c r="N5" s="116">
        <v>168.251</v>
      </c>
      <c r="O5" s="116">
        <v>756.22500000000002</v>
      </c>
      <c r="P5" s="116">
        <v>169.18600000000001</v>
      </c>
      <c r="Q5" s="116">
        <v>0</v>
      </c>
      <c r="R5" s="116">
        <v>586.69000000000005</v>
      </c>
      <c r="S5" s="14">
        <v>513.25099999999998</v>
      </c>
      <c r="T5" s="3"/>
      <c r="U5" s="27"/>
      <c r="V5" s="27"/>
    </row>
    <row r="6" spans="1:22" x14ac:dyDescent="0.25">
      <c r="A6" s="181"/>
      <c r="B6" s="182" t="s">
        <v>44</v>
      </c>
      <c r="C6" s="116">
        <v>362.06400000000002</v>
      </c>
      <c r="D6" s="116">
        <v>115.307</v>
      </c>
      <c r="E6" s="116">
        <v>103.27200000000001</v>
      </c>
      <c r="F6" s="116">
        <v>57.107999999999997</v>
      </c>
      <c r="G6" s="116">
        <v>30.068999999999999</v>
      </c>
      <c r="H6" s="116">
        <v>15.255000000000001</v>
      </c>
      <c r="I6" s="116">
        <v>1.6600000000000001</v>
      </c>
      <c r="J6" s="116">
        <v>-0.216</v>
      </c>
      <c r="K6" s="116">
        <v>580.42700000000002</v>
      </c>
      <c r="L6" s="116">
        <v>-0.28100000000000003</v>
      </c>
      <c r="M6" s="116">
        <v>580.14599999999996</v>
      </c>
      <c r="N6" s="116">
        <v>168.428</v>
      </c>
      <c r="O6" s="116">
        <v>752.59900000000005</v>
      </c>
      <c r="P6" s="116">
        <v>168.738</v>
      </c>
      <c r="Q6" s="116">
        <v>0</v>
      </c>
      <c r="R6" s="116">
        <v>583.54100000000005</v>
      </c>
      <c r="S6" s="14">
        <v>511.33100000000002</v>
      </c>
      <c r="U6" s="27"/>
      <c r="V6" s="27"/>
    </row>
    <row r="7" spans="1:22" x14ac:dyDescent="0.25">
      <c r="A7" s="181"/>
      <c r="B7" s="182" t="s">
        <v>45</v>
      </c>
      <c r="C7" s="116">
        <v>356.56700000000001</v>
      </c>
      <c r="D7" s="116">
        <v>117.36199999999999</v>
      </c>
      <c r="E7" s="116">
        <v>98.197999999999993</v>
      </c>
      <c r="F7" s="116">
        <v>54.942</v>
      </c>
      <c r="G7" s="116">
        <v>24.559000000000001</v>
      </c>
      <c r="H7" s="116">
        <v>15.861000000000001</v>
      </c>
      <c r="I7" s="116">
        <v>3.4189999999999996</v>
      </c>
      <c r="J7" s="116">
        <v>-1.304</v>
      </c>
      <c r="K7" s="116">
        <v>570.82299999999998</v>
      </c>
      <c r="L7" s="116">
        <v>-0.85799999999999998</v>
      </c>
      <c r="M7" s="116">
        <v>569.96500000000003</v>
      </c>
      <c r="N7" s="116">
        <v>169.10599999999999</v>
      </c>
      <c r="O7" s="116">
        <v>738.86800000000005</v>
      </c>
      <c r="P7" s="116">
        <v>164.57300000000001</v>
      </c>
      <c r="Q7" s="116">
        <v>0</v>
      </c>
      <c r="R7" s="116">
        <v>573.96100000000001</v>
      </c>
      <c r="S7" s="14">
        <v>503.22399999999999</v>
      </c>
      <c r="U7" s="27"/>
      <c r="V7" s="27"/>
    </row>
    <row r="8" spans="1:22" x14ac:dyDescent="0.25">
      <c r="A8" s="181"/>
      <c r="B8" s="182" t="s">
        <v>46</v>
      </c>
      <c r="C8" s="116">
        <v>347.875</v>
      </c>
      <c r="D8" s="116">
        <v>118.565</v>
      </c>
      <c r="E8" s="116">
        <v>96.036000000000001</v>
      </c>
      <c r="F8" s="116">
        <v>52.433999999999997</v>
      </c>
      <c r="G8" s="116">
        <v>23.384</v>
      </c>
      <c r="H8" s="116">
        <v>17.411000000000001</v>
      </c>
      <c r="I8" s="116">
        <v>3.3290000000000002</v>
      </c>
      <c r="J8" s="116">
        <v>0.24099999999999999</v>
      </c>
      <c r="K8" s="116">
        <v>562.71699999999998</v>
      </c>
      <c r="L8" s="116">
        <v>-2.7679999999999998</v>
      </c>
      <c r="M8" s="116">
        <v>559.94899999999996</v>
      </c>
      <c r="N8" s="116">
        <v>161.06899999999999</v>
      </c>
      <c r="O8" s="116">
        <v>717.79300000000001</v>
      </c>
      <c r="P8" s="116">
        <v>155.48500000000001</v>
      </c>
      <c r="Q8" s="116">
        <v>0</v>
      </c>
      <c r="R8" s="116">
        <v>561.81600000000003</v>
      </c>
      <c r="S8" s="14">
        <v>492.72699999999998</v>
      </c>
      <c r="U8" s="27"/>
      <c r="V8" s="27"/>
    </row>
    <row r="9" spans="1:22" ht="18.75" customHeight="1" x14ac:dyDescent="0.25">
      <c r="A9" s="7"/>
      <c r="B9" s="182" t="s">
        <v>47</v>
      </c>
      <c r="C9" s="116">
        <v>346.435</v>
      </c>
      <c r="D9" s="116">
        <v>117.85899999999999</v>
      </c>
      <c r="E9" s="116">
        <v>90.795000000000002</v>
      </c>
      <c r="F9" s="116">
        <v>48.456000000000003</v>
      </c>
      <c r="G9" s="116">
        <v>21.957999999999998</v>
      </c>
      <c r="H9" s="116">
        <v>17.521000000000001</v>
      </c>
      <c r="I9" s="116">
        <v>3.2850000000000001</v>
      </c>
      <c r="J9" s="116">
        <v>1.4019999999999999</v>
      </c>
      <c r="K9" s="116">
        <v>556.49099999999999</v>
      </c>
      <c r="L9" s="116">
        <v>-7.6040000000000001</v>
      </c>
      <c r="M9" s="116">
        <v>548.88699999999994</v>
      </c>
      <c r="N9" s="116">
        <v>152.66900000000001</v>
      </c>
      <c r="O9" s="116">
        <v>700.23400000000004</v>
      </c>
      <c r="P9" s="116">
        <v>149.46600000000001</v>
      </c>
      <c r="Q9" s="116">
        <v>0</v>
      </c>
      <c r="R9" s="116">
        <v>550.45100000000002</v>
      </c>
      <c r="S9" s="14">
        <v>483.02300000000002</v>
      </c>
      <c r="U9" s="27"/>
      <c r="V9" s="27"/>
    </row>
    <row r="10" spans="1:22" x14ac:dyDescent="0.25">
      <c r="A10" s="7"/>
      <c r="B10" s="182" t="s">
        <v>48</v>
      </c>
      <c r="C10" s="116">
        <v>345.97199999999998</v>
      </c>
      <c r="D10" s="116">
        <v>117.61</v>
      </c>
      <c r="E10" s="116">
        <v>87.418000000000006</v>
      </c>
      <c r="F10" s="116">
        <v>46.750999999999998</v>
      </c>
      <c r="G10" s="116">
        <v>21.178000000000001</v>
      </c>
      <c r="H10" s="116">
        <v>16.507000000000001</v>
      </c>
      <c r="I10" s="116">
        <v>3.2560000000000002</v>
      </c>
      <c r="J10" s="116">
        <v>0.53300000000000003</v>
      </c>
      <c r="K10" s="116">
        <v>551.53300000000002</v>
      </c>
      <c r="L10" s="116">
        <v>-7.7519999999999998</v>
      </c>
      <c r="M10" s="116">
        <v>543.78099999999995</v>
      </c>
      <c r="N10" s="116">
        <v>151.80500000000001</v>
      </c>
      <c r="O10" s="116">
        <v>698.82600000000002</v>
      </c>
      <c r="P10" s="116">
        <v>149.70599999999999</v>
      </c>
      <c r="Q10" s="116">
        <v>0</v>
      </c>
      <c r="R10" s="116">
        <v>548.85900000000004</v>
      </c>
      <c r="S10" s="14">
        <v>480.94200000000001</v>
      </c>
      <c r="U10" s="27"/>
      <c r="V10" s="27"/>
    </row>
    <row r="11" spans="1:22" x14ac:dyDescent="0.25">
      <c r="A11" s="7"/>
      <c r="B11" s="182" t="s">
        <v>49</v>
      </c>
      <c r="C11" s="116">
        <v>347.113</v>
      </c>
      <c r="D11" s="116">
        <v>118.717</v>
      </c>
      <c r="E11" s="116">
        <v>87.975999999999999</v>
      </c>
      <c r="F11" s="116">
        <v>45.581000000000003</v>
      </c>
      <c r="G11" s="116">
        <v>21.321000000000002</v>
      </c>
      <c r="H11" s="116">
        <v>18.129000000000001</v>
      </c>
      <c r="I11" s="116">
        <v>3.2889999999999997</v>
      </c>
      <c r="J11" s="116">
        <v>0.77300000000000002</v>
      </c>
      <c r="K11" s="116">
        <v>554.57899999999995</v>
      </c>
      <c r="L11" s="116">
        <v>-8.5299999999999994</v>
      </c>
      <c r="M11" s="116">
        <v>546.04899999999998</v>
      </c>
      <c r="N11" s="116">
        <v>151.59700000000001</v>
      </c>
      <c r="O11" s="116">
        <v>703.47</v>
      </c>
      <c r="P11" s="116">
        <v>153.65100000000001</v>
      </c>
      <c r="Q11" s="116">
        <v>0</v>
      </c>
      <c r="R11" s="116">
        <v>549.54</v>
      </c>
      <c r="S11" s="14">
        <v>482.029</v>
      </c>
      <c r="U11" s="27"/>
      <c r="V11" s="27"/>
    </row>
    <row r="12" spans="1:22" x14ac:dyDescent="0.25">
      <c r="A12" s="7"/>
      <c r="B12" s="182" t="s">
        <v>50</v>
      </c>
      <c r="C12" s="116">
        <v>349.90899999999999</v>
      </c>
      <c r="D12" s="116">
        <v>119.548</v>
      </c>
      <c r="E12" s="116">
        <v>86.66</v>
      </c>
      <c r="F12" s="116">
        <v>45.414000000000001</v>
      </c>
      <c r="G12" s="116">
        <v>20.128</v>
      </c>
      <c r="H12" s="116">
        <v>17.923999999999999</v>
      </c>
      <c r="I12" s="116">
        <v>3.3780000000000001</v>
      </c>
      <c r="J12" s="116">
        <v>-0.32200000000000001</v>
      </c>
      <c r="K12" s="116">
        <v>555.79499999999996</v>
      </c>
      <c r="L12" s="116">
        <v>-5.1210000000000004</v>
      </c>
      <c r="M12" s="116">
        <v>550.67399999999998</v>
      </c>
      <c r="N12" s="116">
        <v>157.88200000000001</v>
      </c>
      <c r="O12" s="116">
        <v>709.15599999999995</v>
      </c>
      <c r="P12" s="116">
        <v>157.47200000000001</v>
      </c>
      <c r="Q12" s="116">
        <v>0</v>
      </c>
      <c r="R12" s="116">
        <v>551.37199999999996</v>
      </c>
      <c r="S12" s="14">
        <v>484.18</v>
      </c>
      <c r="U12" s="27"/>
      <c r="V12" s="27"/>
    </row>
    <row r="13" spans="1:22" ht="18.75" customHeight="1" x14ac:dyDescent="0.25">
      <c r="A13" s="7"/>
      <c r="B13" s="182" t="s">
        <v>51</v>
      </c>
      <c r="C13" s="116">
        <v>349.45</v>
      </c>
      <c r="D13" s="116">
        <v>117.946</v>
      </c>
      <c r="E13" s="116">
        <v>90.007000000000005</v>
      </c>
      <c r="F13" s="116">
        <v>47.158999999999999</v>
      </c>
      <c r="G13" s="116">
        <v>20.934999999999999</v>
      </c>
      <c r="H13" s="116">
        <v>18.677</v>
      </c>
      <c r="I13" s="116">
        <v>3.4220000000000002</v>
      </c>
      <c r="J13" s="116">
        <v>-0.48</v>
      </c>
      <c r="K13" s="116">
        <v>556.923</v>
      </c>
      <c r="L13" s="116">
        <v>-2.4060000000000001</v>
      </c>
      <c r="M13" s="116">
        <v>554.51700000000005</v>
      </c>
      <c r="N13" s="116">
        <v>157.93799999999999</v>
      </c>
      <c r="O13" s="116">
        <v>715.447</v>
      </c>
      <c r="P13" s="116">
        <v>159.13499999999999</v>
      </c>
      <c r="Q13" s="116">
        <v>0</v>
      </c>
      <c r="R13" s="116">
        <v>556.00199999999995</v>
      </c>
      <c r="S13" s="14">
        <v>488.69900000000001</v>
      </c>
      <c r="U13" s="27"/>
      <c r="V13" s="27"/>
    </row>
    <row r="14" spans="1:22" x14ac:dyDescent="0.25">
      <c r="A14" s="7"/>
      <c r="B14" s="182" t="s">
        <v>52</v>
      </c>
      <c r="C14" s="116">
        <v>358.96800000000002</v>
      </c>
      <c r="D14" s="116">
        <v>118.254</v>
      </c>
      <c r="E14" s="116">
        <v>87.938000000000002</v>
      </c>
      <c r="F14" s="116">
        <v>46.055</v>
      </c>
      <c r="G14" s="116">
        <v>21.504999999999999</v>
      </c>
      <c r="H14" s="116">
        <v>17.329000000000001</v>
      </c>
      <c r="I14" s="116">
        <v>3.4</v>
      </c>
      <c r="J14" s="116">
        <v>-0.745</v>
      </c>
      <c r="K14" s="116">
        <v>564.41499999999996</v>
      </c>
      <c r="L14" s="116">
        <v>-1.1279999999999999</v>
      </c>
      <c r="M14" s="116">
        <v>563.28700000000003</v>
      </c>
      <c r="N14" s="116">
        <v>162.47300000000001</v>
      </c>
      <c r="O14" s="116">
        <v>726.66899999999998</v>
      </c>
      <c r="P14" s="116">
        <v>163.97800000000001</v>
      </c>
      <c r="Q14" s="116">
        <v>0</v>
      </c>
      <c r="R14" s="116">
        <v>562.35299999999995</v>
      </c>
      <c r="S14" s="14">
        <v>494.93599999999998</v>
      </c>
      <c r="U14" s="27"/>
      <c r="V14" s="27"/>
    </row>
    <row r="15" spans="1:22" x14ac:dyDescent="0.25">
      <c r="A15" s="7"/>
      <c r="B15" s="182" t="s">
        <v>53</v>
      </c>
      <c r="C15" s="116">
        <v>359.80099999999999</v>
      </c>
      <c r="D15" s="116">
        <v>118.60899999999999</v>
      </c>
      <c r="E15" s="116">
        <v>90.700999999999993</v>
      </c>
      <c r="F15" s="116">
        <v>47.527000000000001</v>
      </c>
      <c r="G15" s="116">
        <v>22.204000000000001</v>
      </c>
      <c r="H15" s="116">
        <v>17.948</v>
      </c>
      <c r="I15" s="116">
        <v>3.383</v>
      </c>
      <c r="J15" s="116">
        <v>0.34599999999999997</v>
      </c>
      <c r="K15" s="116">
        <v>569.45699999999999</v>
      </c>
      <c r="L15" s="116">
        <v>-0.98899999999999999</v>
      </c>
      <c r="M15" s="116">
        <v>568.46799999999996</v>
      </c>
      <c r="N15" s="116">
        <v>164.197</v>
      </c>
      <c r="O15" s="116">
        <v>735.14200000000005</v>
      </c>
      <c r="P15" s="116">
        <v>169.102</v>
      </c>
      <c r="Q15" s="116">
        <v>0</v>
      </c>
      <c r="R15" s="116">
        <v>565.65899999999999</v>
      </c>
      <c r="S15" s="14">
        <v>498.16699999999997</v>
      </c>
      <c r="U15" s="27"/>
      <c r="V15" s="27"/>
    </row>
    <row r="16" spans="1:22" x14ac:dyDescent="0.25">
      <c r="A16" s="7"/>
      <c r="B16" s="182" t="s">
        <v>54</v>
      </c>
      <c r="C16" s="116">
        <v>358.90499999999997</v>
      </c>
      <c r="D16" s="116">
        <v>118.81699999999999</v>
      </c>
      <c r="E16" s="116">
        <v>92.57</v>
      </c>
      <c r="F16" s="116">
        <v>50.337000000000003</v>
      </c>
      <c r="G16" s="116">
        <v>21.611999999999998</v>
      </c>
      <c r="H16" s="116">
        <v>17.521999999999998</v>
      </c>
      <c r="I16" s="116">
        <v>3.262</v>
      </c>
      <c r="J16" s="116">
        <v>0.36399999999999999</v>
      </c>
      <c r="K16" s="116">
        <v>570.65599999999995</v>
      </c>
      <c r="L16" s="116">
        <v>-2.5019999999999998</v>
      </c>
      <c r="M16" s="116">
        <v>568.154</v>
      </c>
      <c r="N16" s="116">
        <v>167.102</v>
      </c>
      <c r="O16" s="116">
        <v>737.22799999999995</v>
      </c>
      <c r="P16" s="116">
        <v>170.87100000000001</v>
      </c>
      <c r="Q16" s="116">
        <v>0</v>
      </c>
      <c r="R16" s="116">
        <v>565.94500000000005</v>
      </c>
      <c r="S16" s="14">
        <v>498.90600000000001</v>
      </c>
      <c r="U16" s="27"/>
      <c r="V16" s="27"/>
    </row>
    <row r="17" spans="1:22" ht="18.75" customHeight="1" x14ac:dyDescent="0.25">
      <c r="A17" s="7"/>
      <c r="B17" s="182" t="s">
        <v>55</v>
      </c>
      <c r="C17" s="116">
        <v>355.24099999999999</v>
      </c>
      <c r="D17" s="116">
        <v>119.224</v>
      </c>
      <c r="E17" s="116">
        <v>89.358000000000004</v>
      </c>
      <c r="F17" s="116">
        <v>47.06</v>
      </c>
      <c r="G17" s="116">
        <v>20.977</v>
      </c>
      <c r="H17" s="116">
        <v>18.451000000000001</v>
      </c>
      <c r="I17" s="116">
        <v>3.161</v>
      </c>
      <c r="J17" s="116">
        <v>-2.778</v>
      </c>
      <c r="K17" s="116">
        <v>561.04499999999996</v>
      </c>
      <c r="L17" s="116">
        <v>-6.7000000000000004E-2</v>
      </c>
      <c r="M17" s="116">
        <v>560.97799999999995</v>
      </c>
      <c r="N17" s="116">
        <v>175.38800000000001</v>
      </c>
      <c r="O17" s="116">
        <v>734.62400000000002</v>
      </c>
      <c r="P17" s="116">
        <v>167.39500000000001</v>
      </c>
      <c r="Q17" s="116">
        <v>0</v>
      </c>
      <c r="R17" s="116">
        <v>566.87300000000005</v>
      </c>
      <c r="S17" s="14">
        <v>500.07799999999997</v>
      </c>
      <c r="U17" s="27"/>
      <c r="V17" s="27"/>
    </row>
    <row r="18" spans="1:22" x14ac:dyDescent="0.25">
      <c r="A18" s="7"/>
      <c r="B18" s="182" t="s">
        <v>56</v>
      </c>
      <c r="C18" s="116">
        <v>353.87200000000001</v>
      </c>
      <c r="D18" s="116">
        <v>117.52200000000001</v>
      </c>
      <c r="E18" s="116">
        <v>88.766999999999996</v>
      </c>
      <c r="F18" s="116">
        <v>49.334000000000003</v>
      </c>
      <c r="G18" s="116">
        <v>20.431999999999999</v>
      </c>
      <c r="H18" s="116">
        <v>15.951000000000001</v>
      </c>
      <c r="I18" s="116">
        <v>3.173</v>
      </c>
      <c r="J18" s="116">
        <v>0.45300000000000001</v>
      </c>
      <c r="K18" s="116">
        <v>560.61400000000003</v>
      </c>
      <c r="L18" s="116">
        <v>5.0049999999999999</v>
      </c>
      <c r="M18" s="116">
        <v>565.61900000000003</v>
      </c>
      <c r="N18" s="116">
        <v>171.89099999999999</v>
      </c>
      <c r="O18" s="116">
        <v>738.77200000000005</v>
      </c>
      <c r="P18" s="116">
        <v>171.70500000000001</v>
      </c>
      <c r="Q18" s="116">
        <v>0</v>
      </c>
      <c r="R18" s="116">
        <v>566.601</v>
      </c>
      <c r="S18" s="14">
        <v>500.834</v>
      </c>
      <c r="U18" s="27"/>
      <c r="V18" s="27"/>
    </row>
    <row r="19" spans="1:22" x14ac:dyDescent="0.25">
      <c r="A19" s="7"/>
      <c r="B19" s="182" t="s">
        <v>57</v>
      </c>
      <c r="C19" s="116">
        <v>354.428</v>
      </c>
      <c r="D19" s="116">
        <v>117.292</v>
      </c>
      <c r="E19" s="116">
        <v>90.686999999999998</v>
      </c>
      <c r="F19" s="116">
        <v>50.838999999999999</v>
      </c>
      <c r="G19" s="116">
        <v>20.677</v>
      </c>
      <c r="H19" s="116">
        <v>16.181999999999999</v>
      </c>
      <c r="I19" s="116">
        <v>3.016</v>
      </c>
      <c r="J19" s="116">
        <v>1.5469999999999999</v>
      </c>
      <c r="K19" s="116">
        <v>563.95399999999995</v>
      </c>
      <c r="L19" s="116">
        <v>0.67200000000000004</v>
      </c>
      <c r="M19" s="116">
        <v>564.62599999999998</v>
      </c>
      <c r="N19" s="116">
        <v>173.28299999999999</v>
      </c>
      <c r="O19" s="116">
        <v>738.61300000000006</v>
      </c>
      <c r="P19" s="116">
        <v>170.584</v>
      </c>
      <c r="Q19" s="116">
        <v>0</v>
      </c>
      <c r="R19" s="116">
        <v>567.58600000000001</v>
      </c>
      <c r="S19" s="14">
        <v>502.815</v>
      </c>
      <c r="U19" s="27"/>
      <c r="V19" s="27"/>
    </row>
    <row r="20" spans="1:22" x14ac:dyDescent="0.25">
      <c r="A20" s="7"/>
      <c r="B20" s="182" t="s">
        <v>58</v>
      </c>
      <c r="C20" s="116">
        <v>354.64600000000002</v>
      </c>
      <c r="D20" s="116">
        <v>118.072</v>
      </c>
      <c r="E20" s="116">
        <v>91.790999999999997</v>
      </c>
      <c r="F20" s="116">
        <v>52.186</v>
      </c>
      <c r="G20" s="116">
        <v>20.643999999999998</v>
      </c>
      <c r="H20" s="116">
        <v>15.922000000000001</v>
      </c>
      <c r="I20" s="116">
        <v>2.9510000000000001</v>
      </c>
      <c r="J20" s="116">
        <v>3.0000000000000001E-3</v>
      </c>
      <c r="K20" s="116">
        <v>564.51199999999994</v>
      </c>
      <c r="L20" s="116">
        <v>-5.18</v>
      </c>
      <c r="M20" s="116">
        <v>559.33199999999999</v>
      </c>
      <c r="N20" s="116">
        <v>175.42699999999999</v>
      </c>
      <c r="O20" s="116">
        <v>740.1</v>
      </c>
      <c r="P20" s="116">
        <v>171.578</v>
      </c>
      <c r="Q20" s="116">
        <v>0</v>
      </c>
      <c r="R20" s="116">
        <v>568.05600000000004</v>
      </c>
      <c r="S20" s="14">
        <v>503.93900000000002</v>
      </c>
      <c r="U20" s="27"/>
      <c r="V20" s="27"/>
    </row>
    <row r="21" spans="1:22" ht="18.75" customHeight="1" x14ac:dyDescent="0.25">
      <c r="A21" s="7"/>
      <c r="B21" s="182" t="s">
        <v>59</v>
      </c>
      <c r="C21" s="116">
        <v>354.91800000000001</v>
      </c>
      <c r="D21" s="116">
        <v>121.47199999999999</v>
      </c>
      <c r="E21" s="116">
        <v>93.206999999999994</v>
      </c>
      <c r="F21" s="116">
        <v>53.781999999999996</v>
      </c>
      <c r="G21" s="116">
        <v>19.823</v>
      </c>
      <c r="H21" s="116">
        <v>16.542000000000002</v>
      </c>
      <c r="I21" s="116">
        <v>2.8370000000000002</v>
      </c>
      <c r="J21" s="116">
        <v>-2.133</v>
      </c>
      <c r="K21" s="116">
        <v>567.46400000000006</v>
      </c>
      <c r="L21" s="116">
        <v>-5.5350000000000001</v>
      </c>
      <c r="M21" s="116">
        <v>561.92899999999997</v>
      </c>
      <c r="N21" s="116">
        <v>181.04900000000001</v>
      </c>
      <c r="O21" s="116">
        <v>747.40899999999999</v>
      </c>
      <c r="P21" s="116">
        <v>173.5</v>
      </c>
      <c r="Q21" s="116">
        <v>0</v>
      </c>
      <c r="R21" s="116">
        <v>573.41600000000005</v>
      </c>
      <c r="S21" s="14">
        <v>509.20600000000002</v>
      </c>
      <c r="U21" s="27"/>
      <c r="V21" s="27"/>
    </row>
    <row r="22" spans="1:22" x14ac:dyDescent="0.25">
      <c r="A22" s="7"/>
      <c r="B22" s="182" t="s">
        <v>60</v>
      </c>
      <c r="C22" s="116">
        <v>358.709</v>
      </c>
      <c r="D22" s="116">
        <v>118.038</v>
      </c>
      <c r="E22" s="116">
        <v>90.462000000000003</v>
      </c>
      <c r="F22" s="116">
        <v>51.078000000000003</v>
      </c>
      <c r="G22" s="116">
        <v>20.273</v>
      </c>
      <c r="H22" s="116">
        <v>16.224</v>
      </c>
      <c r="I22" s="116">
        <v>2.8679999999999999</v>
      </c>
      <c r="J22" s="116">
        <v>0.67200000000000004</v>
      </c>
      <c r="K22" s="116">
        <v>567.88099999999997</v>
      </c>
      <c r="L22" s="116">
        <v>8.0760000000000005</v>
      </c>
      <c r="M22" s="116">
        <v>575.95699999999999</v>
      </c>
      <c r="N22" s="116">
        <v>171.42500000000001</v>
      </c>
      <c r="O22" s="116">
        <v>750.10599999999999</v>
      </c>
      <c r="P22" s="116">
        <v>176.34200000000001</v>
      </c>
      <c r="Q22" s="116">
        <v>0</v>
      </c>
      <c r="R22" s="116">
        <v>573.11199999999997</v>
      </c>
      <c r="S22" s="14">
        <v>509.37799999999999</v>
      </c>
      <c r="U22" s="27"/>
      <c r="V22" s="27"/>
    </row>
    <row r="23" spans="1:22" x14ac:dyDescent="0.25">
      <c r="A23" s="7"/>
      <c r="B23" s="182" t="s">
        <v>61</v>
      </c>
      <c r="C23" s="116">
        <v>363.76600000000002</v>
      </c>
      <c r="D23" s="116">
        <v>119.084</v>
      </c>
      <c r="E23" s="116">
        <v>89.953999999999994</v>
      </c>
      <c r="F23" s="116">
        <v>51.746000000000002</v>
      </c>
      <c r="G23" s="116">
        <v>20.917000000000002</v>
      </c>
      <c r="H23" s="116">
        <v>14.404999999999999</v>
      </c>
      <c r="I23" s="116">
        <v>2.8089999999999997</v>
      </c>
      <c r="J23" s="116">
        <v>6.6000000000000003E-2</v>
      </c>
      <c r="K23" s="116">
        <v>572.87</v>
      </c>
      <c r="L23" s="116">
        <v>8.1579999999999995</v>
      </c>
      <c r="M23" s="116">
        <v>581.02800000000002</v>
      </c>
      <c r="N23" s="116">
        <v>176.16</v>
      </c>
      <c r="O23" s="116">
        <v>754.67100000000005</v>
      </c>
      <c r="P23" s="116">
        <v>175.108</v>
      </c>
      <c r="Q23" s="116">
        <v>0</v>
      </c>
      <c r="R23" s="116">
        <v>579.05100000000004</v>
      </c>
      <c r="S23" s="14">
        <v>515.08399999999995</v>
      </c>
      <c r="U23" s="27"/>
      <c r="V23" s="27"/>
    </row>
    <row r="24" spans="1:22" x14ac:dyDescent="0.25">
      <c r="A24" s="7"/>
      <c r="B24" s="182" t="s">
        <v>62</v>
      </c>
      <c r="C24" s="116">
        <v>368.77499999999998</v>
      </c>
      <c r="D24" s="116">
        <v>120.42700000000001</v>
      </c>
      <c r="E24" s="116">
        <v>94.36</v>
      </c>
      <c r="F24" s="116">
        <v>55.124000000000002</v>
      </c>
      <c r="G24" s="116">
        <v>21.463999999999999</v>
      </c>
      <c r="H24" s="116">
        <v>14.757999999999999</v>
      </c>
      <c r="I24" s="116">
        <v>2.782</v>
      </c>
      <c r="J24" s="116">
        <v>-0.214</v>
      </c>
      <c r="K24" s="116">
        <v>583.34799999999996</v>
      </c>
      <c r="L24" s="116">
        <v>-6.1539999999999999</v>
      </c>
      <c r="M24" s="116">
        <v>577.19399999999996</v>
      </c>
      <c r="N24" s="116">
        <v>171.077</v>
      </c>
      <c r="O24" s="116">
        <v>750.27300000000002</v>
      </c>
      <c r="P24" s="116">
        <v>171.69900000000001</v>
      </c>
      <c r="Q24" s="116">
        <v>0</v>
      </c>
      <c r="R24" s="116">
        <v>578.21500000000003</v>
      </c>
      <c r="S24" s="14">
        <v>515.40599999999995</v>
      </c>
      <c r="U24" s="27"/>
      <c r="V24" s="27"/>
    </row>
    <row r="25" spans="1:22" ht="18.75" customHeight="1" x14ac:dyDescent="0.25">
      <c r="A25" s="7"/>
      <c r="B25" s="182" t="s">
        <v>63</v>
      </c>
      <c r="C25" s="116">
        <v>365.63</v>
      </c>
      <c r="D25" s="116">
        <v>118.91500000000001</v>
      </c>
      <c r="E25" s="116">
        <v>92.805999999999997</v>
      </c>
      <c r="F25" s="116">
        <v>53.731999999999999</v>
      </c>
      <c r="G25" s="116">
        <v>21.513000000000002</v>
      </c>
      <c r="H25" s="116">
        <v>14.61</v>
      </c>
      <c r="I25" s="116">
        <v>2.7889999999999997</v>
      </c>
      <c r="J25" s="116">
        <v>0.754</v>
      </c>
      <c r="K25" s="116">
        <v>578.10500000000002</v>
      </c>
      <c r="L25" s="116">
        <v>-0.73599999999999999</v>
      </c>
      <c r="M25" s="116">
        <v>577.36900000000003</v>
      </c>
      <c r="N25" s="116">
        <v>175.68</v>
      </c>
      <c r="O25" s="116">
        <v>753.62400000000002</v>
      </c>
      <c r="P25" s="116">
        <v>173.45</v>
      </c>
      <c r="Q25" s="116">
        <v>0</v>
      </c>
      <c r="R25" s="116">
        <v>579.74900000000002</v>
      </c>
      <c r="S25" s="14">
        <v>516.59400000000005</v>
      </c>
      <c r="U25" s="27"/>
      <c r="V25" s="27"/>
    </row>
    <row r="26" spans="1:22" x14ac:dyDescent="0.25">
      <c r="A26" s="7"/>
      <c r="B26" s="182" t="s">
        <v>64</v>
      </c>
      <c r="C26" s="116">
        <v>368.09699999999998</v>
      </c>
      <c r="D26" s="116">
        <v>119.339</v>
      </c>
      <c r="E26" s="116">
        <v>95.37</v>
      </c>
      <c r="F26" s="116">
        <v>54.767000000000003</v>
      </c>
      <c r="G26" s="116">
        <v>23.611000000000001</v>
      </c>
      <c r="H26" s="116">
        <v>14.163</v>
      </c>
      <c r="I26" s="116">
        <v>2.6669999999999998</v>
      </c>
      <c r="J26" s="116">
        <v>3.6190000000000002</v>
      </c>
      <c r="K26" s="116">
        <v>586.42499999999995</v>
      </c>
      <c r="L26" s="116">
        <v>1.4670000000000001</v>
      </c>
      <c r="M26" s="116">
        <v>587.89200000000005</v>
      </c>
      <c r="N26" s="116">
        <v>176.643</v>
      </c>
      <c r="O26" s="116">
        <v>765.91300000000001</v>
      </c>
      <c r="P26" s="116">
        <v>181.63900000000001</v>
      </c>
      <c r="Q26" s="116">
        <v>0</v>
      </c>
      <c r="R26" s="116">
        <v>583.60500000000002</v>
      </c>
      <c r="S26" s="14">
        <v>520.29600000000005</v>
      </c>
      <c r="U26" s="27"/>
      <c r="V26" s="27"/>
    </row>
    <row r="27" spans="1:22" x14ac:dyDescent="0.25">
      <c r="A27" s="7"/>
      <c r="B27" s="182" t="s">
        <v>65</v>
      </c>
      <c r="C27" s="116">
        <v>371.89699999999999</v>
      </c>
      <c r="D27" s="116">
        <v>119.283</v>
      </c>
      <c r="E27" s="116">
        <v>97.805999999999997</v>
      </c>
      <c r="F27" s="116">
        <v>56.747</v>
      </c>
      <c r="G27" s="116">
        <v>23.763000000000002</v>
      </c>
      <c r="H27" s="116">
        <v>14.430999999999999</v>
      </c>
      <c r="I27" s="116">
        <v>2.6560000000000001</v>
      </c>
      <c r="J27" s="116">
        <v>-1.784</v>
      </c>
      <c r="K27" s="116">
        <v>587.202</v>
      </c>
      <c r="L27" s="116">
        <v>-0.83599999999999997</v>
      </c>
      <c r="M27" s="116">
        <v>586.36599999999999</v>
      </c>
      <c r="N27" s="116">
        <v>177.535</v>
      </c>
      <c r="O27" s="116">
        <v>768.87199999999996</v>
      </c>
      <c r="P27" s="116">
        <v>180.19800000000001</v>
      </c>
      <c r="Q27" s="116">
        <v>0</v>
      </c>
      <c r="R27" s="116">
        <v>588.07600000000002</v>
      </c>
      <c r="S27" s="14">
        <v>523.66499999999996</v>
      </c>
      <c r="U27" s="27"/>
      <c r="V27" s="27"/>
    </row>
    <row r="28" spans="1:22" x14ac:dyDescent="0.25">
      <c r="A28" s="7"/>
      <c r="B28" s="182" t="s">
        <v>66</v>
      </c>
      <c r="C28" s="116">
        <v>372.37</v>
      </c>
      <c r="D28" s="116">
        <v>121.652</v>
      </c>
      <c r="E28" s="116">
        <v>97.433000000000007</v>
      </c>
      <c r="F28" s="116">
        <v>56.008000000000003</v>
      </c>
      <c r="G28" s="116">
        <v>23.472000000000001</v>
      </c>
      <c r="H28" s="116">
        <v>15.090999999999999</v>
      </c>
      <c r="I28" s="116">
        <v>2.665</v>
      </c>
      <c r="J28" s="116">
        <v>3.988</v>
      </c>
      <c r="K28" s="116">
        <v>595.44299999999998</v>
      </c>
      <c r="L28" s="116">
        <v>0.753</v>
      </c>
      <c r="M28" s="116">
        <v>596.19600000000003</v>
      </c>
      <c r="N28" s="116">
        <v>172.84200000000001</v>
      </c>
      <c r="O28" s="116">
        <v>776.14400000000001</v>
      </c>
      <c r="P28" s="116">
        <v>183.50899999999999</v>
      </c>
      <c r="Q28" s="116">
        <v>0</v>
      </c>
      <c r="R28" s="116">
        <v>591.95399999999995</v>
      </c>
      <c r="S28" s="14">
        <v>527.22699999999998</v>
      </c>
      <c r="U28" s="27"/>
      <c r="V28" s="27"/>
    </row>
    <row r="29" spans="1:22" ht="18.75" customHeight="1" x14ac:dyDescent="0.25">
      <c r="A29" s="7"/>
      <c r="B29" s="182" t="s">
        <v>67</v>
      </c>
      <c r="C29" s="116">
        <v>373.60500000000002</v>
      </c>
      <c r="D29" s="116">
        <v>122.173</v>
      </c>
      <c r="E29" s="116">
        <v>100.986</v>
      </c>
      <c r="F29" s="116">
        <v>56.780999999999999</v>
      </c>
      <c r="G29" s="116">
        <v>24.241</v>
      </c>
      <c r="H29" s="116">
        <v>17.024000000000001</v>
      </c>
      <c r="I29" s="116">
        <v>2.7989999999999999</v>
      </c>
      <c r="J29" s="116">
        <v>1.0249999999999999</v>
      </c>
      <c r="K29" s="116">
        <v>597.78899999999999</v>
      </c>
      <c r="L29" s="116">
        <v>9.2999999999999999E-2</v>
      </c>
      <c r="M29" s="116">
        <v>597.88199999999995</v>
      </c>
      <c r="N29" s="116">
        <v>175.84399999999999</v>
      </c>
      <c r="O29" s="116">
        <v>780.40300000000002</v>
      </c>
      <c r="P29" s="116">
        <v>183.053</v>
      </c>
      <c r="Q29" s="116">
        <v>0</v>
      </c>
      <c r="R29" s="116">
        <v>596.69600000000003</v>
      </c>
      <c r="S29" s="14">
        <v>531.596</v>
      </c>
      <c r="U29" s="27"/>
      <c r="V29" s="27"/>
    </row>
    <row r="30" spans="1:22" x14ac:dyDescent="0.25">
      <c r="A30" s="7"/>
      <c r="B30" s="182" t="s">
        <v>68</v>
      </c>
      <c r="C30" s="116">
        <v>376.57</v>
      </c>
      <c r="D30" s="116">
        <v>122.833</v>
      </c>
      <c r="E30" s="116">
        <v>101.232</v>
      </c>
      <c r="F30" s="116">
        <v>58.52</v>
      </c>
      <c r="G30" s="116">
        <v>23.782</v>
      </c>
      <c r="H30" s="116">
        <v>15.597</v>
      </c>
      <c r="I30" s="116">
        <v>3.1479999999999997</v>
      </c>
      <c r="J30" s="116">
        <v>-3.3839999999999999</v>
      </c>
      <c r="K30" s="116">
        <v>597.25099999999998</v>
      </c>
      <c r="L30" s="116">
        <v>6.2930000000000001</v>
      </c>
      <c r="M30" s="116">
        <v>603.54399999999998</v>
      </c>
      <c r="N30" s="116">
        <v>176.75299999999999</v>
      </c>
      <c r="O30" s="116">
        <v>786.32899999999995</v>
      </c>
      <c r="P30" s="116">
        <v>183.399</v>
      </c>
      <c r="Q30" s="116">
        <v>0</v>
      </c>
      <c r="R30" s="116">
        <v>602.30999999999995</v>
      </c>
      <c r="S30" s="14">
        <v>536.95299999999997</v>
      </c>
      <c r="U30" s="27"/>
      <c r="V30" s="27"/>
    </row>
    <row r="31" spans="1:22" x14ac:dyDescent="0.25">
      <c r="A31" s="7"/>
      <c r="B31" s="182" t="s">
        <v>69</v>
      </c>
      <c r="C31" s="116">
        <v>383.05900000000003</v>
      </c>
      <c r="D31" s="116">
        <v>122.88</v>
      </c>
      <c r="E31" s="116">
        <v>103.142</v>
      </c>
      <c r="F31" s="116">
        <v>59.207999999999998</v>
      </c>
      <c r="G31" s="116">
        <v>24.478999999999999</v>
      </c>
      <c r="H31" s="116">
        <v>15.999000000000001</v>
      </c>
      <c r="I31" s="116">
        <v>3.2890000000000001</v>
      </c>
      <c r="J31" s="116">
        <v>1.413</v>
      </c>
      <c r="K31" s="116">
        <v>610.49400000000003</v>
      </c>
      <c r="L31" s="116">
        <v>6.5640000000000001</v>
      </c>
      <c r="M31" s="116">
        <v>617.05799999999999</v>
      </c>
      <c r="N31" s="116">
        <v>178.05099999999999</v>
      </c>
      <c r="O31" s="116">
        <v>796.19200000000001</v>
      </c>
      <c r="P31" s="116">
        <v>188.31700000000001</v>
      </c>
      <c r="Q31" s="116">
        <v>0</v>
      </c>
      <c r="R31" s="116">
        <v>607.21299999999997</v>
      </c>
      <c r="S31" s="14">
        <v>542.09900000000005</v>
      </c>
      <c r="U31" s="27"/>
      <c r="V31" s="27"/>
    </row>
    <row r="32" spans="1:22" x14ac:dyDescent="0.25">
      <c r="A32" s="7"/>
      <c r="B32" s="182" t="s">
        <v>70</v>
      </c>
      <c r="C32" s="116">
        <v>385.67899999999997</v>
      </c>
      <c r="D32" s="116">
        <v>122.44799999999999</v>
      </c>
      <c r="E32" s="116">
        <v>106.14700000000001</v>
      </c>
      <c r="F32" s="116">
        <v>61.216999999999999</v>
      </c>
      <c r="G32" s="116">
        <v>24.617999999999999</v>
      </c>
      <c r="H32" s="116">
        <v>16.809999999999999</v>
      </c>
      <c r="I32" s="116">
        <v>3.3319999999999999</v>
      </c>
      <c r="J32" s="116">
        <v>5.8890000000000002</v>
      </c>
      <c r="K32" s="116">
        <v>620.16300000000001</v>
      </c>
      <c r="L32" s="116">
        <v>7.9749999999999996</v>
      </c>
      <c r="M32" s="116">
        <v>628.13800000000003</v>
      </c>
      <c r="N32" s="116">
        <v>181.536</v>
      </c>
      <c r="O32" s="116">
        <v>812.46299999999997</v>
      </c>
      <c r="P32" s="116">
        <v>200.43600000000001</v>
      </c>
      <c r="Q32" s="116">
        <v>0</v>
      </c>
      <c r="R32" s="116">
        <v>611.22</v>
      </c>
      <c r="S32" s="14">
        <v>545.18299999999999</v>
      </c>
      <c r="U32" s="27"/>
      <c r="V32" s="27"/>
    </row>
    <row r="33" spans="1:22" ht="18.75" customHeight="1" x14ac:dyDescent="0.25">
      <c r="A33" s="7"/>
      <c r="B33" s="182" t="s">
        <v>71</v>
      </c>
      <c r="C33" s="116">
        <v>387.50900000000001</v>
      </c>
      <c r="D33" s="116">
        <v>122.358</v>
      </c>
      <c r="E33" s="116">
        <v>110.01600000000001</v>
      </c>
      <c r="F33" s="116">
        <v>64.003</v>
      </c>
      <c r="G33" s="116">
        <v>24.847000000000001</v>
      </c>
      <c r="H33" s="116">
        <v>17.617000000000001</v>
      </c>
      <c r="I33" s="116">
        <v>3.3210000000000002</v>
      </c>
      <c r="J33" s="116">
        <v>2.4670000000000001</v>
      </c>
      <c r="K33" s="116">
        <v>622.35</v>
      </c>
      <c r="L33" s="116">
        <v>5.1130000000000004</v>
      </c>
      <c r="M33" s="116">
        <v>627.46299999999997</v>
      </c>
      <c r="N33" s="116">
        <v>181.24199999999999</v>
      </c>
      <c r="O33" s="116">
        <v>812.75400000000002</v>
      </c>
      <c r="P33" s="116">
        <v>199.03200000000001</v>
      </c>
      <c r="Q33" s="116">
        <v>0</v>
      </c>
      <c r="R33" s="116">
        <v>613.07600000000002</v>
      </c>
      <c r="S33" s="14">
        <v>546.16</v>
      </c>
      <c r="U33" s="27"/>
      <c r="V33" s="27"/>
    </row>
    <row r="34" spans="1:22" x14ac:dyDescent="0.25">
      <c r="A34" s="7"/>
      <c r="B34" s="182" t="s">
        <v>72</v>
      </c>
      <c r="C34" s="116">
        <v>389.34</v>
      </c>
      <c r="D34" s="116">
        <v>123.90600000000001</v>
      </c>
      <c r="E34" s="116">
        <v>109.592</v>
      </c>
      <c r="F34" s="116">
        <v>63.366</v>
      </c>
      <c r="G34" s="116">
        <v>26.16</v>
      </c>
      <c r="H34" s="116">
        <v>17.074999999999999</v>
      </c>
      <c r="I34" s="116">
        <v>2.806</v>
      </c>
      <c r="J34" s="116">
        <v>-3.7999999999999999E-2</v>
      </c>
      <c r="K34" s="116">
        <v>622.79999999999995</v>
      </c>
      <c r="L34" s="116">
        <v>-5.258</v>
      </c>
      <c r="M34" s="116">
        <v>617.54200000000003</v>
      </c>
      <c r="N34" s="116">
        <v>186.95099999999999</v>
      </c>
      <c r="O34" s="116">
        <v>812.43700000000001</v>
      </c>
      <c r="P34" s="116">
        <v>195.93199999999999</v>
      </c>
      <c r="Q34" s="116">
        <v>0</v>
      </c>
      <c r="R34" s="116">
        <v>615.875</v>
      </c>
      <c r="S34" s="14">
        <v>547.61900000000003</v>
      </c>
      <c r="U34" s="27"/>
      <c r="V34" s="27"/>
    </row>
    <row r="35" spans="1:22" x14ac:dyDescent="0.25">
      <c r="A35" s="7"/>
      <c r="B35" s="182" t="s">
        <v>73</v>
      </c>
      <c r="C35" s="116">
        <v>394.08300000000003</v>
      </c>
      <c r="D35" s="116">
        <v>124.669</v>
      </c>
      <c r="E35" s="116">
        <v>108.107</v>
      </c>
      <c r="F35" s="116">
        <v>62.704000000000001</v>
      </c>
      <c r="G35" s="116">
        <v>26.231000000000002</v>
      </c>
      <c r="H35" s="116">
        <v>15.968999999999999</v>
      </c>
      <c r="I35" s="116">
        <v>3.0060000000000002</v>
      </c>
      <c r="J35" s="116">
        <v>9.9000000000000005E-2</v>
      </c>
      <c r="K35" s="116">
        <v>626.95799999999997</v>
      </c>
      <c r="L35" s="116">
        <v>-4.6559999999999997</v>
      </c>
      <c r="M35" s="116">
        <v>622.30200000000002</v>
      </c>
      <c r="N35" s="116">
        <v>182.489</v>
      </c>
      <c r="O35" s="116">
        <v>813.59500000000003</v>
      </c>
      <c r="P35" s="116">
        <v>194.71199999999999</v>
      </c>
      <c r="Q35" s="116">
        <v>0</v>
      </c>
      <c r="R35" s="116">
        <v>618.26300000000003</v>
      </c>
      <c r="S35" s="14">
        <v>549.27499999999998</v>
      </c>
      <c r="U35" s="27"/>
      <c r="V35" s="27"/>
    </row>
    <row r="36" spans="1:22" x14ac:dyDescent="0.25">
      <c r="A36" s="7"/>
      <c r="B36" s="182" t="s">
        <v>74</v>
      </c>
      <c r="C36" s="116">
        <v>393.00900000000001</v>
      </c>
      <c r="D36" s="116">
        <v>124.256</v>
      </c>
      <c r="E36" s="116">
        <v>111.664</v>
      </c>
      <c r="F36" s="116">
        <v>66.349999999999994</v>
      </c>
      <c r="G36" s="116">
        <v>26.27</v>
      </c>
      <c r="H36" s="116">
        <v>15.867000000000001</v>
      </c>
      <c r="I36" s="116">
        <v>2.9140000000000001</v>
      </c>
      <c r="J36" s="116">
        <v>-3.359</v>
      </c>
      <c r="K36" s="116">
        <v>625.57000000000005</v>
      </c>
      <c r="L36" s="116">
        <v>13.74</v>
      </c>
      <c r="M36" s="116">
        <v>639.30999999999995</v>
      </c>
      <c r="N36" s="116">
        <v>187.52</v>
      </c>
      <c r="O36" s="116">
        <v>825.17399999999998</v>
      </c>
      <c r="P36" s="116">
        <v>202.774</v>
      </c>
      <c r="Q36" s="116">
        <v>0</v>
      </c>
      <c r="R36" s="116">
        <v>621.96799999999996</v>
      </c>
      <c r="S36" s="14">
        <v>552.01700000000005</v>
      </c>
      <c r="U36" s="27"/>
      <c r="V36" s="27"/>
    </row>
    <row r="37" spans="1:22" ht="18.75" customHeight="1" x14ac:dyDescent="0.25">
      <c r="A37" s="7"/>
      <c r="B37" s="182" t="s">
        <v>75</v>
      </c>
      <c r="C37" s="116">
        <v>400.67</v>
      </c>
      <c r="D37" s="116">
        <v>124.72199999999999</v>
      </c>
      <c r="E37" s="116">
        <v>113.398</v>
      </c>
      <c r="F37" s="116">
        <v>69.138999999999996</v>
      </c>
      <c r="G37" s="116">
        <v>26.756</v>
      </c>
      <c r="H37" s="116">
        <v>14.242000000000001</v>
      </c>
      <c r="I37" s="116">
        <v>2.9980000000000002</v>
      </c>
      <c r="J37" s="116">
        <v>0.42399999999999999</v>
      </c>
      <c r="K37" s="116">
        <v>639.21400000000006</v>
      </c>
      <c r="L37" s="116">
        <v>-5.6710000000000003</v>
      </c>
      <c r="M37" s="116">
        <v>633.54300000000001</v>
      </c>
      <c r="N37" s="116">
        <v>188.17099999999999</v>
      </c>
      <c r="O37" s="116">
        <v>829.29100000000005</v>
      </c>
      <c r="P37" s="116">
        <v>203.798</v>
      </c>
      <c r="Q37" s="116">
        <v>0</v>
      </c>
      <c r="R37" s="116">
        <v>625.09900000000005</v>
      </c>
      <c r="S37" s="14">
        <v>555.31899999999996</v>
      </c>
      <c r="U37" s="27"/>
      <c r="V37" s="27"/>
    </row>
    <row r="38" spans="1:22" x14ac:dyDescent="0.25">
      <c r="A38" s="7"/>
      <c r="B38" s="182" t="s">
        <v>76</v>
      </c>
      <c r="C38" s="116">
        <v>404.238</v>
      </c>
      <c r="D38" s="116">
        <v>124.943</v>
      </c>
      <c r="E38" s="116">
        <v>115.41</v>
      </c>
      <c r="F38" s="116">
        <v>68.302000000000007</v>
      </c>
      <c r="G38" s="116">
        <v>27.238</v>
      </c>
      <c r="H38" s="116">
        <v>16.494</v>
      </c>
      <c r="I38" s="116">
        <v>3.0989999999999998</v>
      </c>
      <c r="J38" s="116">
        <v>-1.2529999999999999</v>
      </c>
      <c r="K38" s="116">
        <v>643.33799999999997</v>
      </c>
      <c r="L38" s="116">
        <v>-4.3150000000000004</v>
      </c>
      <c r="M38" s="116">
        <v>639.02300000000002</v>
      </c>
      <c r="N38" s="116">
        <v>193.916</v>
      </c>
      <c r="O38" s="116">
        <v>835.46400000000006</v>
      </c>
      <c r="P38" s="116">
        <v>205.39400000000001</v>
      </c>
      <c r="Q38" s="116">
        <v>0</v>
      </c>
      <c r="R38" s="116">
        <v>629.697</v>
      </c>
      <c r="S38" s="14">
        <v>559.86900000000003</v>
      </c>
      <c r="U38" s="27"/>
      <c r="V38" s="27"/>
    </row>
    <row r="39" spans="1:22" x14ac:dyDescent="0.25">
      <c r="A39" s="7"/>
      <c r="B39" s="182" t="s">
        <v>77</v>
      </c>
      <c r="C39" s="116">
        <v>407.166</v>
      </c>
      <c r="D39" s="116">
        <v>125.086</v>
      </c>
      <c r="E39" s="116">
        <v>119.949</v>
      </c>
      <c r="F39" s="116">
        <v>70.981999999999999</v>
      </c>
      <c r="G39" s="116">
        <v>28.231999999999999</v>
      </c>
      <c r="H39" s="116">
        <v>17.408000000000001</v>
      </c>
      <c r="I39" s="116">
        <v>3.0369999999999999</v>
      </c>
      <c r="J39" s="116">
        <v>2.9609999999999999</v>
      </c>
      <c r="K39" s="116">
        <v>655.16200000000003</v>
      </c>
      <c r="L39" s="116">
        <v>-2.044</v>
      </c>
      <c r="M39" s="116">
        <v>653.11800000000005</v>
      </c>
      <c r="N39" s="116">
        <v>188.489</v>
      </c>
      <c r="O39" s="116">
        <v>844.80799999999999</v>
      </c>
      <c r="P39" s="116">
        <v>212.37899999999999</v>
      </c>
      <c r="Q39" s="116">
        <v>0</v>
      </c>
      <c r="R39" s="116">
        <v>632.47699999999998</v>
      </c>
      <c r="S39" s="14">
        <v>562.49400000000003</v>
      </c>
      <c r="U39" s="27"/>
      <c r="V39" s="27"/>
    </row>
    <row r="40" spans="1:22" x14ac:dyDescent="0.25">
      <c r="A40" s="7"/>
      <c r="B40" s="182" t="s">
        <v>78</v>
      </c>
      <c r="C40" s="116">
        <v>407.69299999999998</v>
      </c>
      <c r="D40" s="116">
        <v>124.773</v>
      </c>
      <c r="E40" s="116">
        <v>117.58799999999999</v>
      </c>
      <c r="F40" s="116">
        <v>67.816000000000003</v>
      </c>
      <c r="G40" s="116">
        <v>29.606000000000002</v>
      </c>
      <c r="H40" s="116">
        <v>16.867999999999999</v>
      </c>
      <c r="I40" s="116">
        <v>3.0840000000000001</v>
      </c>
      <c r="J40" s="116">
        <v>-2.544</v>
      </c>
      <c r="K40" s="116">
        <v>647.51</v>
      </c>
      <c r="L40" s="116">
        <v>-3.7770000000000001</v>
      </c>
      <c r="M40" s="116">
        <v>643.73299999999995</v>
      </c>
      <c r="N40" s="116">
        <v>195.304</v>
      </c>
      <c r="O40" s="116">
        <v>843.21299999999997</v>
      </c>
      <c r="P40" s="116">
        <v>206.386</v>
      </c>
      <c r="Q40" s="116">
        <v>0</v>
      </c>
      <c r="R40" s="116">
        <v>636.39200000000005</v>
      </c>
      <c r="S40" s="14">
        <v>566.63300000000004</v>
      </c>
      <c r="U40" s="27"/>
      <c r="V40" s="27"/>
    </row>
    <row r="41" spans="1:22" ht="18.75" customHeight="1" x14ac:dyDescent="0.25">
      <c r="A41" s="7"/>
      <c r="B41" s="182" t="s">
        <v>79</v>
      </c>
      <c r="C41" s="116">
        <v>411.10199999999998</v>
      </c>
      <c r="D41" s="116">
        <v>125.247</v>
      </c>
      <c r="E41" s="116">
        <v>118.379</v>
      </c>
      <c r="F41" s="116">
        <v>69.403999999999996</v>
      </c>
      <c r="G41" s="116">
        <v>29.876999999999999</v>
      </c>
      <c r="H41" s="116">
        <v>15.811999999999999</v>
      </c>
      <c r="I41" s="116">
        <v>3.0949999999999998</v>
      </c>
      <c r="J41" s="116">
        <v>-0.96099999999999997</v>
      </c>
      <c r="K41" s="116">
        <v>653.76700000000005</v>
      </c>
      <c r="L41" s="116">
        <v>-2.2200000000000002</v>
      </c>
      <c r="M41" s="116">
        <v>651.54700000000003</v>
      </c>
      <c r="N41" s="116">
        <v>198.858</v>
      </c>
      <c r="O41" s="116">
        <v>851.63499999999999</v>
      </c>
      <c r="P41" s="116">
        <v>208.767</v>
      </c>
      <c r="Q41" s="116">
        <v>0</v>
      </c>
      <c r="R41" s="116">
        <v>642.46299999999997</v>
      </c>
      <c r="S41" s="14">
        <v>572.29</v>
      </c>
      <c r="U41" s="27"/>
      <c r="V41" s="27"/>
    </row>
    <row r="42" spans="1:22" x14ac:dyDescent="0.25">
      <c r="A42" s="7"/>
      <c r="B42" s="182" t="s">
        <v>80</v>
      </c>
      <c r="C42" s="116">
        <v>411.39499999999998</v>
      </c>
      <c r="D42" s="116">
        <v>126.105</v>
      </c>
      <c r="E42" s="116">
        <v>120.66500000000001</v>
      </c>
      <c r="F42" s="116">
        <v>68.843000000000004</v>
      </c>
      <c r="G42" s="116">
        <v>29.565999999999999</v>
      </c>
      <c r="H42" s="116">
        <v>18.884</v>
      </c>
      <c r="I42" s="116">
        <v>3.2670000000000003</v>
      </c>
      <c r="J42" s="116">
        <v>-0.20699999999999999</v>
      </c>
      <c r="K42" s="116">
        <v>657.95799999999997</v>
      </c>
      <c r="L42" s="116">
        <v>2.641</v>
      </c>
      <c r="M42" s="116">
        <v>660.59900000000005</v>
      </c>
      <c r="N42" s="116">
        <v>203.03899999999999</v>
      </c>
      <c r="O42" s="116">
        <v>863.40899999999999</v>
      </c>
      <c r="P42" s="116">
        <v>215.28399999999999</v>
      </c>
      <c r="Q42" s="116">
        <v>0</v>
      </c>
      <c r="R42" s="116">
        <v>647.94399999999996</v>
      </c>
      <c r="S42" s="14">
        <v>577.30999999999995</v>
      </c>
      <c r="U42" s="27"/>
      <c r="V42" s="27"/>
    </row>
    <row r="43" spans="1:22" x14ac:dyDescent="0.25">
      <c r="A43" s="7"/>
      <c r="B43" s="182" t="s">
        <v>81</v>
      </c>
      <c r="C43" s="116">
        <v>414.17099999999999</v>
      </c>
      <c r="D43" s="116">
        <v>126.51</v>
      </c>
      <c r="E43" s="116">
        <v>121.482</v>
      </c>
      <c r="F43" s="116">
        <v>69.659000000000006</v>
      </c>
      <c r="G43" s="116">
        <v>30.405999999999999</v>
      </c>
      <c r="H43" s="116">
        <v>18.067</v>
      </c>
      <c r="I43" s="116">
        <v>3.2290000000000001</v>
      </c>
      <c r="J43" s="116">
        <v>-0.19500000000000001</v>
      </c>
      <c r="K43" s="116">
        <v>661.96799999999996</v>
      </c>
      <c r="L43" s="116">
        <v>-0.88800000000000001</v>
      </c>
      <c r="M43" s="116">
        <v>661.08</v>
      </c>
      <c r="N43" s="116">
        <v>208.846</v>
      </c>
      <c r="O43" s="116">
        <v>869.03700000000003</v>
      </c>
      <c r="P43" s="116">
        <v>216.52699999999999</v>
      </c>
      <c r="Q43" s="116">
        <v>0</v>
      </c>
      <c r="R43" s="116">
        <v>652.32899999999995</v>
      </c>
      <c r="S43" s="14">
        <v>581.00199999999995</v>
      </c>
      <c r="U43" s="27"/>
      <c r="V43" s="27"/>
    </row>
    <row r="44" spans="1:22" x14ac:dyDescent="0.25">
      <c r="A44" s="7"/>
      <c r="B44" s="182" t="s">
        <v>82</v>
      </c>
      <c r="C44" s="116">
        <v>416.60199999999998</v>
      </c>
      <c r="D44" s="116">
        <v>126.73399999999999</v>
      </c>
      <c r="E44" s="116">
        <v>123.83499999999999</v>
      </c>
      <c r="F44" s="116">
        <v>70.956000000000003</v>
      </c>
      <c r="G44" s="116">
        <v>31.971</v>
      </c>
      <c r="H44" s="116">
        <v>18.312000000000001</v>
      </c>
      <c r="I44" s="116">
        <v>2.4969999999999999</v>
      </c>
      <c r="J44" s="116">
        <v>0.59699999999999998</v>
      </c>
      <c r="K44" s="116">
        <v>667.76800000000003</v>
      </c>
      <c r="L44" s="116">
        <v>-5.7619999999999996</v>
      </c>
      <c r="M44" s="116">
        <v>662.00599999999997</v>
      </c>
      <c r="N44" s="116">
        <v>204.429</v>
      </c>
      <c r="O44" s="116">
        <v>870.35900000000004</v>
      </c>
      <c r="P44" s="116">
        <v>212.727</v>
      </c>
      <c r="Q44" s="116">
        <v>0</v>
      </c>
      <c r="R44" s="116">
        <v>657.22500000000002</v>
      </c>
      <c r="S44" s="14">
        <v>584.99400000000003</v>
      </c>
      <c r="U44" s="27"/>
      <c r="V44" s="27"/>
    </row>
    <row r="45" spans="1:22" ht="18.75" customHeight="1" x14ac:dyDescent="0.25">
      <c r="A45" s="7"/>
      <c r="B45" s="182" t="s">
        <v>83</v>
      </c>
      <c r="C45" s="116">
        <v>419.30500000000001</v>
      </c>
      <c r="D45" s="116">
        <v>126.485</v>
      </c>
      <c r="E45" s="116">
        <v>122.84099999999999</v>
      </c>
      <c r="F45" s="116">
        <v>71.087999999999994</v>
      </c>
      <c r="G45" s="116">
        <v>31.911000000000001</v>
      </c>
      <c r="H45" s="116">
        <v>18.074000000000002</v>
      </c>
      <c r="I45" s="116">
        <v>1.6740000000000002</v>
      </c>
      <c r="J45" s="116">
        <v>6.7000000000000004E-2</v>
      </c>
      <c r="K45" s="116">
        <v>668.69799999999998</v>
      </c>
      <c r="L45" s="116">
        <v>-2.734</v>
      </c>
      <c r="M45" s="116">
        <v>665.96400000000006</v>
      </c>
      <c r="N45" s="116">
        <v>209.35400000000001</v>
      </c>
      <c r="O45" s="116">
        <v>873.72500000000002</v>
      </c>
      <c r="P45" s="116">
        <v>215.666</v>
      </c>
      <c r="Q45" s="116">
        <v>0</v>
      </c>
      <c r="R45" s="116">
        <v>657.74099999999999</v>
      </c>
      <c r="S45" s="14">
        <v>585.05100000000004</v>
      </c>
      <c r="U45" s="27"/>
      <c r="V45" s="27"/>
    </row>
    <row r="46" spans="1:22" x14ac:dyDescent="0.25">
      <c r="A46" s="7"/>
      <c r="B46" s="182" t="s">
        <v>84</v>
      </c>
      <c r="C46" s="116">
        <v>418.37400000000002</v>
      </c>
      <c r="D46" s="116">
        <v>126.524</v>
      </c>
      <c r="E46" s="116">
        <v>120.52</v>
      </c>
      <c r="F46" s="116">
        <v>69.103999999999999</v>
      </c>
      <c r="G46" s="116">
        <v>32.933</v>
      </c>
      <c r="H46" s="116">
        <v>16.800999999999998</v>
      </c>
      <c r="I46" s="116">
        <v>1.603</v>
      </c>
      <c r="J46" s="116">
        <v>0.8</v>
      </c>
      <c r="K46" s="116">
        <v>666.21799999999996</v>
      </c>
      <c r="L46" s="116">
        <v>2.21</v>
      </c>
      <c r="M46" s="116">
        <v>668.428</v>
      </c>
      <c r="N46" s="116">
        <v>212.80099999999999</v>
      </c>
      <c r="O46" s="116">
        <v>878.92899999999997</v>
      </c>
      <c r="P46" s="116">
        <v>219.506</v>
      </c>
      <c r="Q46" s="116">
        <v>0</v>
      </c>
      <c r="R46" s="116">
        <v>659.17200000000003</v>
      </c>
      <c r="S46" s="14">
        <v>586.26</v>
      </c>
      <c r="U46" s="27"/>
      <c r="V46" s="27"/>
    </row>
    <row r="47" spans="1:22" x14ac:dyDescent="0.25">
      <c r="A47" s="7"/>
      <c r="B47" s="182" t="s">
        <v>85</v>
      </c>
      <c r="C47" s="116">
        <v>422.34300000000002</v>
      </c>
      <c r="D47" s="116">
        <v>126.66800000000001</v>
      </c>
      <c r="E47" s="116">
        <v>119.714</v>
      </c>
      <c r="F47" s="116">
        <v>67.423000000000002</v>
      </c>
      <c r="G47" s="116">
        <v>32.661000000000001</v>
      </c>
      <c r="H47" s="116">
        <v>17.992999999999999</v>
      </c>
      <c r="I47" s="116">
        <v>1.5840000000000001</v>
      </c>
      <c r="J47" s="116">
        <v>0.96699999999999997</v>
      </c>
      <c r="K47" s="116">
        <v>669.69200000000001</v>
      </c>
      <c r="L47" s="116">
        <v>-3.3159999999999998</v>
      </c>
      <c r="M47" s="116">
        <v>666.37599999999998</v>
      </c>
      <c r="N47" s="116">
        <v>213.49199999999999</v>
      </c>
      <c r="O47" s="116">
        <v>881.21299999999997</v>
      </c>
      <c r="P47" s="116">
        <v>219.69900000000001</v>
      </c>
      <c r="Q47" s="116">
        <v>0</v>
      </c>
      <c r="R47" s="116">
        <v>661.26199999999994</v>
      </c>
      <c r="S47" s="14">
        <v>588.32399999999996</v>
      </c>
      <c r="U47" s="27"/>
      <c r="V47" s="27"/>
    </row>
    <row r="48" spans="1:22" x14ac:dyDescent="0.25">
      <c r="A48" s="7"/>
      <c r="B48" s="182" t="s">
        <v>86</v>
      </c>
      <c r="C48" s="116">
        <v>427.392</v>
      </c>
      <c r="D48" s="116">
        <v>128.16399999999999</v>
      </c>
      <c r="E48" s="116">
        <v>120.288</v>
      </c>
      <c r="F48" s="116">
        <v>68.572999999999993</v>
      </c>
      <c r="G48" s="116">
        <v>32.530999999999999</v>
      </c>
      <c r="H48" s="116">
        <v>17.673999999999999</v>
      </c>
      <c r="I48" s="116">
        <v>1.4730000000000001</v>
      </c>
      <c r="J48" s="116">
        <v>-0.13500000000000001</v>
      </c>
      <c r="K48" s="116">
        <v>675.70899999999995</v>
      </c>
      <c r="L48" s="116">
        <v>2.34</v>
      </c>
      <c r="M48" s="116">
        <v>678.04899999999998</v>
      </c>
      <c r="N48" s="116">
        <v>210.76300000000001</v>
      </c>
      <c r="O48" s="116">
        <v>889.82799999999997</v>
      </c>
      <c r="P48" s="116">
        <v>227.553</v>
      </c>
      <c r="Q48" s="116">
        <v>0</v>
      </c>
      <c r="R48" s="116">
        <v>662.12</v>
      </c>
      <c r="S48" s="14">
        <v>589.04999999999995</v>
      </c>
      <c r="U48" s="27"/>
      <c r="V48" s="27"/>
    </row>
    <row r="49" spans="1:22" ht="18.75" customHeight="1" x14ac:dyDescent="0.25">
      <c r="A49" s="7"/>
      <c r="B49" s="182" t="s">
        <v>87</v>
      </c>
      <c r="C49" s="116">
        <v>426.72300000000001</v>
      </c>
      <c r="D49" s="116">
        <v>128.83799999999999</v>
      </c>
      <c r="E49" s="116">
        <v>124.425</v>
      </c>
      <c r="F49" s="116">
        <v>69.828999999999994</v>
      </c>
      <c r="G49" s="116">
        <v>33.948</v>
      </c>
      <c r="H49" s="116">
        <v>19.067</v>
      </c>
      <c r="I49" s="116">
        <v>1.5091512</v>
      </c>
      <c r="J49" s="116">
        <v>12.236000000000001</v>
      </c>
      <c r="K49" s="116">
        <v>692.22199999999998</v>
      </c>
      <c r="L49" s="116">
        <v>8.7710000000000008</v>
      </c>
      <c r="M49" s="116">
        <v>700.99300000000005</v>
      </c>
      <c r="N49" s="116">
        <v>210.90199999999999</v>
      </c>
      <c r="O49" s="116">
        <v>911.44299999999998</v>
      </c>
      <c r="P49" s="116">
        <v>245.96</v>
      </c>
      <c r="Q49" s="116">
        <v>0</v>
      </c>
      <c r="R49" s="116">
        <v>665.45600000000002</v>
      </c>
      <c r="S49" s="14">
        <v>592.20500000000004</v>
      </c>
      <c r="U49" s="27"/>
      <c r="V49" s="27"/>
    </row>
    <row r="50" spans="1:22" ht="15.75" customHeight="1" x14ac:dyDescent="0.25">
      <c r="A50" s="532"/>
      <c r="B50" s="182" t="s">
        <v>88</v>
      </c>
      <c r="C50" s="116">
        <v>427.27800000000002</v>
      </c>
      <c r="D50" s="116">
        <v>131.38900000000001</v>
      </c>
      <c r="E50" s="116">
        <v>123.35299999999999</v>
      </c>
      <c r="F50" s="116">
        <v>70.786000000000001</v>
      </c>
      <c r="G50" s="116">
        <v>33.185000000000002</v>
      </c>
      <c r="H50" s="116">
        <v>17.837</v>
      </c>
      <c r="I50" s="116">
        <v>1.5087819199999999</v>
      </c>
      <c r="J50" s="116">
        <v>1.94</v>
      </c>
      <c r="K50" s="116">
        <v>683.96</v>
      </c>
      <c r="L50" s="116">
        <v>-3.9460000000000002</v>
      </c>
      <c r="M50" s="116">
        <v>680.01400000000001</v>
      </c>
      <c r="N50" s="116">
        <v>206.05799999999999</v>
      </c>
      <c r="O50" s="116">
        <v>888.58600000000001</v>
      </c>
      <c r="P50" s="116">
        <v>221.48400000000001</v>
      </c>
      <c r="Q50" s="116">
        <v>0</v>
      </c>
      <c r="R50" s="116">
        <v>666.875</v>
      </c>
      <c r="S50" s="14">
        <v>593.67600000000004</v>
      </c>
      <c r="U50" s="27"/>
      <c r="V50" s="27"/>
    </row>
    <row r="51" spans="1:22" x14ac:dyDescent="0.25">
      <c r="A51" s="532"/>
      <c r="B51" s="182" t="s">
        <v>89</v>
      </c>
      <c r="C51" s="116">
        <v>426.82400000000001</v>
      </c>
      <c r="D51" s="116">
        <v>130.54300000000001</v>
      </c>
      <c r="E51" s="116">
        <v>123.425</v>
      </c>
      <c r="F51" s="116">
        <v>70.141000000000005</v>
      </c>
      <c r="G51" s="116">
        <v>33.618000000000002</v>
      </c>
      <c r="H51" s="116">
        <v>18.073</v>
      </c>
      <c r="I51" s="116">
        <v>1.5299890600000001</v>
      </c>
      <c r="J51" s="116">
        <v>1.3069999999999999</v>
      </c>
      <c r="K51" s="116">
        <v>682.09900000000005</v>
      </c>
      <c r="L51" s="116">
        <v>-2.827</v>
      </c>
      <c r="M51" s="116">
        <v>679.27200000000005</v>
      </c>
      <c r="N51" s="116">
        <v>217.624</v>
      </c>
      <c r="O51" s="116">
        <v>895.30100000000004</v>
      </c>
      <c r="P51" s="116">
        <v>224.511</v>
      </c>
      <c r="Q51" s="116">
        <v>0</v>
      </c>
      <c r="R51" s="116">
        <v>670.54700000000003</v>
      </c>
      <c r="S51" s="14">
        <v>597.67899999999997</v>
      </c>
      <c r="U51" s="27"/>
      <c r="V51" s="27"/>
    </row>
    <row r="52" spans="1:22" x14ac:dyDescent="0.25">
      <c r="A52" s="532"/>
      <c r="B52" s="182" t="s">
        <v>90</v>
      </c>
      <c r="C52" s="116">
        <v>425.67099999999999</v>
      </c>
      <c r="D52" s="116">
        <v>132.024</v>
      </c>
      <c r="E52" s="116">
        <v>121.024</v>
      </c>
      <c r="F52" s="116">
        <v>69.468000000000004</v>
      </c>
      <c r="G52" s="116">
        <v>31.945</v>
      </c>
      <c r="H52" s="116">
        <v>17.913</v>
      </c>
      <c r="I52" s="116">
        <v>1.5333086</v>
      </c>
      <c r="J52" s="116">
        <v>-14.047000000000001</v>
      </c>
      <c r="K52" s="116">
        <v>664.67200000000003</v>
      </c>
      <c r="L52" s="116">
        <v>-3.0179999999999998</v>
      </c>
      <c r="M52" s="116">
        <v>661.654</v>
      </c>
      <c r="N52" s="116">
        <v>227.93700000000001</v>
      </c>
      <c r="O52" s="116">
        <v>888.62</v>
      </c>
      <c r="P52" s="116">
        <v>217.67</v>
      </c>
      <c r="Q52" s="116">
        <v>0</v>
      </c>
      <c r="R52" s="116">
        <v>670.58699999999999</v>
      </c>
      <c r="S52" s="14">
        <v>597.58799999999997</v>
      </c>
      <c r="U52" s="27"/>
      <c r="V52" s="27"/>
    </row>
    <row r="53" spans="1:22" x14ac:dyDescent="0.25">
      <c r="A53" s="532"/>
      <c r="B53" s="152" t="s">
        <v>91</v>
      </c>
      <c r="C53" s="116">
        <v>413.62900000000002</v>
      </c>
      <c r="D53" s="116">
        <v>129.38</v>
      </c>
      <c r="E53" s="116">
        <v>117.131</v>
      </c>
      <c r="F53" s="116">
        <v>68.456999999999994</v>
      </c>
      <c r="G53" s="116">
        <v>30.288</v>
      </c>
      <c r="H53" s="116">
        <v>16.893000000000001</v>
      </c>
      <c r="I53" s="116">
        <v>1.4929476299999997</v>
      </c>
      <c r="J53" s="116">
        <v>0.68899999999999995</v>
      </c>
      <c r="K53" s="116">
        <v>660.82899999999995</v>
      </c>
      <c r="L53" s="116">
        <v>-3.3490000000000002</v>
      </c>
      <c r="M53" s="116">
        <v>657.48</v>
      </c>
      <c r="N53" s="116">
        <v>207.13300000000001</v>
      </c>
      <c r="O53" s="116">
        <v>864.01499999999999</v>
      </c>
      <c r="P53" s="116">
        <v>211.334</v>
      </c>
      <c r="Q53" s="116">
        <v>0</v>
      </c>
      <c r="R53" s="116">
        <v>652.17999999999995</v>
      </c>
      <c r="S53" s="14">
        <v>582.84699999999998</v>
      </c>
      <c r="U53" s="27"/>
      <c r="V53" s="27"/>
    </row>
    <row r="54" spans="1:22" x14ac:dyDescent="0.25">
      <c r="A54" s="532"/>
      <c r="B54" s="152" t="s">
        <v>92</v>
      </c>
      <c r="C54" s="116">
        <v>317.61900000000003</v>
      </c>
      <c r="D54" s="116">
        <v>106.179</v>
      </c>
      <c r="E54" s="116">
        <v>96.087999999999994</v>
      </c>
      <c r="F54" s="116">
        <v>55.284999999999997</v>
      </c>
      <c r="G54" s="116">
        <v>19.573</v>
      </c>
      <c r="H54" s="116">
        <v>19.722000000000001</v>
      </c>
      <c r="I54" s="116">
        <v>0.95199365199999997</v>
      </c>
      <c r="J54" s="116">
        <v>-9.6159999999999997</v>
      </c>
      <c r="K54" s="116">
        <v>510.27</v>
      </c>
      <c r="L54" s="116">
        <v>-7.0960000000000001</v>
      </c>
      <c r="M54" s="116">
        <v>503.17399999999998</v>
      </c>
      <c r="N54" s="116">
        <v>179.22200000000001</v>
      </c>
      <c r="O54" s="116">
        <v>681.86</v>
      </c>
      <c r="P54" s="116">
        <v>158.911</v>
      </c>
      <c r="Q54" s="116">
        <v>0</v>
      </c>
      <c r="R54" s="116">
        <v>522.35599999999999</v>
      </c>
      <c r="S54" s="14">
        <v>465.887</v>
      </c>
      <c r="U54" s="27"/>
      <c r="V54" s="27"/>
    </row>
    <row r="55" spans="1:22" x14ac:dyDescent="0.25">
      <c r="A55" s="183"/>
      <c r="B55" s="152" t="s">
        <v>93</v>
      </c>
      <c r="C55" s="116">
        <v>380.49099999999999</v>
      </c>
      <c r="D55" s="116">
        <v>125.054</v>
      </c>
      <c r="E55" s="116">
        <v>111.82599999999999</v>
      </c>
      <c r="F55" s="116">
        <v>63.375</v>
      </c>
      <c r="G55" s="116">
        <v>27.640999999999998</v>
      </c>
      <c r="H55" s="116">
        <v>19.585000000000001</v>
      </c>
      <c r="I55" s="116">
        <v>1.39330715</v>
      </c>
      <c r="J55" s="116">
        <v>1.2529999999999999</v>
      </c>
      <c r="K55" s="116">
        <v>618.62400000000002</v>
      </c>
      <c r="L55" s="116">
        <v>-0.33300000000000002</v>
      </c>
      <c r="M55" s="116">
        <v>618.29100000000005</v>
      </c>
      <c r="N55" s="116">
        <v>181.13200000000001</v>
      </c>
      <c r="O55" s="116">
        <v>798.51800000000003</v>
      </c>
      <c r="P55" s="116">
        <v>186.911</v>
      </c>
      <c r="Q55" s="116">
        <v>0</v>
      </c>
      <c r="R55" s="116">
        <v>610.97199999999998</v>
      </c>
      <c r="S55" s="14">
        <v>546.89499999999998</v>
      </c>
      <c r="U55" s="27"/>
      <c r="V55" s="27"/>
    </row>
    <row r="56" spans="1:22" x14ac:dyDescent="0.25">
      <c r="A56" s="183"/>
      <c r="B56" s="152" t="s">
        <v>94</v>
      </c>
      <c r="C56" s="116">
        <v>374.56099999999998</v>
      </c>
      <c r="D56" s="116">
        <v>131.06399999999999</v>
      </c>
      <c r="E56" s="116">
        <v>118.476</v>
      </c>
      <c r="F56" s="116">
        <v>67.292000000000002</v>
      </c>
      <c r="G56" s="116">
        <v>29.84</v>
      </c>
      <c r="H56" s="116">
        <v>19.952999999999999</v>
      </c>
      <c r="I56" s="116">
        <v>1.4688224000000001</v>
      </c>
      <c r="J56" s="116">
        <v>8.3059999999999992</v>
      </c>
      <c r="K56" s="116">
        <v>632.40700000000004</v>
      </c>
      <c r="L56" s="116">
        <v>9.0079999999999991</v>
      </c>
      <c r="M56" s="116">
        <v>641.41499999999996</v>
      </c>
      <c r="N56" s="116">
        <v>191.40199999999999</v>
      </c>
      <c r="O56" s="116">
        <v>833.673</v>
      </c>
      <c r="P56" s="116">
        <v>214.35599999999999</v>
      </c>
      <c r="Q56" s="116">
        <v>0</v>
      </c>
      <c r="R56" s="116">
        <v>619.33000000000004</v>
      </c>
      <c r="S56" s="14">
        <v>555.60599999999999</v>
      </c>
      <c r="U56" s="27"/>
      <c r="V56" s="27"/>
    </row>
    <row r="57" spans="1:22" x14ac:dyDescent="0.25">
      <c r="A57" s="183"/>
      <c r="B57" s="152" t="s">
        <v>95</v>
      </c>
      <c r="C57" s="116">
        <v>360.88</v>
      </c>
      <c r="D57" s="116">
        <v>130.685</v>
      </c>
      <c r="E57" s="116">
        <v>115.504</v>
      </c>
      <c r="F57" s="116">
        <v>65.102999999999994</v>
      </c>
      <c r="G57" s="116">
        <v>30.26</v>
      </c>
      <c r="H57" s="116">
        <v>18.745999999999999</v>
      </c>
      <c r="I57" s="116">
        <v>1.4956635900000002</v>
      </c>
      <c r="J57" s="116">
        <v>9.0370000000000008</v>
      </c>
      <c r="K57" s="116">
        <v>616.10599999999999</v>
      </c>
      <c r="L57" s="116">
        <v>5.8739999999999997</v>
      </c>
      <c r="M57" s="116">
        <v>621.98</v>
      </c>
      <c r="N57" s="116">
        <v>186.358</v>
      </c>
      <c r="O57" s="116">
        <v>810.85500000000002</v>
      </c>
      <c r="P57" s="116">
        <v>197.637</v>
      </c>
      <c r="Q57" s="116">
        <v>0</v>
      </c>
      <c r="R57" s="116">
        <v>612.66499999999996</v>
      </c>
      <c r="S57" s="14">
        <v>549.87400000000002</v>
      </c>
      <c r="U57" s="27"/>
      <c r="V57" s="27"/>
    </row>
    <row r="58" spans="1:22" x14ac:dyDescent="0.25">
      <c r="A58" s="7"/>
      <c r="B58" s="152" t="s">
        <v>96</v>
      </c>
      <c r="C58" s="116">
        <v>402.64699999999999</v>
      </c>
      <c r="D58" s="116">
        <v>142.42400000000001</v>
      </c>
      <c r="E58" s="116">
        <v>121.41800000000001</v>
      </c>
      <c r="F58" s="116">
        <v>67.597999999999999</v>
      </c>
      <c r="G58" s="116">
        <v>31.495999999999999</v>
      </c>
      <c r="H58" s="116">
        <v>20.690999999999999</v>
      </c>
      <c r="I58" s="116">
        <v>1.6866360299999998</v>
      </c>
      <c r="J58" s="116">
        <v>-0.753</v>
      </c>
      <c r="K58" s="116">
        <v>665.73599999999999</v>
      </c>
      <c r="L58" s="116">
        <v>-9.1690000000000005</v>
      </c>
      <c r="M58" s="116">
        <v>656.56700000000001</v>
      </c>
      <c r="N58" s="116">
        <v>197.60300000000001</v>
      </c>
      <c r="O58" s="116">
        <v>854.19899999999996</v>
      </c>
      <c r="P58" s="116">
        <v>197.40899999999999</v>
      </c>
      <c r="Q58" s="116">
        <v>0</v>
      </c>
      <c r="R58" s="116">
        <v>655.44299999999998</v>
      </c>
      <c r="S58" s="14">
        <v>589.00099999999998</v>
      </c>
      <c r="U58" s="27"/>
      <c r="V58" s="27"/>
    </row>
    <row r="59" spans="1:22" x14ac:dyDescent="0.25">
      <c r="A59" s="7"/>
      <c r="B59" s="152" t="s">
        <v>97</v>
      </c>
      <c r="C59" s="116">
        <v>414.82499999999999</v>
      </c>
      <c r="D59" s="116">
        <v>140.75700000000001</v>
      </c>
      <c r="E59" s="116">
        <v>122.22</v>
      </c>
      <c r="F59" s="116">
        <v>67.168999999999997</v>
      </c>
      <c r="G59" s="116">
        <v>31.962</v>
      </c>
      <c r="H59" s="116">
        <v>21.460999999999999</v>
      </c>
      <c r="I59" s="116">
        <v>1.7142627100000001</v>
      </c>
      <c r="J59" s="116">
        <v>3.9489999999999998</v>
      </c>
      <c r="K59" s="116">
        <v>681.75099999999998</v>
      </c>
      <c r="L59" s="116">
        <v>0.622</v>
      </c>
      <c r="M59" s="116">
        <v>682.37300000000005</v>
      </c>
      <c r="N59" s="116">
        <v>189.03</v>
      </c>
      <c r="O59" s="116">
        <v>874.10900000000004</v>
      </c>
      <c r="P59" s="116">
        <v>206.73699999999999</v>
      </c>
      <c r="Q59" s="116">
        <v>0</v>
      </c>
      <c r="R59" s="116">
        <v>666.49800000000005</v>
      </c>
      <c r="S59" s="14">
        <v>597.56200000000001</v>
      </c>
      <c r="U59" s="27"/>
      <c r="V59" s="27"/>
    </row>
    <row r="60" spans="1:22" x14ac:dyDescent="0.25">
      <c r="A60" s="7"/>
      <c r="B60" s="152" t="s">
        <v>98</v>
      </c>
      <c r="C60" s="116">
        <v>415.77199999999999</v>
      </c>
      <c r="D60" s="116">
        <v>141.708</v>
      </c>
      <c r="E60" s="116">
        <v>125.434</v>
      </c>
      <c r="F60" s="116">
        <v>69.682000000000002</v>
      </c>
      <c r="G60" s="116">
        <v>33.252000000000002</v>
      </c>
      <c r="H60" s="116">
        <v>20.74</v>
      </c>
      <c r="I60" s="116">
        <v>1.7793591499999999</v>
      </c>
      <c r="J60" s="116">
        <v>-2.98</v>
      </c>
      <c r="K60" s="116">
        <v>679.93399999999997</v>
      </c>
      <c r="L60" s="116">
        <v>1.1379999999999999</v>
      </c>
      <c r="M60" s="116">
        <v>681.072</v>
      </c>
      <c r="N60" s="116">
        <v>207.625</v>
      </c>
      <c r="O60" s="116">
        <v>886.94899999999996</v>
      </c>
      <c r="P60" s="116">
        <v>210.44900000000001</v>
      </c>
      <c r="Q60" s="116">
        <v>0</v>
      </c>
      <c r="R60" s="116">
        <v>675.68</v>
      </c>
      <c r="S60" s="14">
        <v>604.61800000000005</v>
      </c>
      <c r="U60" s="27"/>
      <c r="V60" s="27"/>
    </row>
    <row r="61" spans="1:22" x14ac:dyDescent="0.25">
      <c r="A61" s="7"/>
      <c r="B61" s="152" t="s">
        <v>99</v>
      </c>
      <c r="C61" s="116">
        <v>421.67</v>
      </c>
      <c r="D61" s="116">
        <v>141.435</v>
      </c>
      <c r="E61" s="116">
        <v>129.86500000000001</v>
      </c>
      <c r="F61" s="116">
        <v>71.183000000000007</v>
      </c>
      <c r="G61" s="116">
        <v>35.451000000000001</v>
      </c>
      <c r="H61" s="116">
        <v>21.385999999999999</v>
      </c>
      <c r="I61" s="116">
        <v>1.89407204</v>
      </c>
      <c r="J61" s="116">
        <v>9.0039999999999996</v>
      </c>
      <c r="K61" s="116">
        <v>701.97400000000005</v>
      </c>
      <c r="L61" s="116">
        <v>6.6189999999999998</v>
      </c>
      <c r="M61" s="116">
        <v>708.59299999999996</v>
      </c>
      <c r="N61" s="116">
        <v>199.93299999999999</v>
      </c>
      <c r="O61" s="116">
        <v>914.88400000000001</v>
      </c>
      <c r="P61" s="116">
        <v>232.34899999999999</v>
      </c>
      <c r="Q61" s="116">
        <v>0</v>
      </c>
      <c r="R61" s="116">
        <v>682.52700000000004</v>
      </c>
      <c r="S61" s="14">
        <v>610.06399999999996</v>
      </c>
      <c r="U61" s="27"/>
      <c r="V61" s="27"/>
    </row>
    <row r="62" spans="1:22" x14ac:dyDescent="0.25">
      <c r="A62" s="7"/>
      <c r="B62" s="152" t="s">
        <v>100</v>
      </c>
      <c r="C62" s="116">
        <v>430.65800000000002</v>
      </c>
      <c r="D62" s="116">
        <v>137.60499999999999</v>
      </c>
      <c r="E62" s="116">
        <v>129.435</v>
      </c>
      <c r="F62" s="116">
        <v>72.087000000000003</v>
      </c>
      <c r="G62" s="116">
        <v>35.402999999999999</v>
      </c>
      <c r="H62" s="116">
        <v>19.998999999999999</v>
      </c>
      <c r="I62" s="116">
        <v>1.81799789</v>
      </c>
      <c r="J62" s="116">
        <v>2.3170000000000002</v>
      </c>
      <c r="K62" s="116">
        <v>700.01499999999999</v>
      </c>
      <c r="L62" s="116">
        <v>5.9240000000000004</v>
      </c>
      <c r="M62" s="116">
        <v>705.93899999999996</v>
      </c>
      <c r="N62" s="116">
        <v>219.13</v>
      </c>
      <c r="O62" s="116">
        <v>921.88199999999995</v>
      </c>
      <c r="P62" s="116">
        <v>235.596</v>
      </c>
      <c r="Q62" s="116">
        <v>0</v>
      </c>
      <c r="R62" s="116">
        <v>686.33500000000004</v>
      </c>
      <c r="S62" s="14">
        <v>612.82799999999997</v>
      </c>
      <c r="U62" s="27"/>
      <c r="V62" s="27"/>
    </row>
    <row r="63" spans="1:22" x14ac:dyDescent="0.25">
      <c r="A63" s="7"/>
      <c r="B63" s="152" t="s">
        <v>101</v>
      </c>
      <c r="C63" s="116">
        <v>430.78300000000002</v>
      </c>
      <c r="D63" s="116">
        <v>138.73500000000001</v>
      </c>
      <c r="E63" s="116">
        <v>129.81700000000001</v>
      </c>
      <c r="F63" s="116">
        <v>70.894000000000005</v>
      </c>
      <c r="G63" s="116">
        <v>35.927</v>
      </c>
      <c r="H63" s="116">
        <v>21.111000000000001</v>
      </c>
      <c r="I63" s="116">
        <v>1.8438862300000001</v>
      </c>
      <c r="J63" s="116">
        <v>-12.920999999999999</v>
      </c>
      <c r="K63" s="116">
        <v>686.41399999999999</v>
      </c>
      <c r="L63" s="116">
        <v>-6.9370000000000003</v>
      </c>
      <c r="M63" s="116">
        <v>679.47699999999998</v>
      </c>
      <c r="N63" s="116">
        <v>236.99</v>
      </c>
      <c r="O63" s="116">
        <v>913.42100000000005</v>
      </c>
      <c r="P63" s="116">
        <v>225.98599999999999</v>
      </c>
      <c r="Q63" s="116">
        <v>0</v>
      </c>
      <c r="R63" s="116">
        <v>687.029</v>
      </c>
      <c r="S63" s="14">
        <v>613.14099999999996</v>
      </c>
      <c r="U63" s="27"/>
      <c r="V63" s="27"/>
    </row>
    <row r="64" spans="1:22" x14ac:dyDescent="0.25">
      <c r="A64" s="7"/>
      <c r="B64" s="152" t="s">
        <v>102</v>
      </c>
      <c r="C64" s="116">
        <v>432.54599999999999</v>
      </c>
      <c r="D64" s="116">
        <v>138.17400000000001</v>
      </c>
      <c r="E64" s="116">
        <v>128.38800000000001</v>
      </c>
      <c r="F64" s="116">
        <v>70.06</v>
      </c>
      <c r="G64" s="116">
        <v>34.744999999999997</v>
      </c>
      <c r="H64" s="116">
        <v>21.725999999999999</v>
      </c>
      <c r="I64" s="116">
        <v>1.7768955100000001</v>
      </c>
      <c r="J64" s="116">
        <v>-18.206</v>
      </c>
      <c r="K64" s="116">
        <v>680.90200000000004</v>
      </c>
      <c r="L64" s="116">
        <v>-2.2930000000000001</v>
      </c>
      <c r="M64" s="116">
        <v>678.60900000000004</v>
      </c>
      <c r="N64" s="116">
        <v>243.32400000000001</v>
      </c>
      <c r="O64" s="116">
        <v>920.31299999999999</v>
      </c>
      <c r="P64" s="116">
        <v>231.31700000000001</v>
      </c>
      <c r="Q64" s="116">
        <v>0</v>
      </c>
      <c r="R64" s="116">
        <v>688.81700000000001</v>
      </c>
      <c r="S64" s="14">
        <v>615.87800000000004</v>
      </c>
      <c r="U64" s="27"/>
      <c r="V64" s="27"/>
    </row>
    <row r="65" spans="1:22" x14ac:dyDescent="0.25">
      <c r="A65" s="7"/>
      <c r="B65" s="47" t="s">
        <v>103</v>
      </c>
      <c r="C65" s="116">
        <v>429.89800000000002</v>
      </c>
      <c r="D65" s="116">
        <v>138.34299999999999</v>
      </c>
      <c r="E65" s="116">
        <v>132.21299999999999</v>
      </c>
      <c r="F65" s="116">
        <v>72.989999999999995</v>
      </c>
      <c r="G65" s="116">
        <v>34.646999999999998</v>
      </c>
      <c r="H65" s="116">
        <v>22.727</v>
      </c>
      <c r="I65" s="116">
        <v>1.74253002</v>
      </c>
      <c r="J65" s="116">
        <v>-6.0679999999999996</v>
      </c>
      <c r="K65" s="116">
        <v>694.38599999999997</v>
      </c>
      <c r="L65" s="116">
        <v>-3.2989999999999999</v>
      </c>
      <c r="M65" s="116">
        <v>691.08699999999999</v>
      </c>
      <c r="N65" s="116">
        <v>225.83</v>
      </c>
      <c r="O65" s="116">
        <v>916.38800000000003</v>
      </c>
      <c r="P65" s="116">
        <v>227.18199999999999</v>
      </c>
      <c r="Q65" s="116">
        <v>0</v>
      </c>
      <c r="R65" s="116">
        <v>689.20600000000002</v>
      </c>
      <c r="S65" s="14">
        <v>617.94399999999996</v>
      </c>
      <c r="U65" s="27"/>
      <c r="V65" s="27"/>
    </row>
    <row r="66" spans="1:22" x14ac:dyDescent="0.25">
      <c r="A66" s="7"/>
      <c r="B66" s="47" t="s">
        <v>104</v>
      </c>
      <c r="C66" s="116">
        <v>430.20499999999998</v>
      </c>
      <c r="D66" s="116">
        <v>141.82300000000001</v>
      </c>
      <c r="E66" s="116">
        <v>129.892</v>
      </c>
      <c r="F66" s="116">
        <v>73.231999999999999</v>
      </c>
      <c r="G66" s="116">
        <v>33.768000000000001</v>
      </c>
      <c r="H66" s="116">
        <v>20.928999999999998</v>
      </c>
      <c r="I66" s="116">
        <v>1.78791743</v>
      </c>
      <c r="J66" s="116">
        <v>-3.8279999999999998</v>
      </c>
      <c r="K66" s="116">
        <v>698.09199999999998</v>
      </c>
      <c r="L66" s="116">
        <v>0.78100000000000003</v>
      </c>
      <c r="M66" s="116">
        <v>698.87300000000005</v>
      </c>
      <c r="N66" s="116">
        <v>221.72499999999999</v>
      </c>
      <c r="O66" s="116">
        <v>919.72299999999996</v>
      </c>
      <c r="P66" s="116">
        <v>230.16499999999999</v>
      </c>
      <c r="Q66" s="116">
        <v>0</v>
      </c>
      <c r="R66" s="116">
        <v>689.49099999999999</v>
      </c>
      <c r="S66" s="14">
        <v>618.53599999999994</v>
      </c>
      <c r="U66" s="27"/>
      <c r="V66" s="27"/>
    </row>
    <row r="67" spans="1:22" ht="15.6" customHeight="1" x14ac:dyDescent="0.25">
      <c r="A67" s="7"/>
      <c r="B67" s="47" t="s">
        <v>105</v>
      </c>
      <c r="C67" s="116">
        <v>424.90300000000002</v>
      </c>
      <c r="D67" s="116">
        <v>143.46299999999999</v>
      </c>
      <c r="E67" s="116">
        <v>128.215</v>
      </c>
      <c r="F67" s="116">
        <v>71.430000000000007</v>
      </c>
      <c r="G67" s="116">
        <v>32.755000000000003</v>
      </c>
      <c r="H67" s="116">
        <v>22</v>
      </c>
      <c r="I67" s="116">
        <v>1.7525078900000002</v>
      </c>
      <c r="J67" s="116">
        <v>-1.369</v>
      </c>
      <c r="K67" s="116">
        <v>695.21199999999999</v>
      </c>
      <c r="L67" s="116">
        <v>-0.18</v>
      </c>
      <c r="M67" s="116">
        <v>695.03200000000004</v>
      </c>
      <c r="N67" s="116">
        <v>217.821</v>
      </c>
      <c r="O67" s="116">
        <v>913.03499999999997</v>
      </c>
      <c r="P67" s="116">
        <v>225.27699999999999</v>
      </c>
      <c r="Q67" s="116">
        <v>0</v>
      </c>
      <c r="R67" s="116">
        <v>687.83900000000006</v>
      </c>
      <c r="S67" s="14">
        <v>617.94899999999996</v>
      </c>
      <c r="U67" s="27"/>
      <c r="V67" s="27"/>
    </row>
    <row r="68" spans="1:22" ht="15.6" customHeight="1" x14ac:dyDescent="0.25">
      <c r="A68" s="7"/>
      <c r="B68" s="47" t="s">
        <v>106</v>
      </c>
      <c r="C68" s="116">
        <v>423.89699999999999</v>
      </c>
      <c r="D68" s="116">
        <v>143.74</v>
      </c>
      <c r="E68" s="116">
        <v>129.77099999999999</v>
      </c>
      <c r="F68" s="116">
        <v>72.935000000000002</v>
      </c>
      <c r="G68" s="116">
        <v>32.234000000000002</v>
      </c>
      <c r="H68" s="116">
        <v>22.577000000000002</v>
      </c>
      <c r="I68" s="116">
        <v>1.7299305099999998</v>
      </c>
      <c r="J68" s="116">
        <v>-2.077</v>
      </c>
      <c r="K68" s="116">
        <v>695.33100000000002</v>
      </c>
      <c r="L68" s="116">
        <v>3.9820000000000002</v>
      </c>
      <c r="M68" s="116">
        <v>699.31299999999999</v>
      </c>
      <c r="N68" s="116">
        <v>212.90199999999999</v>
      </c>
      <c r="O68" s="116">
        <v>913.43700000000001</v>
      </c>
      <c r="P68" s="116">
        <v>227.79499999999999</v>
      </c>
      <c r="Q68" s="116">
        <v>0</v>
      </c>
      <c r="R68" s="116">
        <v>685.62800000000004</v>
      </c>
      <c r="S68" s="14">
        <v>616.28499999999997</v>
      </c>
      <c r="U68" s="27"/>
      <c r="V68" s="27"/>
    </row>
    <row r="69" spans="1:22" ht="15.6" customHeight="1" x14ac:dyDescent="0.25">
      <c r="A69" s="7"/>
      <c r="B69" s="47" t="s">
        <v>107</v>
      </c>
      <c r="C69" s="116">
        <v>424.63900000000001</v>
      </c>
      <c r="D69" s="116">
        <v>144.11199999999999</v>
      </c>
      <c r="E69" s="116">
        <v>131.41300000000001</v>
      </c>
      <c r="F69" s="116">
        <v>72.787999999999997</v>
      </c>
      <c r="G69" s="116">
        <v>33.095999999999997</v>
      </c>
      <c r="H69" s="116">
        <v>23.295000000000002</v>
      </c>
      <c r="I69" s="116">
        <v>1.7793931399999998</v>
      </c>
      <c r="J69" s="116">
        <v>-2.34</v>
      </c>
      <c r="K69" s="116">
        <v>697.82399999999996</v>
      </c>
      <c r="L69" s="116">
        <v>-0.219</v>
      </c>
      <c r="M69" s="116">
        <v>697.60500000000002</v>
      </c>
      <c r="N69" s="116">
        <v>218.59399999999999</v>
      </c>
      <c r="O69" s="116">
        <v>916.19899999999996</v>
      </c>
      <c r="P69" s="116">
        <v>224.93899999999999</v>
      </c>
      <c r="Q69" s="116">
        <v>-0.64</v>
      </c>
      <c r="R69" s="116">
        <v>690.62</v>
      </c>
      <c r="S69" s="14">
        <v>621.05399999999997</v>
      </c>
      <c r="U69" s="27"/>
      <c r="V69" s="27"/>
    </row>
    <row r="70" spans="1:22" ht="15.6" customHeight="1" x14ac:dyDescent="0.25">
      <c r="A70" s="7"/>
      <c r="B70" s="47" t="s">
        <v>108</v>
      </c>
      <c r="C70" s="116">
        <v>424.20400000000001</v>
      </c>
      <c r="D70" s="116">
        <v>145.73099999999999</v>
      </c>
      <c r="E70" s="116">
        <v>131.548</v>
      </c>
      <c r="F70" s="116">
        <v>74.775999999999996</v>
      </c>
      <c r="G70" s="116">
        <v>32.99</v>
      </c>
      <c r="H70" s="116">
        <v>21.843</v>
      </c>
      <c r="I70" s="116">
        <v>1.7759228999999999</v>
      </c>
      <c r="J70" s="116">
        <v>6.1790000000000003</v>
      </c>
      <c r="K70" s="116">
        <v>707.66200000000003</v>
      </c>
      <c r="L70" s="116">
        <v>3.96</v>
      </c>
      <c r="M70" s="116">
        <v>711.62199999999996</v>
      </c>
      <c r="N70" s="116">
        <v>221.696</v>
      </c>
      <c r="O70" s="116">
        <v>933.31799999999998</v>
      </c>
      <c r="P70" s="116">
        <v>237.41900000000001</v>
      </c>
      <c r="Q70" s="116">
        <v>-0.98899999999999999</v>
      </c>
      <c r="R70" s="116">
        <v>694.91</v>
      </c>
      <c r="S70" s="14">
        <v>625.10400000000004</v>
      </c>
      <c r="U70" s="27"/>
      <c r="V70" s="27"/>
    </row>
    <row r="71" spans="1:22" ht="15.6" customHeight="1" x14ac:dyDescent="0.25">
      <c r="A71" s="7"/>
      <c r="B71" s="47" t="s">
        <v>109</v>
      </c>
      <c r="C71" s="116">
        <v>427.18099999999998</v>
      </c>
      <c r="D71" s="116">
        <v>146.47399999999999</v>
      </c>
      <c r="E71" s="116">
        <v>133.06700000000001</v>
      </c>
      <c r="F71" s="116">
        <v>75.588999999999999</v>
      </c>
      <c r="G71" s="116">
        <v>31.821999999999999</v>
      </c>
      <c r="H71" s="116">
        <v>23.524999999999999</v>
      </c>
      <c r="I71" s="116">
        <v>1.7477731200000002</v>
      </c>
      <c r="J71" s="116">
        <v>-0.74099999999999999</v>
      </c>
      <c r="K71" s="116">
        <v>705.98099999999999</v>
      </c>
      <c r="L71" s="116">
        <v>-0.67900000000000005</v>
      </c>
      <c r="M71" s="116">
        <v>705.30200000000002</v>
      </c>
      <c r="N71" s="116">
        <v>224.11</v>
      </c>
      <c r="O71" s="116">
        <v>929.41200000000003</v>
      </c>
      <c r="P71" s="116">
        <v>231.86699999999999</v>
      </c>
      <c r="Q71" s="116">
        <v>-1.391</v>
      </c>
      <c r="R71" s="116">
        <v>696.154</v>
      </c>
      <c r="S71" s="14">
        <v>626.45000000000005</v>
      </c>
      <c r="U71" s="27"/>
      <c r="V71" s="27"/>
    </row>
    <row r="72" spans="1:22" ht="15.6" customHeight="1" x14ac:dyDescent="0.25">
      <c r="A72" s="7"/>
      <c r="B72" s="47" t="s">
        <v>110</v>
      </c>
      <c r="C72" s="116">
        <v>428.96</v>
      </c>
      <c r="D72" s="116">
        <v>147.63499999999999</v>
      </c>
      <c r="E72" s="116">
        <v>133.28899999999999</v>
      </c>
      <c r="F72" s="116">
        <v>75.028000000000006</v>
      </c>
      <c r="G72" s="116">
        <v>32.722000000000001</v>
      </c>
      <c r="H72" s="116">
        <v>23.350999999999999</v>
      </c>
      <c r="I72" s="116">
        <v>1.7729793199999999</v>
      </c>
      <c r="J72" s="116">
        <v>2.7240000000000002</v>
      </c>
      <c r="K72" s="116">
        <v>712.60799999999995</v>
      </c>
      <c r="L72" s="116">
        <v>3.8730000000000002</v>
      </c>
      <c r="M72" s="116">
        <v>716.48099999999999</v>
      </c>
      <c r="N72" s="116">
        <v>225.1</v>
      </c>
      <c r="O72" s="116">
        <v>941.58100000000002</v>
      </c>
      <c r="P72" s="116">
        <v>240.64099999999999</v>
      </c>
      <c r="Q72" s="116">
        <v>-1.7709999999999999</v>
      </c>
      <c r="R72" s="116">
        <v>699.16899999999998</v>
      </c>
      <c r="S72" s="14">
        <v>629.35500000000002</v>
      </c>
      <c r="U72" s="27"/>
      <c r="V72" s="27"/>
    </row>
    <row r="73" spans="1:22" ht="15.6" customHeight="1" x14ac:dyDescent="0.25">
      <c r="A73" s="7"/>
      <c r="B73" s="47" t="s">
        <v>111</v>
      </c>
      <c r="C73" s="116">
        <v>429.95699999999999</v>
      </c>
      <c r="D73" s="116">
        <v>147.05000000000001</v>
      </c>
      <c r="E73" s="116">
        <v>136.76400000000001</v>
      </c>
      <c r="F73" s="116">
        <v>78.155000000000001</v>
      </c>
      <c r="G73" s="116">
        <v>33.088000000000001</v>
      </c>
      <c r="H73" s="116">
        <v>23.315999999999999</v>
      </c>
      <c r="I73" s="116">
        <v>1.7809262299999999</v>
      </c>
      <c r="J73" s="116">
        <v>4.2939999999999996</v>
      </c>
      <c r="K73" s="116">
        <v>718.06500000000005</v>
      </c>
      <c r="L73" s="116">
        <v>1.2789999999999999</v>
      </c>
      <c r="M73" s="116">
        <v>719.34400000000005</v>
      </c>
      <c r="N73" s="116">
        <v>226.881</v>
      </c>
      <c r="O73" s="116">
        <v>946.22500000000002</v>
      </c>
      <c r="P73" s="116">
        <v>241.9</v>
      </c>
      <c r="Q73" s="116">
        <v>-1.147</v>
      </c>
      <c r="R73" s="116">
        <v>703.178</v>
      </c>
      <c r="S73" s="14">
        <v>632.88699999999994</v>
      </c>
      <c r="U73" s="27"/>
      <c r="V73" s="27"/>
    </row>
    <row r="74" spans="1:22" ht="15.6" customHeight="1" x14ac:dyDescent="0.25">
      <c r="A74" s="7"/>
      <c r="B74" s="47" t="s">
        <v>112</v>
      </c>
      <c r="C74" s="116">
        <v>430.899</v>
      </c>
      <c r="D74" s="116">
        <v>148.52199999999999</v>
      </c>
      <c r="E74" s="116">
        <v>136.92400000000001</v>
      </c>
      <c r="F74" s="116">
        <v>77.77</v>
      </c>
      <c r="G74" s="116">
        <v>33.308</v>
      </c>
      <c r="H74" s="116">
        <v>23.6</v>
      </c>
      <c r="I74" s="116">
        <v>1.8017619499999999</v>
      </c>
      <c r="J74" s="116">
        <v>4.2130000000000001</v>
      </c>
      <c r="K74" s="116">
        <v>720.55799999999999</v>
      </c>
      <c r="L74" s="116">
        <v>2.8860000000000001</v>
      </c>
      <c r="M74" s="116">
        <v>723.44399999999996</v>
      </c>
      <c r="N74" s="116">
        <v>224.15299999999999</v>
      </c>
      <c r="O74" s="116">
        <v>947.59699999999998</v>
      </c>
      <c r="P74" s="116">
        <v>242.63800000000001</v>
      </c>
      <c r="Q74" s="116">
        <v>-0.68500000000000005</v>
      </c>
      <c r="R74" s="116">
        <v>704.274</v>
      </c>
      <c r="S74" s="14">
        <v>633.81399999999996</v>
      </c>
      <c r="U74" s="27"/>
      <c r="V74" s="27"/>
    </row>
    <row r="75" spans="1:22" ht="15.6" customHeight="1" x14ac:dyDescent="0.25">
      <c r="A75" s="7"/>
      <c r="B75" s="47" t="s">
        <v>113</v>
      </c>
      <c r="C75" s="116">
        <v>431.37099999999998</v>
      </c>
      <c r="D75" s="116">
        <v>148.95500000000001</v>
      </c>
      <c r="E75" s="116">
        <v>138.57900000000001</v>
      </c>
      <c r="F75" s="116">
        <v>78.766999999999996</v>
      </c>
      <c r="G75" s="116">
        <v>34.75</v>
      </c>
      <c r="H75" s="116">
        <v>23.082999999999998</v>
      </c>
      <c r="I75" s="116">
        <v>1.98</v>
      </c>
      <c r="J75" s="116">
        <v>1.6859999999999999</v>
      </c>
      <c r="K75" s="116">
        <v>720.59100000000001</v>
      </c>
      <c r="L75" s="116">
        <v>1.05</v>
      </c>
      <c r="M75" s="116">
        <v>721.64099999999996</v>
      </c>
      <c r="N75" s="116">
        <v>227.56800000000001</v>
      </c>
      <c r="O75" s="116">
        <v>949.20899999999995</v>
      </c>
      <c r="P75" s="116">
        <v>243.721</v>
      </c>
      <c r="Q75" s="116">
        <v>-0.68600000000000005</v>
      </c>
      <c r="R75" s="116">
        <v>704.80200000000002</v>
      </c>
      <c r="S75" s="14">
        <v>634.41099999999994</v>
      </c>
      <c r="U75" s="27"/>
      <c r="V75" s="27"/>
    </row>
    <row r="76" spans="1:22" ht="15.6" customHeight="1" x14ac:dyDescent="0.25">
      <c r="A76" s="7"/>
      <c r="B76" s="47" t="s">
        <v>114</v>
      </c>
      <c r="C76" s="116">
        <v>431.71600000000001</v>
      </c>
      <c r="D76" s="116">
        <v>149.11000000000001</v>
      </c>
      <c r="E76" s="116">
        <v>138.43899999999999</v>
      </c>
      <c r="F76" s="116">
        <v>76.412000000000006</v>
      </c>
      <c r="G76" s="116">
        <v>34.241999999999997</v>
      </c>
      <c r="H76" s="116">
        <v>25.853000000000002</v>
      </c>
      <c r="I76" s="116">
        <v>1.9319999999999999</v>
      </c>
      <c r="J76" s="116">
        <v>5.3259999999999996</v>
      </c>
      <c r="K76" s="116">
        <v>724.59100000000001</v>
      </c>
      <c r="L76" s="116">
        <v>-1.589</v>
      </c>
      <c r="M76" s="116">
        <v>723.00199999999995</v>
      </c>
      <c r="N76" s="116">
        <v>227.84700000000001</v>
      </c>
      <c r="O76" s="116">
        <v>950.84900000000005</v>
      </c>
      <c r="P76" s="116">
        <v>245.00399999999999</v>
      </c>
      <c r="Q76" s="116">
        <v>-0.68500000000000005</v>
      </c>
      <c r="R76" s="116">
        <v>705.16</v>
      </c>
      <c r="S76" s="14">
        <v>634.71400000000006</v>
      </c>
      <c r="U76" s="27"/>
      <c r="V76" s="27"/>
    </row>
    <row r="77" spans="1:22" ht="15.6" customHeight="1" x14ac:dyDescent="0.25">
      <c r="A77" s="7"/>
      <c r="B77" s="47" t="s">
        <v>115</v>
      </c>
      <c r="C77" s="116">
        <v>434.09699999999998</v>
      </c>
      <c r="D77" s="116">
        <v>151.05799999999999</v>
      </c>
      <c r="E77" s="116">
        <v>138.96700000000001</v>
      </c>
      <c r="F77" s="116">
        <v>77.134</v>
      </c>
      <c r="G77" s="116">
        <v>34.234000000000002</v>
      </c>
      <c r="H77" s="116">
        <v>25.757999999999999</v>
      </c>
      <c r="I77" s="116">
        <v>1.841</v>
      </c>
      <c r="J77" s="116">
        <v>4.6180000000000003</v>
      </c>
      <c r="K77" s="116">
        <v>728.74</v>
      </c>
      <c r="L77" s="116">
        <v>1.68</v>
      </c>
      <c r="M77" s="116">
        <v>730.42</v>
      </c>
      <c r="N77" s="116">
        <v>228.22800000000001</v>
      </c>
      <c r="O77" s="116">
        <v>958.64800000000002</v>
      </c>
      <c r="P77" s="116">
        <v>248.36099999999999</v>
      </c>
      <c r="Q77" s="116">
        <v>-0.68899999999999995</v>
      </c>
      <c r="R77" s="116">
        <v>709.59799999999996</v>
      </c>
      <c r="S77" s="14">
        <v>639.12</v>
      </c>
      <c r="U77" s="27"/>
      <c r="V77" s="27"/>
    </row>
    <row r="78" spans="1:22" ht="15.6" customHeight="1" x14ac:dyDescent="0.25">
      <c r="A78" s="7"/>
      <c r="B78" s="47" t="s">
        <v>116</v>
      </c>
      <c r="C78" s="116">
        <v>435.209</v>
      </c>
      <c r="D78" s="116">
        <v>150.65299999999999</v>
      </c>
      <c r="E78" s="116">
        <v>140.68199999999999</v>
      </c>
      <c r="F78" s="116">
        <v>78.412999999999997</v>
      </c>
      <c r="G78" s="116">
        <v>34.082000000000001</v>
      </c>
      <c r="H78" s="116">
        <v>26.102</v>
      </c>
      <c r="I78" s="116">
        <v>2.085</v>
      </c>
      <c r="J78" s="116">
        <v>5.0179999999999998</v>
      </c>
      <c r="K78" s="116">
        <v>731.56200000000001</v>
      </c>
      <c r="L78" s="116">
        <v>1.88</v>
      </c>
      <c r="M78" s="116">
        <v>733.44200000000001</v>
      </c>
      <c r="N78" s="116">
        <v>229.423</v>
      </c>
      <c r="O78" s="116">
        <v>962.86500000000001</v>
      </c>
      <c r="P78" s="116">
        <v>249.62799999999999</v>
      </c>
      <c r="Q78" s="116">
        <v>-0.69199999999999995</v>
      </c>
      <c r="R78" s="116">
        <v>712.54499999999996</v>
      </c>
      <c r="S78" s="14">
        <v>641.72400000000005</v>
      </c>
      <c r="U78" s="27"/>
      <c r="V78" s="27"/>
    </row>
    <row r="79" spans="1:22" ht="15.6" customHeight="1" x14ac:dyDescent="0.25">
      <c r="A79" s="7"/>
      <c r="B79" s="47" t="s">
        <v>117</v>
      </c>
      <c r="C79" s="116">
        <v>435.68742499999996</v>
      </c>
      <c r="D79" s="116">
        <v>152.11386999999999</v>
      </c>
      <c r="E79" s="116">
        <v>143.20033648125755</v>
      </c>
      <c r="F79" s="116">
        <v>77.930888000000024</v>
      </c>
      <c r="G79" s="116">
        <v>34.411771183130433</v>
      </c>
      <c r="H79" s="116">
        <v>28.735782</v>
      </c>
      <c r="I79" s="116">
        <v>2.1218953180267306</v>
      </c>
      <c r="J79" s="116">
        <v>4.1619999999999999</v>
      </c>
      <c r="K79" s="116">
        <v>735.16363148125754</v>
      </c>
      <c r="L79" s="116">
        <v>1.6333103499999999</v>
      </c>
      <c r="M79" s="116">
        <v>736.79694183125753</v>
      </c>
      <c r="N79" s="116">
        <v>229.23676361166497</v>
      </c>
      <c r="O79" s="116">
        <v>966.03370499999994</v>
      </c>
      <c r="P79" s="116">
        <v>250.87283394325118</v>
      </c>
      <c r="Q79" s="116">
        <v>-0.69199999999999995</v>
      </c>
      <c r="R79" s="116">
        <v>714.46887149999986</v>
      </c>
      <c r="S79" s="14">
        <v>643.60892200000001</v>
      </c>
      <c r="U79" s="27"/>
      <c r="V79" s="27"/>
    </row>
    <row r="80" spans="1:22" ht="15.6" customHeight="1" x14ac:dyDescent="0.25">
      <c r="A80" s="7"/>
      <c r="B80" s="47" t="s">
        <v>118</v>
      </c>
      <c r="C80" s="116">
        <v>435.73791600000004</v>
      </c>
      <c r="D80" s="116">
        <v>153.026467</v>
      </c>
      <c r="E80" s="116">
        <v>143.7133866117417</v>
      </c>
      <c r="F80" s="116">
        <v>77.646312899999998</v>
      </c>
      <c r="G80" s="116">
        <v>34.720590628872408</v>
      </c>
      <c r="H80" s="116">
        <v>29.206391700000001</v>
      </c>
      <c r="I80" s="116">
        <v>2.1400913817164504</v>
      </c>
      <c r="J80" s="116">
        <v>4.1619999999999999</v>
      </c>
      <c r="K80" s="116">
        <v>736.63976961174171</v>
      </c>
      <c r="L80" s="116">
        <v>1.2776920700000001</v>
      </c>
      <c r="M80" s="116">
        <v>737.91746168174177</v>
      </c>
      <c r="N80" s="116">
        <v>229.83193578541608</v>
      </c>
      <c r="O80" s="116">
        <v>967.74939700000004</v>
      </c>
      <c r="P80" s="116">
        <v>251.23103511042277</v>
      </c>
      <c r="Q80" s="116">
        <v>-0.69199999999999995</v>
      </c>
      <c r="R80" s="116">
        <v>715.82636235585005</v>
      </c>
      <c r="S80" s="14">
        <v>644.97595100000001</v>
      </c>
      <c r="U80" s="27"/>
      <c r="V80" s="27"/>
    </row>
    <row r="81" spans="1:22" x14ac:dyDescent="0.25">
      <c r="A81" s="7"/>
      <c r="B81" s="47" t="s">
        <v>119</v>
      </c>
      <c r="C81" s="116">
        <v>436.27754200000004</v>
      </c>
      <c r="D81" s="116">
        <v>153.032524</v>
      </c>
      <c r="E81" s="116">
        <v>143.51200406816318</v>
      </c>
      <c r="F81" s="116">
        <v>77.4434842</v>
      </c>
      <c r="G81" s="116">
        <v>34.948211071137528</v>
      </c>
      <c r="H81" s="116">
        <v>28.967962</v>
      </c>
      <c r="I81" s="116">
        <v>2.1523467754451748</v>
      </c>
      <c r="J81" s="116">
        <v>4.1619999999999999</v>
      </c>
      <c r="K81" s="116">
        <v>736.98407006816308</v>
      </c>
      <c r="L81" s="116">
        <v>0.72545183000000002</v>
      </c>
      <c r="M81" s="116">
        <v>737.70952189816319</v>
      </c>
      <c r="N81" s="116">
        <v>231.11361797076506</v>
      </c>
      <c r="O81" s="116">
        <v>968.82313999999997</v>
      </c>
      <c r="P81" s="116">
        <v>250.67020806381905</v>
      </c>
      <c r="Q81" s="116">
        <v>-0.69199999999999995</v>
      </c>
      <c r="R81" s="116">
        <v>717.46093180511627</v>
      </c>
      <c r="S81" s="14">
        <v>646.59133400000007</v>
      </c>
      <c r="U81" s="27"/>
      <c r="V81" s="27"/>
    </row>
    <row r="82" spans="1:22" x14ac:dyDescent="0.25">
      <c r="A82" s="7"/>
      <c r="B82" s="47" t="s">
        <v>120</v>
      </c>
      <c r="C82" s="116">
        <v>436.87793199999999</v>
      </c>
      <c r="D82" s="116">
        <v>152.93092100000001</v>
      </c>
      <c r="E82" s="116">
        <v>143.03694863830367</v>
      </c>
      <c r="F82" s="116">
        <v>77.289945300000028</v>
      </c>
      <c r="G82" s="116">
        <v>35.132955965133824</v>
      </c>
      <c r="H82" s="116">
        <v>28.452514299999997</v>
      </c>
      <c r="I82" s="116">
        <v>2.1615330223928892</v>
      </c>
      <c r="J82" s="116">
        <v>4.1619999999999999</v>
      </c>
      <c r="K82" s="116">
        <v>737.0078016383037</v>
      </c>
      <c r="L82" s="116">
        <v>0.95360767599999996</v>
      </c>
      <c r="M82" s="116">
        <v>737.96140931430364</v>
      </c>
      <c r="N82" s="116">
        <v>232.25458168705021</v>
      </c>
      <c r="O82" s="116">
        <v>970.21599100000003</v>
      </c>
      <c r="P82" s="116">
        <v>250.20604898133712</v>
      </c>
      <c r="Q82" s="116">
        <v>-0.69199999999999995</v>
      </c>
      <c r="R82" s="116">
        <v>719.31794201966795</v>
      </c>
      <c r="S82" s="14">
        <v>648.40552500000001</v>
      </c>
      <c r="U82" s="27"/>
      <c r="V82" s="27"/>
    </row>
    <row r="83" spans="1:22" x14ac:dyDescent="0.25">
      <c r="A83" s="7"/>
      <c r="B83" s="47" t="s">
        <v>121</v>
      </c>
      <c r="C83" s="116">
        <v>438.19423700000004</v>
      </c>
      <c r="D83" s="116">
        <v>153.123808</v>
      </c>
      <c r="E83" s="116">
        <v>143.0125916375911</v>
      </c>
      <c r="F83" s="116">
        <v>77.3009773</v>
      </c>
      <c r="G83" s="116">
        <v>35.293191905418652</v>
      </c>
      <c r="H83" s="116">
        <v>28.24933</v>
      </c>
      <c r="I83" s="116">
        <v>2.1690924448052709</v>
      </c>
      <c r="J83" s="116">
        <v>4.1619999999999999</v>
      </c>
      <c r="K83" s="116">
        <v>738.4926366375912</v>
      </c>
      <c r="L83" s="116">
        <v>0.56231962299999994</v>
      </c>
      <c r="M83" s="116">
        <v>739.05495626059121</v>
      </c>
      <c r="N83" s="116">
        <v>232.9655877823173</v>
      </c>
      <c r="O83" s="116">
        <v>972.02054399999997</v>
      </c>
      <c r="P83" s="116">
        <v>250.01467042313209</v>
      </c>
      <c r="Q83" s="116">
        <v>-0.69199999999999995</v>
      </c>
      <c r="R83" s="116">
        <v>721.31387361990323</v>
      </c>
      <c r="S83" s="14">
        <v>650.34273800000005</v>
      </c>
      <c r="U83" s="27"/>
      <c r="V83" s="27"/>
    </row>
    <row r="84" spans="1:22" x14ac:dyDescent="0.25">
      <c r="A84" s="7"/>
      <c r="B84" s="47" t="s">
        <v>122</v>
      </c>
      <c r="C84" s="116">
        <v>439.92202800000001</v>
      </c>
      <c r="D84" s="116">
        <v>153.50612799999999</v>
      </c>
      <c r="E84" s="116">
        <v>143.09800939218889</v>
      </c>
      <c r="F84" s="116">
        <v>77.426895299999998</v>
      </c>
      <c r="G84" s="116">
        <v>35.436118995612027</v>
      </c>
      <c r="H84" s="116">
        <v>28.059514899999996</v>
      </c>
      <c r="I84" s="116">
        <v>2.1754802108779376</v>
      </c>
      <c r="J84" s="116">
        <v>4.1619999999999999</v>
      </c>
      <c r="K84" s="116">
        <v>740.68816539218881</v>
      </c>
      <c r="L84" s="116">
        <v>0.70232887500000007</v>
      </c>
      <c r="M84" s="116">
        <v>741.39049426718884</v>
      </c>
      <c r="N84" s="116">
        <v>233.64799371799521</v>
      </c>
      <c r="O84" s="116">
        <v>975.03848800000003</v>
      </c>
      <c r="P84" s="116">
        <v>250.21314282825071</v>
      </c>
      <c r="Q84" s="116">
        <v>-0.69199999999999995</v>
      </c>
      <c r="R84" s="116">
        <v>724.13334515671283</v>
      </c>
      <c r="S84" s="14">
        <v>653.02493100000004</v>
      </c>
      <c r="U84" s="27"/>
      <c r="V84" s="27"/>
    </row>
    <row r="85" spans="1:22" x14ac:dyDescent="0.25">
      <c r="A85" s="7"/>
      <c r="B85" s="47" t="s">
        <v>123</v>
      </c>
      <c r="C85" s="116">
        <v>441.94588900000002</v>
      </c>
      <c r="D85" s="116">
        <v>154.09561499999998</v>
      </c>
      <c r="E85" s="116">
        <v>143.37115563728659</v>
      </c>
      <c r="F85" s="116">
        <v>77.667236699999989</v>
      </c>
      <c r="G85" s="116">
        <v>35.602781880654412</v>
      </c>
      <c r="H85" s="116">
        <v>27.917080200000001</v>
      </c>
      <c r="I85" s="116">
        <v>2.1840568779580538</v>
      </c>
      <c r="J85" s="116">
        <v>4.1619999999999999</v>
      </c>
      <c r="K85" s="116">
        <v>743.57465963728657</v>
      </c>
      <c r="L85" s="116">
        <v>0.8254435590000001</v>
      </c>
      <c r="M85" s="116">
        <v>744.40010319628664</v>
      </c>
      <c r="N85" s="116">
        <v>234.23767738451241</v>
      </c>
      <c r="O85" s="116">
        <v>978.6377809999999</v>
      </c>
      <c r="P85" s="116">
        <v>250.62553662444179</v>
      </c>
      <c r="Q85" s="116">
        <v>-0.69199999999999995</v>
      </c>
      <c r="R85" s="116">
        <v>727.32024395641304</v>
      </c>
      <c r="S85" s="14">
        <v>656.03786700000001</v>
      </c>
      <c r="U85" s="27"/>
      <c r="V85" s="27"/>
    </row>
    <row r="86" spans="1:22" x14ac:dyDescent="0.25">
      <c r="A86" s="7"/>
      <c r="B86" s="47" t="s">
        <v>124</v>
      </c>
      <c r="C86" s="116">
        <v>444.09662500000002</v>
      </c>
      <c r="D86" s="116">
        <v>154.818647</v>
      </c>
      <c r="E86" s="116">
        <v>143.76228354548107</v>
      </c>
      <c r="F86" s="116">
        <v>77.958476500000003</v>
      </c>
      <c r="G86" s="116">
        <v>35.795473402840507</v>
      </c>
      <c r="H86" s="116">
        <v>27.813462999999999</v>
      </c>
      <c r="I86" s="116">
        <v>2.1948705802915804</v>
      </c>
      <c r="J86" s="116">
        <v>4.1619999999999999</v>
      </c>
      <c r="K86" s="116">
        <v>746.83955554548106</v>
      </c>
      <c r="L86" s="116">
        <v>1.1163084400000001</v>
      </c>
      <c r="M86" s="116">
        <v>747.95586398548107</v>
      </c>
      <c r="N86" s="116">
        <v>234.60585715669407</v>
      </c>
      <c r="O86" s="116">
        <v>982.56172100000003</v>
      </c>
      <c r="P86" s="116">
        <v>251.205789617448</v>
      </c>
      <c r="Q86" s="116">
        <v>-0.69199999999999995</v>
      </c>
      <c r="R86" s="116">
        <v>730.66393152698572</v>
      </c>
      <c r="S86" s="14">
        <v>659.19028600000001</v>
      </c>
      <c r="U86" s="27"/>
      <c r="V86" s="27"/>
    </row>
    <row r="87" spans="1:22" x14ac:dyDescent="0.25">
      <c r="A87" s="7"/>
      <c r="B87" s="47" t="s">
        <v>125</v>
      </c>
      <c r="C87" s="116">
        <v>446.48604399999999</v>
      </c>
      <c r="D87" s="116">
        <v>155.51198399999998</v>
      </c>
      <c r="E87" s="116">
        <v>144.23259054593041</v>
      </c>
      <c r="F87" s="116">
        <v>78.261828800000004</v>
      </c>
      <c r="G87" s="116">
        <v>36.060406039564349</v>
      </c>
      <c r="H87" s="116">
        <v>27.698716900000001</v>
      </c>
      <c r="I87" s="116">
        <v>2.2116387454455424</v>
      </c>
      <c r="J87" s="116">
        <v>4.1619999999999999</v>
      </c>
      <c r="K87" s="116">
        <v>750.39261854593042</v>
      </c>
      <c r="L87" s="116">
        <v>1.095278</v>
      </c>
      <c r="M87" s="116">
        <v>751.48789654593043</v>
      </c>
      <c r="N87" s="116">
        <v>234.91058094342443</v>
      </c>
      <c r="O87" s="116">
        <v>986.39847699999996</v>
      </c>
      <c r="P87" s="116">
        <v>251.74198692434936</v>
      </c>
      <c r="Q87" s="116">
        <v>-0.69199999999999995</v>
      </c>
      <c r="R87" s="116">
        <v>733.9644905680799</v>
      </c>
      <c r="S87" s="14">
        <v>662.30066399999998</v>
      </c>
      <c r="U87" s="27"/>
      <c r="V87" s="27"/>
    </row>
    <row r="88" spans="1:22" x14ac:dyDescent="0.25">
      <c r="A88" s="7"/>
      <c r="B88" s="47" t="s">
        <v>126</v>
      </c>
      <c r="C88" s="116">
        <v>448.71725099999998</v>
      </c>
      <c r="D88" s="116">
        <v>156.08804699999999</v>
      </c>
      <c r="E88" s="116">
        <v>144.68937268334392</v>
      </c>
      <c r="F88" s="116">
        <v>78.538831500000001</v>
      </c>
      <c r="G88" s="116">
        <v>36.36892454232531</v>
      </c>
      <c r="H88" s="116">
        <v>27.549582999999998</v>
      </c>
      <c r="I88" s="116">
        <v>2.232033632975404</v>
      </c>
      <c r="J88" s="116">
        <v>4.1619999999999999</v>
      </c>
      <c r="K88" s="116">
        <v>753.65667068334392</v>
      </c>
      <c r="L88" s="116">
        <v>1.2137705699999999</v>
      </c>
      <c r="M88" s="116">
        <v>754.87044125334398</v>
      </c>
      <c r="N88" s="116">
        <v>235.41689610138832</v>
      </c>
      <c r="O88" s="116">
        <v>990.28733700000009</v>
      </c>
      <c r="P88" s="116">
        <v>252.35248536584595</v>
      </c>
      <c r="Q88" s="116">
        <v>-0.69199999999999995</v>
      </c>
      <c r="R88" s="116">
        <v>737.24285198486098</v>
      </c>
      <c r="S88" s="14">
        <v>665.38808600000004</v>
      </c>
      <c r="U88" s="27"/>
      <c r="V88" s="27"/>
    </row>
    <row r="89" spans="1:22" x14ac:dyDescent="0.25">
      <c r="A89" s="7"/>
      <c r="B89" s="47" t="s">
        <v>127</v>
      </c>
      <c r="C89" s="116">
        <v>450.95447899999999</v>
      </c>
      <c r="D89" s="116">
        <v>156.53265900000002</v>
      </c>
      <c r="E89" s="116">
        <v>145.11195477660374</v>
      </c>
      <c r="F89" s="116">
        <v>78.757354000000021</v>
      </c>
      <c r="G89" s="116">
        <v>36.729337687137175</v>
      </c>
      <c r="H89" s="116">
        <v>27.368512500000001</v>
      </c>
      <c r="I89" s="116">
        <v>2.2567506757776186</v>
      </c>
      <c r="J89" s="116">
        <v>4.1619999999999999</v>
      </c>
      <c r="K89" s="116">
        <v>756.76109277660373</v>
      </c>
      <c r="L89" s="116">
        <v>1.45478598</v>
      </c>
      <c r="M89" s="116">
        <v>758.21587875660384</v>
      </c>
      <c r="N89" s="116">
        <v>236.02979949352158</v>
      </c>
      <c r="O89" s="116">
        <v>994.245678</v>
      </c>
      <c r="P89" s="116">
        <v>252.9187556982053</v>
      </c>
      <c r="Q89" s="116">
        <v>-0.69199999999999995</v>
      </c>
      <c r="R89" s="116">
        <v>740.63492255033259</v>
      </c>
      <c r="S89" s="14">
        <v>668.57607200000007</v>
      </c>
      <c r="U89" s="27"/>
      <c r="V89" s="27"/>
    </row>
    <row r="90" spans="1:22" x14ac:dyDescent="0.25">
      <c r="A90" s="7"/>
      <c r="B90" s="47" t="s">
        <v>128</v>
      </c>
      <c r="C90" s="116">
        <v>453.19122999999996</v>
      </c>
      <c r="D90" s="116">
        <v>156.90336300000001</v>
      </c>
      <c r="E90" s="116">
        <v>145.57894312325732</v>
      </c>
      <c r="F90" s="116">
        <v>78.974104499999996</v>
      </c>
      <c r="G90" s="116">
        <v>37.136521685872388</v>
      </c>
      <c r="H90" s="116">
        <v>27.182926800000001</v>
      </c>
      <c r="I90" s="116">
        <v>2.2853901026458741</v>
      </c>
      <c r="J90" s="116">
        <v>4.1619999999999999</v>
      </c>
      <c r="K90" s="116">
        <v>759.83553612325738</v>
      </c>
      <c r="L90" s="116">
        <v>1.50597651</v>
      </c>
      <c r="M90" s="116">
        <v>761.34151263325737</v>
      </c>
      <c r="N90" s="116">
        <v>236.76398157377847</v>
      </c>
      <c r="O90" s="116">
        <v>998.10549399999991</v>
      </c>
      <c r="P90" s="116">
        <v>253.46426107600269</v>
      </c>
      <c r="Q90" s="116">
        <v>-0.69199999999999995</v>
      </c>
      <c r="R90" s="116">
        <v>743.94923313040317</v>
      </c>
      <c r="S90" s="14">
        <v>671.69076899999993</v>
      </c>
      <c r="U90" s="27"/>
      <c r="V90" s="27"/>
    </row>
    <row r="91" spans="1:22" x14ac:dyDescent="0.25">
      <c r="A91" s="7"/>
      <c r="B91" s="47" t="s">
        <v>129</v>
      </c>
      <c r="C91" s="116">
        <v>455.35788400000001</v>
      </c>
      <c r="D91" s="116">
        <v>157.32882500000002</v>
      </c>
      <c r="E91" s="116">
        <v>146.12244599041296</v>
      </c>
      <c r="F91" s="116">
        <v>79.189065700000015</v>
      </c>
      <c r="G91" s="116">
        <v>37.572205513432657</v>
      </c>
      <c r="H91" s="116">
        <v>27.044694100000001</v>
      </c>
      <c r="I91" s="116">
        <v>2.3164806150620514</v>
      </c>
      <c r="J91" s="116">
        <v>4.1619999999999999</v>
      </c>
      <c r="K91" s="116">
        <v>762.97115499041297</v>
      </c>
      <c r="L91" s="116">
        <v>1.4296992499999999</v>
      </c>
      <c r="M91" s="116">
        <v>764.40085424041297</v>
      </c>
      <c r="N91" s="116">
        <v>237.49343992118597</v>
      </c>
      <c r="O91" s="116">
        <v>1001.8942900000001</v>
      </c>
      <c r="P91" s="116">
        <v>254.03669920638364</v>
      </c>
      <c r="Q91" s="116">
        <v>-0.69199999999999995</v>
      </c>
      <c r="R91" s="116">
        <v>747.1655949596975</v>
      </c>
      <c r="S91" s="14">
        <v>674.71390399999996</v>
      </c>
      <c r="U91" s="27"/>
      <c r="V91" s="27"/>
    </row>
    <row r="92" spans="1:22" x14ac:dyDescent="0.25">
      <c r="A92" s="7"/>
      <c r="B92" s="47" t="s">
        <v>130</v>
      </c>
      <c r="C92" s="116">
        <v>457.38791499999996</v>
      </c>
      <c r="D92" s="116">
        <v>157.882383</v>
      </c>
      <c r="E92" s="116">
        <v>146.6918952562086</v>
      </c>
      <c r="F92" s="116">
        <v>79.402219200000019</v>
      </c>
      <c r="G92" s="116">
        <v>37.965306279699263</v>
      </c>
      <c r="H92" s="116">
        <v>26.9801316</v>
      </c>
      <c r="I92" s="116">
        <v>2.3442382128576051</v>
      </c>
      <c r="J92" s="116">
        <v>4.1619999999999999</v>
      </c>
      <c r="K92" s="116">
        <v>766.12419325620851</v>
      </c>
      <c r="L92" s="116">
        <v>1.3088542000000001</v>
      </c>
      <c r="M92" s="116">
        <v>767.43304745620856</v>
      </c>
      <c r="N92" s="116">
        <v>238.20636432634191</v>
      </c>
      <c r="O92" s="116">
        <v>1005.63941</v>
      </c>
      <c r="P92" s="116">
        <v>254.66027296089032</v>
      </c>
      <c r="Q92" s="116">
        <v>-0.69199999999999995</v>
      </c>
      <c r="R92" s="116">
        <v>750.28713881677334</v>
      </c>
      <c r="S92" s="14">
        <v>677.64838399999996</v>
      </c>
      <c r="U92" s="27"/>
      <c r="V92" s="27"/>
    </row>
    <row r="93" spans="1:22" x14ac:dyDescent="0.25">
      <c r="A93" s="7"/>
      <c r="B93" s="47" t="s">
        <v>131</v>
      </c>
      <c r="C93" s="116">
        <v>459.179821</v>
      </c>
      <c r="D93" s="116">
        <v>158.58284</v>
      </c>
      <c r="E93" s="116">
        <v>147.30388235185504</v>
      </c>
      <c r="F93" s="116">
        <v>79.637368300000006</v>
      </c>
      <c r="G93" s="116">
        <v>38.307525804644463</v>
      </c>
      <c r="H93" s="116">
        <v>26.990974399999999</v>
      </c>
      <c r="I93" s="116">
        <v>2.368013920032519</v>
      </c>
      <c r="J93" s="116">
        <v>4.1619999999999999</v>
      </c>
      <c r="K93" s="116">
        <v>769.22854335185502</v>
      </c>
      <c r="L93" s="116">
        <v>1.43558502</v>
      </c>
      <c r="M93" s="116">
        <v>770.66412837185499</v>
      </c>
      <c r="N93" s="116">
        <v>238.87214258026182</v>
      </c>
      <c r="O93" s="116">
        <v>1009.5362700000001</v>
      </c>
      <c r="P93" s="116">
        <v>255.33538650795268</v>
      </c>
      <c r="Q93" s="116">
        <v>-0.69199999999999995</v>
      </c>
      <c r="R93" s="116">
        <v>753.50888444642294</v>
      </c>
      <c r="S93" s="14">
        <v>680.67142100000001</v>
      </c>
      <c r="U93" s="27"/>
      <c r="V93" s="27"/>
    </row>
    <row r="94" spans="1:22" x14ac:dyDescent="0.25">
      <c r="A94" s="7"/>
      <c r="B94" s="47" t="s">
        <v>132</v>
      </c>
      <c r="C94" s="116">
        <v>461.01126299999999</v>
      </c>
      <c r="D94" s="116">
        <v>159.39522200000002</v>
      </c>
      <c r="E94" s="116">
        <v>147.985107760505</v>
      </c>
      <c r="F94" s="116">
        <v>79.894698699999978</v>
      </c>
      <c r="G94" s="116">
        <v>38.643770954107957</v>
      </c>
      <c r="H94" s="116">
        <v>27.055126600000001</v>
      </c>
      <c r="I94" s="116">
        <v>2.3915115205468571</v>
      </c>
      <c r="J94" s="116">
        <v>4.1619999999999999</v>
      </c>
      <c r="K94" s="116">
        <v>772.5535927605049</v>
      </c>
      <c r="L94" s="116">
        <v>1.3147282</v>
      </c>
      <c r="M94" s="116">
        <v>773.86832096050489</v>
      </c>
      <c r="N94" s="116">
        <v>239.44573010101033</v>
      </c>
      <c r="O94" s="116">
        <v>1013.3140500000001</v>
      </c>
      <c r="P94" s="116">
        <v>256.01413000286567</v>
      </c>
      <c r="Q94" s="116">
        <v>-0.69199999999999995</v>
      </c>
      <c r="R94" s="116">
        <v>756.60792105502208</v>
      </c>
      <c r="S94" s="14">
        <v>683.58059300000002</v>
      </c>
      <c r="U94" s="27"/>
      <c r="V94" s="27"/>
    </row>
    <row r="95" spans="1:22" x14ac:dyDescent="0.25">
      <c r="A95" s="7"/>
      <c r="B95" s="47" t="s">
        <v>133</v>
      </c>
      <c r="C95" s="116">
        <v>462.788004</v>
      </c>
      <c r="D95" s="116">
        <v>160.23188399999998</v>
      </c>
      <c r="E95" s="116">
        <v>148.65986707489688</v>
      </c>
      <c r="F95" s="116">
        <v>80.158436300000005</v>
      </c>
      <c r="G95" s="116">
        <v>38.96056623516408</v>
      </c>
      <c r="H95" s="116">
        <v>27.127196100000003</v>
      </c>
      <c r="I95" s="116">
        <v>2.4136684730028604</v>
      </c>
      <c r="J95" s="116">
        <v>4.1619999999999999</v>
      </c>
      <c r="K95" s="116">
        <v>775.84175507489681</v>
      </c>
      <c r="L95" s="116">
        <v>1.23472651</v>
      </c>
      <c r="M95" s="116">
        <v>777.07648158489678</v>
      </c>
      <c r="N95" s="116">
        <v>240.02459617610219</v>
      </c>
      <c r="O95" s="116">
        <v>1017.1010799999999</v>
      </c>
      <c r="P95" s="116">
        <v>256.72073889299583</v>
      </c>
      <c r="Q95" s="116">
        <v>-0.69199999999999995</v>
      </c>
      <c r="R95" s="116">
        <v>759.68833886330231</v>
      </c>
      <c r="S95" s="14">
        <v>686.4705110000001</v>
      </c>
      <c r="U95" s="27"/>
      <c r="V95" s="27"/>
    </row>
    <row r="96" spans="1:22" x14ac:dyDescent="0.25">
      <c r="A96" s="7"/>
      <c r="B96" s="47" t="s">
        <v>134</v>
      </c>
      <c r="C96" s="116">
        <v>464.57159300000001</v>
      </c>
      <c r="D96" s="116">
        <v>161.032445</v>
      </c>
      <c r="E96" s="116">
        <v>149.29687864297497</v>
      </c>
      <c r="F96" s="116">
        <v>80.422225600000004</v>
      </c>
      <c r="G96" s="116">
        <v>39.262582172161231</v>
      </c>
      <c r="H96" s="116">
        <v>27.177159800000002</v>
      </c>
      <c r="I96" s="116">
        <v>2.4349110578318593</v>
      </c>
      <c r="J96" s="116">
        <v>4.1619999999999999</v>
      </c>
      <c r="K96" s="116">
        <v>779.06291664297498</v>
      </c>
      <c r="L96" s="116">
        <v>1.17333661</v>
      </c>
      <c r="M96" s="116">
        <v>780.23625325297496</v>
      </c>
      <c r="N96" s="116">
        <v>240.63218269673666</v>
      </c>
      <c r="O96" s="116">
        <v>1020.86844</v>
      </c>
      <c r="P96" s="116">
        <v>257.44327130641972</v>
      </c>
      <c r="Q96" s="116">
        <v>-0.69199999999999995</v>
      </c>
      <c r="R96" s="116">
        <v>762.73316464252616</v>
      </c>
      <c r="S96" s="14">
        <v>689.32581499999992</v>
      </c>
      <c r="U96" s="27"/>
      <c r="V96" s="27"/>
    </row>
    <row r="97" spans="1:22" x14ac:dyDescent="0.25">
      <c r="A97" s="7"/>
      <c r="B97" s="47" t="s">
        <v>135</v>
      </c>
      <c r="C97" s="116">
        <v>466.362055</v>
      </c>
      <c r="D97" s="116">
        <v>161.76289700000001</v>
      </c>
      <c r="E97" s="116">
        <v>149.87874986561053</v>
      </c>
      <c r="F97" s="116">
        <v>80.68606170000001</v>
      </c>
      <c r="G97" s="116">
        <v>39.547885268741744</v>
      </c>
      <c r="H97" s="116">
        <v>27.189670500000002</v>
      </c>
      <c r="I97" s="116">
        <v>2.4551324498335489</v>
      </c>
      <c r="J97" s="116">
        <v>4.1619999999999999</v>
      </c>
      <c r="K97" s="116">
        <v>782.16570186561057</v>
      </c>
      <c r="L97" s="116">
        <v>1.1798935100000001</v>
      </c>
      <c r="M97" s="116">
        <v>783.34559537561051</v>
      </c>
      <c r="N97" s="116">
        <v>241.29222276651561</v>
      </c>
      <c r="O97" s="116">
        <v>1024.6378199999999</v>
      </c>
      <c r="P97" s="116">
        <v>258.16230636924945</v>
      </c>
      <c r="Q97" s="116">
        <v>-0.69199999999999995</v>
      </c>
      <c r="R97" s="116">
        <v>765.78351177665104</v>
      </c>
      <c r="S97" s="14">
        <v>692.18390699999998</v>
      </c>
      <c r="U97" s="27"/>
      <c r="V97" s="27"/>
    </row>
    <row r="98" spans="1:22" x14ac:dyDescent="0.25">
      <c r="A98" s="7"/>
      <c r="B98" s="47" t="s">
        <v>645</v>
      </c>
      <c r="C98" s="116">
        <v>468.15941800000002</v>
      </c>
      <c r="D98" s="116">
        <v>162.41469599999999</v>
      </c>
      <c r="E98" s="116">
        <v>150.40370076700404</v>
      </c>
      <c r="F98" s="116">
        <v>80.949939199999974</v>
      </c>
      <c r="G98" s="116">
        <v>39.815917282378315</v>
      </c>
      <c r="H98" s="116">
        <v>27.1634986</v>
      </c>
      <c r="I98" s="116">
        <v>2.4743456591148654</v>
      </c>
      <c r="J98" s="116">
        <v>4.1619999999999999</v>
      </c>
      <c r="K98" s="116">
        <v>785.13981476700405</v>
      </c>
      <c r="L98" s="116">
        <v>1.3049356700000001</v>
      </c>
      <c r="M98" s="116">
        <v>786.44475043700413</v>
      </c>
      <c r="N98" s="116">
        <v>242.00510589310429</v>
      </c>
      <c r="O98" s="116">
        <v>1028.4498599999999</v>
      </c>
      <c r="P98" s="116">
        <v>258.88020813309504</v>
      </c>
      <c r="Q98" s="116">
        <v>-0.69199999999999995</v>
      </c>
      <c r="R98" s="116">
        <v>768.87764819508016</v>
      </c>
      <c r="S98" s="14">
        <v>695.07960500000002</v>
      </c>
      <c r="U98" s="27"/>
      <c r="V98" s="27"/>
    </row>
    <row r="99" spans="1:22" x14ac:dyDescent="0.25">
      <c r="A99" s="7"/>
      <c r="B99" s="47" t="s">
        <v>646</v>
      </c>
      <c r="C99" s="116">
        <v>469.963708</v>
      </c>
      <c r="D99" s="116">
        <v>163.00407199999998</v>
      </c>
      <c r="E99" s="116">
        <v>150.88375258828447</v>
      </c>
      <c r="F99" s="116">
        <v>81.213852899999992</v>
      </c>
      <c r="G99" s="116">
        <v>40.066218512596357</v>
      </c>
      <c r="H99" s="116">
        <v>27.111101099999999</v>
      </c>
      <c r="I99" s="116">
        <v>2.4925801729703516</v>
      </c>
      <c r="J99" s="116">
        <v>4.1619999999999999</v>
      </c>
      <c r="K99" s="116">
        <v>788.01353258828442</v>
      </c>
      <c r="L99" s="116">
        <v>1.23014242</v>
      </c>
      <c r="M99" s="116">
        <v>789.24367500828453</v>
      </c>
      <c r="N99" s="116">
        <v>242.75225633870807</v>
      </c>
      <c r="O99" s="116">
        <v>1031.99593</v>
      </c>
      <c r="P99" s="116">
        <v>259.60183096023781</v>
      </c>
      <c r="Q99" s="116">
        <v>-0.69199999999999995</v>
      </c>
      <c r="R99" s="116">
        <v>771.70210038868765</v>
      </c>
      <c r="S99" s="14">
        <v>697.72821599999997</v>
      </c>
      <c r="U99" s="27"/>
      <c r="V99" s="27"/>
    </row>
    <row r="100" spans="1:22" x14ac:dyDescent="0.25">
      <c r="A100" s="7"/>
      <c r="B100" s="47" t="s">
        <v>647</v>
      </c>
      <c r="C100" s="116">
        <v>471.77495199999998</v>
      </c>
      <c r="D100" s="116">
        <v>163.54361399999999</v>
      </c>
      <c r="E100" s="116">
        <v>151.32973310346773</v>
      </c>
      <c r="F100" s="116">
        <v>81.477797499999994</v>
      </c>
      <c r="G100" s="116">
        <v>40.30012503719756</v>
      </c>
      <c r="H100" s="116">
        <v>27.041788799999999</v>
      </c>
      <c r="I100" s="116">
        <v>2.5100217210574227</v>
      </c>
      <c r="J100" s="116">
        <v>4.1619999999999999</v>
      </c>
      <c r="K100" s="116">
        <v>790.81029910346774</v>
      </c>
      <c r="L100" s="116">
        <v>1.2543493900000002</v>
      </c>
      <c r="M100" s="116">
        <v>792.06464849346776</v>
      </c>
      <c r="N100" s="116">
        <v>243.50055119230538</v>
      </c>
      <c r="O100" s="116">
        <v>1035.5652</v>
      </c>
      <c r="P100" s="116">
        <v>260.32716341026969</v>
      </c>
      <c r="Q100" s="116">
        <v>-0.69199999999999995</v>
      </c>
      <c r="R100" s="116">
        <v>774.54603627757729</v>
      </c>
      <c r="S100" s="14">
        <v>700.39246100000003</v>
      </c>
      <c r="U100" s="27"/>
      <c r="V100" s="27"/>
    </row>
    <row r="101" spans="1:22" x14ac:dyDescent="0.25">
      <c r="A101" s="7"/>
      <c r="B101" s="300" t="s">
        <v>648</v>
      </c>
      <c r="C101" s="366">
        <v>473.59317599999997</v>
      </c>
      <c r="D101" s="366">
        <v>164.04244500000001</v>
      </c>
      <c r="E101" s="366">
        <v>151.74558789306545</v>
      </c>
      <c r="F101" s="366">
        <v>81.741767800000005</v>
      </c>
      <c r="G101" s="366">
        <v>40.515357582534065</v>
      </c>
      <c r="H101" s="366">
        <v>26.961891399999999</v>
      </c>
      <c r="I101" s="366">
        <v>2.526571103650999</v>
      </c>
      <c r="J101" s="366">
        <v>4.1619999999999999</v>
      </c>
      <c r="K101" s="366">
        <v>793.54320889306541</v>
      </c>
      <c r="L101" s="366">
        <v>1.4223616400000001</v>
      </c>
      <c r="M101" s="366">
        <v>794.96557053306549</v>
      </c>
      <c r="N101" s="366">
        <v>244.18290482932642</v>
      </c>
      <c r="O101" s="366">
        <v>1039.1484800000001</v>
      </c>
      <c r="P101" s="366">
        <v>261.05619454550219</v>
      </c>
      <c r="Q101" s="366">
        <v>-0.69199999999999995</v>
      </c>
      <c r="R101" s="366">
        <v>777.40028081618175</v>
      </c>
      <c r="S101" s="367">
        <v>703.06405599999994</v>
      </c>
      <c r="U101" s="27"/>
      <c r="V101" s="27"/>
    </row>
    <row r="102" spans="1:22" x14ac:dyDescent="0.25">
      <c r="A102" s="7"/>
      <c r="B102" s="47">
        <v>2008</v>
      </c>
      <c r="C102" s="116">
        <v>1433.3009999999999</v>
      </c>
      <c r="D102" s="116">
        <v>467.22699999999998</v>
      </c>
      <c r="E102" s="116">
        <v>399.17200000000003</v>
      </c>
      <c r="F102" s="116">
        <v>216.583</v>
      </c>
      <c r="G102" s="116">
        <v>109.895</v>
      </c>
      <c r="H102" s="116">
        <v>65.302000000000007</v>
      </c>
      <c r="I102" s="116">
        <v>10.192</v>
      </c>
      <c r="J102" s="116">
        <v>-0.77400000000000002</v>
      </c>
      <c r="K102" s="116">
        <v>2298.9259999999999</v>
      </c>
      <c r="L102" s="116">
        <v>-8.5790000000000006</v>
      </c>
      <c r="M102" s="116">
        <v>2290.3470000000002</v>
      </c>
      <c r="N102" s="116">
        <v>666.85400000000004</v>
      </c>
      <c r="O102" s="116">
        <v>2965.4850000000001</v>
      </c>
      <c r="P102" s="116">
        <v>657.98199999999997</v>
      </c>
      <c r="Q102" s="116">
        <v>0</v>
      </c>
      <c r="R102" s="116">
        <v>2306.0079999999998</v>
      </c>
      <c r="S102" s="14">
        <v>2020.5329999999999</v>
      </c>
      <c r="U102" s="27"/>
      <c r="V102" s="27"/>
    </row>
    <row r="103" spans="1:22" x14ac:dyDescent="0.25">
      <c r="A103" s="7"/>
      <c r="B103" s="47">
        <v>2009</v>
      </c>
      <c r="C103" s="116">
        <v>1389.4290000000001</v>
      </c>
      <c r="D103" s="116">
        <v>473.73399999999998</v>
      </c>
      <c r="E103" s="116">
        <v>352.84899999999999</v>
      </c>
      <c r="F103" s="116">
        <v>186.202</v>
      </c>
      <c r="G103" s="116">
        <v>84.584999999999994</v>
      </c>
      <c r="H103" s="116">
        <v>70.081000000000003</v>
      </c>
      <c r="I103" s="116">
        <v>13.208</v>
      </c>
      <c r="J103" s="116">
        <v>2.3860000000000001</v>
      </c>
      <c r="K103" s="116">
        <v>2218.3980000000001</v>
      </c>
      <c r="L103" s="116">
        <v>-29.007000000000001</v>
      </c>
      <c r="M103" s="116">
        <v>2189.3910000000001</v>
      </c>
      <c r="N103" s="116">
        <v>613.95299999999997</v>
      </c>
      <c r="O103" s="116">
        <v>2811.6860000000001</v>
      </c>
      <c r="P103" s="116">
        <v>610.29499999999996</v>
      </c>
      <c r="Q103" s="116">
        <v>0</v>
      </c>
      <c r="R103" s="116">
        <v>2200.2220000000002</v>
      </c>
      <c r="S103" s="14">
        <v>1930.174</v>
      </c>
    </row>
    <row r="104" spans="1:22" x14ac:dyDescent="0.25">
      <c r="A104" s="7"/>
      <c r="B104" s="47">
        <v>2010</v>
      </c>
      <c r="C104" s="116">
        <v>1427.124</v>
      </c>
      <c r="D104" s="116">
        <v>473.62599999999998</v>
      </c>
      <c r="E104" s="116">
        <v>361.21600000000001</v>
      </c>
      <c r="F104" s="116">
        <v>191.078</v>
      </c>
      <c r="G104" s="116">
        <v>86.256</v>
      </c>
      <c r="H104" s="116">
        <v>71.475999999999999</v>
      </c>
      <c r="I104" s="116">
        <v>13.466999999999999</v>
      </c>
      <c r="J104" s="116">
        <v>-0.51500000000000001</v>
      </c>
      <c r="K104" s="116">
        <v>2261.451</v>
      </c>
      <c r="L104" s="116">
        <v>-7.0250000000000004</v>
      </c>
      <c r="M104" s="116">
        <v>2254.4259999999999</v>
      </c>
      <c r="N104" s="116">
        <v>651.71</v>
      </c>
      <c r="O104" s="116">
        <v>2914.4859999999999</v>
      </c>
      <c r="P104" s="116">
        <v>663.08600000000001</v>
      </c>
      <c r="Q104" s="116">
        <v>0</v>
      </c>
      <c r="R104" s="116">
        <v>2249.9589999999998</v>
      </c>
      <c r="S104" s="14">
        <v>1980.7080000000001</v>
      </c>
    </row>
    <row r="105" spans="1:22" x14ac:dyDescent="0.25">
      <c r="A105" s="7"/>
      <c r="B105" s="47">
        <v>2011</v>
      </c>
      <c r="C105" s="116">
        <v>1418.1869999999999</v>
      </c>
      <c r="D105" s="116">
        <v>472.11</v>
      </c>
      <c r="E105" s="116">
        <v>360.60300000000001</v>
      </c>
      <c r="F105" s="116">
        <v>199.41900000000001</v>
      </c>
      <c r="G105" s="116">
        <v>82.73</v>
      </c>
      <c r="H105" s="116">
        <v>66.506</v>
      </c>
      <c r="I105" s="116">
        <v>12.301</v>
      </c>
      <c r="J105" s="116">
        <v>-0.77500000000000002</v>
      </c>
      <c r="K105" s="116">
        <v>2250.125</v>
      </c>
      <c r="L105" s="116">
        <v>0.43</v>
      </c>
      <c r="M105" s="116">
        <v>2250.5549999999998</v>
      </c>
      <c r="N105" s="116">
        <v>695.98900000000003</v>
      </c>
      <c r="O105" s="116">
        <v>2952.1089999999999</v>
      </c>
      <c r="P105" s="116">
        <v>681.26199999999994</v>
      </c>
      <c r="Q105" s="116">
        <v>0</v>
      </c>
      <c r="R105" s="116">
        <v>2269.116</v>
      </c>
      <c r="S105" s="14">
        <v>2007.6659999999999</v>
      </c>
    </row>
    <row r="106" spans="1:22" x14ac:dyDescent="0.25">
      <c r="A106" s="7"/>
      <c r="B106" s="47">
        <v>2012</v>
      </c>
      <c r="C106" s="116">
        <v>1446.1679999999999</v>
      </c>
      <c r="D106" s="116">
        <v>479.02100000000002</v>
      </c>
      <c r="E106" s="116">
        <v>367.983</v>
      </c>
      <c r="F106" s="116">
        <v>211.73</v>
      </c>
      <c r="G106" s="116">
        <v>82.477000000000004</v>
      </c>
      <c r="H106" s="116">
        <v>61.929000000000002</v>
      </c>
      <c r="I106" s="116">
        <v>11.295999999999999</v>
      </c>
      <c r="J106" s="116">
        <v>-1.609</v>
      </c>
      <c r="K106" s="116">
        <v>2291.5630000000001</v>
      </c>
      <c r="L106" s="116">
        <v>4.5449999999999999</v>
      </c>
      <c r="M106" s="116">
        <v>2296.1080000000002</v>
      </c>
      <c r="N106" s="116">
        <v>699.71100000000001</v>
      </c>
      <c r="O106" s="116">
        <v>3002.4589999999998</v>
      </c>
      <c r="P106" s="116">
        <v>696.649</v>
      </c>
      <c r="Q106" s="116">
        <v>0</v>
      </c>
      <c r="R106" s="116">
        <v>2303.7939999999999</v>
      </c>
      <c r="S106" s="14">
        <v>2049.0740000000001</v>
      </c>
    </row>
    <row r="107" spans="1:22" x14ac:dyDescent="0.25">
      <c r="A107" s="7"/>
      <c r="B107" s="47">
        <v>2013</v>
      </c>
      <c r="C107" s="116">
        <v>1477.9939999999999</v>
      </c>
      <c r="D107" s="116">
        <v>479.18900000000002</v>
      </c>
      <c r="E107" s="116">
        <v>383.41500000000002</v>
      </c>
      <c r="F107" s="116">
        <v>221.25399999999999</v>
      </c>
      <c r="G107" s="116">
        <v>92.358999999999995</v>
      </c>
      <c r="H107" s="116">
        <v>58.295000000000002</v>
      </c>
      <c r="I107" s="116">
        <v>10.777000000000001</v>
      </c>
      <c r="J107" s="116">
        <v>6.577</v>
      </c>
      <c r="K107" s="116">
        <v>2347.1750000000002</v>
      </c>
      <c r="L107" s="116">
        <v>0.64800000000000002</v>
      </c>
      <c r="M107" s="116">
        <v>2347.8229999999999</v>
      </c>
      <c r="N107" s="116">
        <v>702.7</v>
      </c>
      <c r="O107" s="116">
        <v>3064.5529999999999</v>
      </c>
      <c r="P107" s="116">
        <v>718.79600000000005</v>
      </c>
      <c r="Q107" s="116">
        <v>0</v>
      </c>
      <c r="R107" s="116">
        <v>2343.384</v>
      </c>
      <c r="S107" s="14">
        <v>2087.7820000000002</v>
      </c>
    </row>
    <row r="108" spans="1:22" x14ac:dyDescent="0.25">
      <c r="A108" s="7"/>
      <c r="B108" s="47">
        <v>2014</v>
      </c>
      <c r="C108" s="116">
        <v>1518.913</v>
      </c>
      <c r="D108" s="116">
        <v>490.334</v>
      </c>
      <c r="E108" s="116">
        <v>411.50700000000001</v>
      </c>
      <c r="F108" s="116">
        <v>235.726</v>
      </c>
      <c r="G108" s="116">
        <v>97.12</v>
      </c>
      <c r="H108" s="116">
        <v>65.430000000000007</v>
      </c>
      <c r="I108" s="116">
        <v>12.568</v>
      </c>
      <c r="J108" s="116">
        <v>4.9429999999999996</v>
      </c>
      <c r="K108" s="116">
        <v>2425.6970000000001</v>
      </c>
      <c r="L108" s="116">
        <v>20.925000000000001</v>
      </c>
      <c r="M108" s="116">
        <v>2446.6219999999998</v>
      </c>
      <c r="N108" s="116">
        <v>712.18399999999997</v>
      </c>
      <c r="O108" s="116">
        <v>3175.3870000000002</v>
      </c>
      <c r="P108" s="116">
        <v>755.20500000000004</v>
      </c>
      <c r="Q108" s="116">
        <v>0</v>
      </c>
      <c r="R108" s="116">
        <v>2417.4389999999999</v>
      </c>
      <c r="S108" s="14">
        <v>2155.8310000000001</v>
      </c>
    </row>
    <row r="109" spans="1:22" x14ac:dyDescent="0.25">
      <c r="A109" s="7"/>
      <c r="B109" s="47">
        <v>2015</v>
      </c>
      <c r="C109" s="116">
        <v>1563.941</v>
      </c>
      <c r="D109" s="116">
        <v>495.18900000000002</v>
      </c>
      <c r="E109" s="116">
        <v>439.37900000000002</v>
      </c>
      <c r="F109" s="116">
        <v>256.423</v>
      </c>
      <c r="G109" s="116">
        <v>103.508</v>
      </c>
      <c r="H109" s="116">
        <v>66.528000000000006</v>
      </c>
      <c r="I109" s="116">
        <v>12.047000000000001</v>
      </c>
      <c r="J109" s="116">
        <v>-0.83099999999999996</v>
      </c>
      <c r="K109" s="116">
        <v>2497.6779999999999</v>
      </c>
      <c r="L109" s="116">
        <v>8.9390000000000001</v>
      </c>
      <c r="M109" s="116">
        <v>2506.6170000000002</v>
      </c>
      <c r="N109" s="116">
        <v>738.202</v>
      </c>
      <c r="O109" s="116">
        <v>3263.96</v>
      </c>
      <c r="P109" s="116">
        <v>792.45</v>
      </c>
      <c r="Q109" s="116">
        <v>0</v>
      </c>
      <c r="R109" s="116">
        <v>2469.1819999999998</v>
      </c>
      <c r="S109" s="14">
        <v>2195.0709999999999</v>
      </c>
    </row>
    <row r="110" spans="1:22" x14ac:dyDescent="0.25">
      <c r="A110" s="7"/>
      <c r="B110" s="47">
        <v>2016</v>
      </c>
      <c r="C110" s="116">
        <v>1619.7670000000001</v>
      </c>
      <c r="D110" s="116">
        <v>499.524</v>
      </c>
      <c r="E110" s="116">
        <v>466.34500000000003</v>
      </c>
      <c r="F110" s="116">
        <v>276.23899999999998</v>
      </c>
      <c r="G110" s="116">
        <v>111.83199999999999</v>
      </c>
      <c r="H110" s="116">
        <v>65.012</v>
      </c>
      <c r="I110" s="116">
        <v>12.218</v>
      </c>
      <c r="J110" s="116">
        <v>-0.41199999999999998</v>
      </c>
      <c r="K110" s="116">
        <v>2585.2240000000002</v>
      </c>
      <c r="L110" s="116">
        <v>-15.807</v>
      </c>
      <c r="M110" s="116">
        <v>2569.4169999999999</v>
      </c>
      <c r="N110" s="116">
        <v>765.88</v>
      </c>
      <c r="O110" s="116">
        <v>3352.7759999999998</v>
      </c>
      <c r="P110" s="116">
        <v>827.95699999999999</v>
      </c>
      <c r="Q110" s="116">
        <v>0</v>
      </c>
      <c r="R110" s="116">
        <v>2523.665</v>
      </c>
      <c r="S110" s="14">
        <v>2244.3150000000001</v>
      </c>
    </row>
    <row r="111" spans="1:22" x14ac:dyDescent="0.25">
      <c r="A111" s="7"/>
      <c r="B111" s="47">
        <v>2017</v>
      </c>
      <c r="C111" s="116">
        <v>1653.27</v>
      </c>
      <c r="D111" s="116">
        <v>504.596</v>
      </c>
      <c r="E111" s="116">
        <v>484.36099999999999</v>
      </c>
      <c r="F111" s="116">
        <v>278.86200000000002</v>
      </c>
      <c r="G111" s="116">
        <v>121.82</v>
      </c>
      <c r="H111" s="116">
        <v>71.075000000000003</v>
      </c>
      <c r="I111" s="116">
        <v>12.088000000000001</v>
      </c>
      <c r="J111" s="116">
        <v>-0.76600000000000001</v>
      </c>
      <c r="K111" s="116">
        <v>2641.4609999999998</v>
      </c>
      <c r="L111" s="116">
        <v>-6.2290000000000001</v>
      </c>
      <c r="M111" s="116">
        <v>2635.232</v>
      </c>
      <c r="N111" s="116">
        <v>815.17200000000003</v>
      </c>
      <c r="O111" s="116">
        <v>3454.44</v>
      </c>
      <c r="P111" s="116">
        <v>853.30499999999995</v>
      </c>
      <c r="Q111" s="116">
        <v>0</v>
      </c>
      <c r="R111" s="116">
        <v>2599.9609999999998</v>
      </c>
      <c r="S111" s="14">
        <v>2315.596</v>
      </c>
    </row>
    <row r="112" spans="1:22" x14ac:dyDescent="0.25">
      <c r="A112" s="7"/>
      <c r="B112" s="47">
        <v>2018</v>
      </c>
      <c r="C112" s="116">
        <v>1687.414</v>
      </c>
      <c r="D112" s="116">
        <v>507.84100000000001</v>
      </c>
      <c r="E112" s="116">
        <v>483.363</v>
      </c>
      <c r="F112" s="116">
        <v>276.18799999999999</v>
      </c>
      <c r="G112" s="116">
        <v>130.036</v>
      </c>
      <c r="H112" s="116">
        <v>70.542000000000002</v>
      </c>
      <c r="I112" s="116">
        <v>6.3340000000000005</v>
      </c>
      <c r="J112" s="116">
        <v>1.6990000000000001</v>
      </c>
      <c r="K112" s="116">
        <v>2680.317</v>
      </c>
      <c r="L112" s="116">
        <v>-1.5</v>
      </c>
      <c r="M112" s="116">
        <v>2678.817</v>
      </c>
      <c r="N112" s="116">
        <v>846.41</v>
      </c>
      <c r="O112" s="116">
        <v>3523.6950000000002</v>
      </c>
      <c r="P112" s="116">
        <v>882.42399999999998</v>
      </c>
      <c r="Q112" s="116">
        <v>0</v>
      </c>
      <c r="R112" s="116">
        <v>2640.2950000000001</v>
      </c>
      <c r="S112" s="14">
        <v>2348.6849999999999</v>
      </c>
    </row>
    <row r="113" spans="1:20" x14ac:dyDescent="0.25">
      <c r="A113" s="7"/>
      <c r="B113" s="47">
        <v>2019</v>
      </c>
      <c r="C113" s="116">
        <v>1706.4960000000001</v>
      </c>
      <c r="D113" s="116">
        <v>522.79399999999998</v>
      </c>
      <c r="E113" s="116">
        <v>492.22699999999998</v>
      </c>
      <c r="F113" s="116">
        <v>280.22399999999999</v>
      </c>
      <c r="G113" s="116">
        <v>132.696</v>
      </c>
      <c r="H113" s="116">
        <v>72.89</v>
      </c>
      <c r="I113" s="116">
        <v>6.0812307799999994</v>
      </c>
      <c r="J113" s="116">
        <v>1.4359999999999999</v>
      </c>
      <c r="K113" s="116">
        <v>2722.953</v>
      </c>
      <c r="L113" s="116">
        <v>-1.02</v>
      </c>
      <c r="M113" s="116">
        <v>2721.933</v>
      </c>
      <c r="N113" s="116">
        <v>862.52099999999996</v>
      </c>
      <c r="O113" s="116">
        <v>3583.95</v>
      </c>
      <c r="P113" s="116">
        <v>909.625</v>
      </c>
      <c r="Q113" s="116">
        <v>0</v>
      </c>
      <c r="R113" s="116">
        <v>2673.4650000000001</v>
      </c>
      <c r="S113" s="14">
        <v>2381.1480000000001</v>
      </c>
    </row>
    <row r="114" spans="1:20" x14ac:dyDescent="0.25">
      <c r="A114" s="7"/>
      <c r="B114" s="47">
        <v>2020</v>
      </c>
      <c r="C114" s="116">
        <v>1486.3</v>
      </c>
      <c r="D114" s="116">
        <v>491.67700000000002</v>
      </c>
      <c r="E114" s="116">
        <v>443.52100000000002</v>
      </c>
      <c r="F114" s="116">
        <v>254.40899999999999</v>
      </c>
      <c r="G114" s="116">
        <v>107.342</v>
      </c>
      <c r="H114" s="116">
        <v>76.153000000000006</v>
      </c>
      <c r="I114" s="116">
        <v>5.3070708319999991</v>
      </c>
      <c r="J114" s="116">
        <v>0.63200000000000001</v>
      </c>
      <c r="K114" s="116">
        <v>2422.13</v>
      </c>
      <c r="L114" s="116">
        <v>-1.77</v>
      </c>
      <c r="M114" s="116">
        <v>2420.36</v>
      </c>
      <c r="N114" s="116">
        <v>758.88900000000001</v>
      </c>
      <c r="O114" s="116">
        <v>3178.0659999999998</v>
      </c>
      <c r="P114" s="116">
        <v>771.51199999999994</v>
      </c>
      <c r="Q114" s="116">
        <v>0</v>
      </c>
      <c r="R114" s="116">
        <v>2404.8380000000002</v>
      </c>
      <c r="S114" s="14">
        <v>2151.2350000000001</v>
      </c>
    </row>
    <row r="115" spans="1:20" x14ac:dyDescent="0.25">
      <c r="A115" s="7"/>
      <c r="B115" s="47">
        <v>2021</v>
      </c>
      <c r="C115" s="116">
        <v>1594.124</v>
      </c>
      <c r="D115" s="116">
        <v>555.57399999999996</v>
      </c>
      <c r="E115" s="116">
        <v>484.57600000000002</v>
      </c>
      <c r="F115" s="116">
        <v>269.55200000000002</v>
      </c>
      <c r="G115" s="116">
        <v>126.97</v>
      </c>
      <c r="H115" s="116">
        <v>81.638000000000005</v>
      </c>
      <c r="I115" s="116">
        <v>6.6759214799999995</v>
      </c>
      <c r="J115" s="116">
        <v>9.2530000000000001</v>
      </c>
      <c r="K115" s="116">
        <v>2643.527</v>
      </c>
      <c r="L115" s="116">
        <v>-1.5349999999999999</v>
      </c>
      <c r="M115" s="116">
        <v>2641.9920000000002</v>
      </c>
      <c r="N115" s="116">
        <v>780.61599999999999</v>
      </c>
      <c r="O115" s="116">
        <v>3426.1120000000001</v>
      </c>
      <c r="P115" s="116">
        <v>812.23199999999997</v>
      </c>
      <c r="Q115" s="116">
        <v>0</v>
      </c>
      <c r="R115" s="116">
        <v>2610.2860000000001</v>
      </c>
      <c r="S115" s="14">
        <v>2341.0549999999998</v>
      </c>
    </row>
    <row r="116" spans="1:20" x14ac:dyDescent="0.25">
      <c r="A116" s="7"/>
      <c r="B116" s="47">
        <v>2022</v>
      </c>
      <c r="C116" s="116">
        <v>1715.6569999999999</v>
      </c>
      <c r="D116" s="116">
        <v>555.94899999999996</v>
      </c>
      <c r="E116" s="116">
        <v>517.505</v>
      </c>
      <c r="F116" s="116">
        <v>284.22399999999999</v>
      </c>
      <c r="G116" s="116">
        <v>141.52600000000001</v>
      </c>
      <c r="H116" s="116">
        <v>84.221999999999994</v>
      </c>
      <c r="I116" s="116">
        <v>7.3328516699999993</v>
      </c>
      <c r="J116" s="116">
        <v>-19.806000000000001</v>
      </c>
      <c r="K116" s="116">
        <v>2769.3049999999998</v>
      </c>
      <c r="L116" s="116">
        <v>3.3130000000000002</v>
      </c>
      <c r="M116" s="116">
        <v>2772.6179999999999</v>
      </c>
      <c r="N116" s="116">
        <v>899.37699999999995</v>
      </c>
      <c r="O116" s="116">
        <v>3670.5</v>
      </c>
      <c r="P116" s="116">
        <v>925.24800000000005</v>
      </c>
      <c r="Q116" s="116">
        <v>0</v>
      </c>
      <c r="R116" s="116">
        <v>2744.7080000000001</v>
      </c>
      <c r="S116" s="14">
        <v>2451.9110000000001</v>
      </c>
    </row>
    <row r="117" spans="1:20" x14ac:dyDescent="0.25">
      <c r="A117" s="7"/>
      <c r="B117" s="47">
        <v>2023</v>
      </c>
      <c r="C117" s="116">
        <v>1708.903</v>
      </c>
      <c r="D117" s="116">
        <v>567.36900000000003</v>
      </c>
      <c r="E117" s="116">
        <v>520.09100000000001</v>
      </c>
      <c r="F117" s="116">
        <v>290.58699999999999</v>
      </c>
      <c r="G117" s="116">
        <v>133.404</v>
      </c>
      <c r="H117" s="116">
        <v>88.233000000000004</v>
      </c>
      <c r="I117" s="116">
        <v>7.01288585</v>
      </c>
      <c r="J117" s="116">
        <v>-13.342000000000001</v>
      </c>
      <c r="K117" s="116">
        <v>2783.0210000000002</v>
      </c>
      <c r="L117" s="116">
        <v>1.284</v>
      </c>
      <c r="M117" s="116">
        <v>2784.3049999999998</v>
      </c>
      <c r="N117" s="116">
        <v>878.27800000000002</v>
      </c>
      <c r="O117" s="116">
        <v>3662.5830000000001</v>
      </c>
      <c r="P117" s="116">
        <v>910.41899999999998</v>
      </c>
      <c r="Q117" s="116">
        <v>0</v>
      </c>
      <c r="R117" s="116">
        <v>2752.1640000000002</v>
      </c>
      <c r="S117" s="14">
        <v>2470.7139999999999</v>
      </c>
    </row>
    <row r="118" spans="1:20" x14ac:dyDescent="0.25">
      <c r="A118" s="7"/>
      <c r="B118" s="47">
        <v>2024</v>
      </c>
      <c r="C118" s="116">
        <v>1704.9839999999999</v>
      </c>
      <c r="D118" s="116">
        <v>583.952</v>
      </c>
      <c r="E118" s="116">
        <v>529.31700000000001</v>
      </c>
      <c r="F118" s="116">
        <v>298.18099999999998</v>
      </c>
      <c r="G118" s="116">
        <v>130.63</v>
      </c>
      <c r="H118" s="116">
        <v>92.013999999999996</v>
      </c>
      <c r="I118" s="116">
        <v>7.07606848</v>
      </c>
      <c r="J118" s="116">
        <v>5.8220000000000001</v>
      </c>
      <c r="K118" s="116">
        <v>2824.0749999999998</v>
      </c>
      <c r="L118" s="116">
        <v>6.9349999999999996</v>
      </c>
      <c r="M118" s="116">
        <v>2831.01</v>
      </c>
      <c r="N118" s="116">
        <v>889.5</v>
      </c>
      <c r="O118" s="116">
        <v>3720.51</v>
      </c>
      <c r="P118" s="116">
        <v>934.86599999999999</v>
      </c>
      <c r="Q118" s="116">
        <v>-4.7910000000000004</v>
      </c>
      <c r="R118" s="116">
        <v>2780.8530000000001</v>
      </c>
      <c r="S118" s="14">
        <v>2501.9630000000002</v>
      </c>
    </row>
    <row r="119" spans="1:20" x14ac:dyDescent="0.25">
      <c r="A119" s="7"/>
      <c r="B119" s="47">
        <v>2025</v>
      </c>
      <c r="C119" s="116">
        <v>1723.943</v>
      </c>
      <c r="D119" s="116">
        <v>593.63699999999994</v>
      </c>
      <c r="E119" s="116">
        <v>550.70600000000002</v>
      </c>
      <c r="F119" s="116">
        <v>311.10399999999998</v>
      </c>
      <c r="G119" s="116">
        <v>135.38800000000001</v>
      </c>
      <c r="H119" s="116">
        <v>95.852000000000004</v>
      </c>
      <c r="I119" s="116">
        <v>7.4946881799999998</v>
      </c>
      <c r="J119" s="116">
        <v>15.519</v>
      </c>
      <c r="K119" s="116">
        <v>2883.8049999999998</v>
      </c>
      <c r="L119" s="116">
        <v>3.6259999999999999</v>
      </c>
      <c r="M119" s="116">
        <v>2887.431</v>
      </c>
      <c r="N119" s="116">
        <v>906.44899999999996</v>
      </c>
      <c r="O119" s="116">
        <v>3793.88</v>
      </c>
      <c r="P119" s="116">
        <v>973.26300000000003</v>
      </c>
      <c r="Q119" s="116">
        <v>-3.2029999999999998</v>
      </c>
      <c r="R119" s="116">
        <v>2817.4140000000002</v>
      </c>
      <c r="S119" s="14">
        <v>2535.826</v>
      </c>
    </row>
    <row r="120" spans="1:20" x14ac:dyDescent="0.25">
      <c r="A120" s="7"/>
      <c r="B120" s="47">
        <v>2026</v>
      </c>
      <c r="C120" s="116">
        <v>1740.7313409999999</v>
      </c>
      <c r="D120" s="116">
        <v>606.85133700000006</v>
      </c>
      <c r="E120" s="116">
        <v>566.56272309299936</v>
      </c>
      <c r="F120" s="116">
        <v>311.12420090000006</v>
      </c>
      <c r="G120" s="116">
        <v>137.44836181200284</v>
      </c>
      <c r="H120" s="116">
        <v>109.80217370000001</v>
      </c>
      <c r="I120" s="116">
        <v>8.1879866997431812</v>
      </c>
      <c r="J120" s="116">
        <v>17.96</v>
      </c>
      <c r="K120" s="116">
        <v>2932.1054010929997</v>
      </c>
      <c r="L120" s="116">
        <v>6.4710024199999996</v>
      </c>
      <c r="M120" s="116">
        <v>2938.5764035129996</v>
      </c>
      <c r="N120" s="116">
        <v>916.71969939708106</v>
      </c>
      <c r="O120" s="116">
        <v>3855.2961019999998</v>
      </c>
      <c r="P120" s="116">
        <v>1000.0928690536739</v>
      </c>
      <c r="Q120" s="116">
        <v>-2.7650000000000001</v>
      </c>
      <c r="R120" s="116">
        <v>2852.4382338558503</v>
      </c>
      <c r="S120" s="14">
        <v>2569.4288730000003</v>
      </c>
    </row>
    <row r="121" spans="1:20" x14ac:dyDescent="0.25">
      <c r="A121" s="7"/>
      <c r="B121" s="47">
        <v>2027</v>
      </c>
      <c r="C121" s="116">
        <v>1751.2717389999998</v>
      </c>
      <c r="D121" s="116">
        <v>612.59338100000002</v>
      </c>
      <c r="E121" s="116">
        <v>572.65955373624672</v>
      </c>
      <c r="F121" s="116">
        <v>309.46130210000001</v>
      </c>
      <c r="G121" s="116">
        <v>140.81047793730204</v>
      </c>
      <c r="H121" s="116">
        <v>113.72932119999999</v>
      </c>
      <c r="I121" s="116">
        <v>8.6584524535212726</v>
      </c>
      <c r="J121" s="116">
        <v>16.648</v>
      </c>
      <c r="K121" s="116">
        <v>2953.1726737362469</v>
      </c>
      <c r="L121" s="116">
        <v>2.9437080039999999</v>
      </c>
      <c r="M121" s="116">
        <v>2956.1163817402471</v>
      </c>
      <c r="N121" s="116">
        <v>929.98178115812777</v>
      </c>
      <c r="O121" s="116">
        <v>3886.0981629999997</v>
      </c>
      <c r="P121" s="116">
        <v>1001.104070296539</v>
      </c>
      <c r="Q121" s="116">
        <v>-2.7679999999999998</v>
      </c>
      <c r="R121" s="116">
        <v>2882.2260926014005</v>
      </c>
      <c r="S121" s="14">
        <v>2598.3645280000001</v>
      </c>
    </row>
    <row r="122" spans="1:20" x14ac:dyDescent="0.25">
      <c r="A122" s="7"/>
      <c r="B122" s="47">
        <v>2028</v>
      </c>
      <c r="C122" s="116">
        <v>1781.2458089999998</v>
      </c>
      <c r="D122" s="116">
        <v>620.51429299999995</v>
      </c>
      <c r="E122" s="116">
        <v>576.05540241204199</v>
      </c>
      <c r="F122" s="116">
        <v>312.42637350000001</v>
      </c>
      <c r="G122" s="116">
        <v>143.82758586538458</v>
      </c>
      <c r="H122" s="116">
        <v>110.97884309999999</v>
      </c>
      <c r="I122" s="116">
        <v>8.8225998366705802</v>
      </c>
      <c r="J122" s="116">
        <v>16.648</v>
      </c>
      <c r="K122" s="116">
        <v>2994.4635044120419</v>
      </c>
      <c r="L122" s="116">
        <v>4.2508005689999999</v>
      </c>
      <c r="M122" s="116">
        <v>2998.714304981042</v>
      </c>
      <c r="N122" s="116">
        <v>939.17101158601929</v>
      </c>
      <c r="O122" s="116">
        <v>3937.8853159999994</v>
      </c>
      <c r="P122" s="116">
        <v>1005.9257985320852</v>
      </c>
      <c r="Q122" s="116">
        <v>-2.7679999999999998</v>
      </c>
      <c r="R122" s="116">
        <v>2929.1915180363394</v>
      </c>
      <c r="S122" s="14">
        <v>2642.9169029999998</v>
      </c>
      <c r="T122" s="310"/>
    </row>
    <row r="123" spans="1:20" x14ac:dyDescent="0.25">
      <c r="A123" s="7"/>
      <c r="B123" s="47">
        <v>2029</v>
      </c>
      <c r="C123" s="116">
        <v>1816.8915080000002</v>
      </c>
      <c r="D123" s="116">
        <v>628.64723000000004</v>
      </c>
      <c r="E123" s="116">
        <v>583.50523914648261</v>
      </c>
      <c r="F123" s="116">
        <v>316.32274340000004</v>
      </c>
      <c r="G123" s="116">
        <v>149.40337116614148</v>
      </c>
      <c r="H123" s="116">
        <v>108.57626499999998</v>
      </c>
      <c r="I123" s="116">
        <v>9.2028596063431483</v>
      </c>
      <c r="J123" s="116">
        <v>16.648</v>
      </c>
      <c r="K123" s="116">
        <v>3045.6919771464827</v>
      </c>
      <c r="L123" s="116">
        <v>5.6993159399999991</v>
      </c>
      <c r="M123" s="116">
        <v>3051.3912930864826</v>
      </c>
      <c r="N123" s="116">
        <v>948.4935853148279</v>
      </c>
      <c r="O123" s="116">
        <v>3999.8848720000001</v>
      </c>
      <c r="P123" s="116">
        <v>1015.0799889414819</v>
      </c>
      <c r="Q123" s="116">
        <v>-2.7679999999999998</v>
      </c>
      <c r="R123" s="116">
        <v>2982.0368894572066</v>
      </c>
      <c r="S123" s="14">
        <v>2692.6291290000004</v>
      </c>
    </row>
    <row r="124" spans="1:20" x14ac:dyDescent="0.25">
      <c r="A124" s="7"/>
      <c r="B124" s="47">
        <v>2030</v>
      </c>
      <c r="C124" s="116">
        <v>1847.5506809999999</v>
      </c>
      <c r="D124" s="116">
        <v>639.24239100000011</v>
      </c>
      <c r="E124" s="116">
        <v>593.24573583023187</v>
      </c>
      <c r="F124" s="116">
        <v>320.11272889999998</v>
      </c>
      <c r="G124" s="116">
        <v>155.17444516607776</v>
      </c>
      <c r="H124" s="116">
        <v>108.35045689999998</v>
      </c>
      <c r="I124" s="116">
        <v>9.6081049714140967</v>
      </c>
      <c r="J124" s="116">
        <v>16.648</v>
      </c>
      <c r="K124" s="116">
        <v>3096.6868078302318</v>
      </c>
      <c r="L124" s="116">
        <v>5.1583763400000002</v>
      </c>
      <c r="M124" s="116">
        <v>3101.8451841702317</v>
      </c>
      <c r="N124" s="116">
        <v>958.97465155411101</v>
      </c>
      <c r="O124" s="116">
        <v>4060.8198399999997</v>
      </c>
      <c r="P124" s="116">
        <v>1025.5135267102339</v>
      </c>
      <c r="Q124" s="116">
        <v>-2.7679999999999998</v>
      </c>
      <c r="R124" s="116">
        <v>3032.5383090072737</v>
      </c>
      <c r="S124" s="14">
        <v>2740.0483399999998</v>
      </c>
    </row>
    <row r="125" spans="1:20" x14ac:dyDescent="0.25">
      <c r="A125" s="7"/>
      <c r="B125" s="300">
        <v>2031</v>
      </c>
      <c r="C125" s="366">
        <v>1876.260133</v>
      </c>
      <c r="D125" s="366">
        <v>650.725279</v>
      </c>
      <c r="E125" s="366">
        <v>602.49593632436677</v>
      </c>
      <c r="F125" s="366">
        <v>324.32765129999996</v>
      </c>
      <c r="G125" s="366">
        <v>159.730146100914</v>
      </c>
      <c r="H125" s="366">
        <v>108.50605899999999</v>
      </c>
      <c r="I125" s="366">
        <v>9.9320800029761909</v>
      </c>
      <c r="J125" s="366">
        <v>16.648</v>
      </c>
      <c r="K125" s="366">
        <v>3146.1293483243667</v>
      </c>
      <c r="L125" s="366">
        <v>4.9693209899999999</v>
      </c>
      <c r="M125" s="366">
        <v>3151.0986693143668</v>
      </c>
      <c r="N125" s="366">
        <v>969.55013619063345</v>
      </c>
      <c r="O125" s="366">
        <v>4120.6488099999997</v>
      </c>
      <c r="P125" s="366">
        <v>1036.9715088728519</v>
      </c>
      <c r="Q125" s="366">
        <v>-2.7679999999999998</v>
      </c>
      <c r="R125" s="366">
        <v>3080.9092966379962</v>
      </c>
      <c r="S125" s="367">
        <v>2785.3841890000003</v>
      </c>
    </row>
    <row r="126" spans="1:20" x14ac:dyDescent="0.25">
      <c r="A126" s="7"/>
      <c r="B126" s="47" t="s">
        <v>136</v>
      </c>
      <c r="C126" s="116">
        <v>1412.941</v>
      </c>
      <c r="D126" s="116">
        <v>469.09300000000002</v>
      </c>
      <c r="E126" s="116">
        <v>388.30099999999999</v>
      </c>
      <c r="F126" s="116">
        <v>212.94</v>
      </c>
      <c r="G126" s="116">
        <v>99.97</v>
      </c>
      <c r="H126" s="116">
        <v>66.048000000000002</v>
      </c>
      <c r="I126" s="116">
        <v>11.693</v>
      </c>
      <c r="J126" s="116">
        <v>0.123</v>
      </c>
      <c r="K126" s="116">
        <v>2270.4580000000001</v>
      </c>
      <c r="L126" s="116">
        <v>-11.510999999999999</v>
      </c>
      <c r="M126" s="116">
        <v>2258.9470000000001</v>
      </c>
      <c r="N126" s="116">
        <v>651.27200000000005</v>
      </c>
      <c r="O126" s="116">
        <v>2909.4940000000001</v>
      </c>
      <c r="P126" s="116">
        <v>638.26199999999994</v>
      </c>
      <c r="Q126" s="116">
        <v>0</v>
      </c>
      <c r="R126" s="116">
        <v>2269.7689999999998</v>
      </c>
      <c r="S126" s="14">
        <v>1990.3050000000001</v>
      </c>
    </row>
    <row r="127" spans="1:20" x14ac:dyDescent="0.25">
      <c r="A127" s="7"/>
      <c r="B127" s="47" t="s">
        <v>137</v>
      </c>
      <c r="C127" s="116">
        <v>1392.444</v>
      </c>
      <c r="D127" s="116">
        <v>473.82100000000003</v>
      </c>
      <c r="E127" s="116">
        <v>352.06099999999998</v>
      </c>
      <c r="F127" s="116">
        <v>184.905</v>
      </c>
      <c r="G127" s="116">
        <v>83.561999999999998</v>
      </c>
      <c r="H127" s="116">
        <v>71.236999999999995</v>
      </c>
      <c r="I127" s="116">
        <v>13.344999999999999</v>
      </c>
      <c r="J127" s="116">
        <v>0.504</v>
      </c>
      <c r="K127" s="116">
        <v>2218.83</v>
      </c>
      <c r="L127" s="116">
        <v>-23.809000000000001</v>
      </c>
      <c r="M127" s="116">
        <v>2195.0210000000002</v>
      </c>
      <c r="N127" s="116">
        <v>619.22199999999998</v>
      </c>
      <c r="O127" s="116">
        <v>2826.8989999999999</v>
      </c>
      <c r="P127" s="116">
        <v>619.96400000000006</v>
      </c>
      <c r="Q127" s="116">
        <v>0</v>
      </c>
      <c r="R127" s="116">
        <v>2205.7730000000001</v>
      </c>
      <c r="S127" s="14">
        <v>1935.85</v>
      </c>
    </row>
    <row r="128" spans="1:20" x14ac:dyDescent="0.25">
      <c r="A128" s="7"/>
      <c r="B128" s="47" t="s">
        <v>138</v>
      </c>
      <c r="C128" s="116">
        <v>1432.915</v>
      </c>
      <c r="D128" s="116">
        <v>474.904</v>
      </c>
      <c r="E128" s="116">
        <v>360.56700000000001</v>
      </c>
      <c r="F128" s="116">
        <v>190.97900000000001</v>
      </c>
      <c r="G128" s="116">
        <v>86.298000000000002</v>
      </c>
      <c r="H128" s="116">
        <v>71.25</v>
      </c>
      <c r="I128" s="116">
        <v>13.206</v>
      </c>
      <c r="J128" s="116">
        <v>-2.8130000000000002</v>
      </c>
      <c r="K128" s="116">
        <v>2265.5729999999999</v>
      </c>
      <c r="L128" s="116">
        <v>-4.6859999999999999</v>
      </c>
      <c r="M128" s="116">
        <v>2260.8870000000002</v>
      </c>
      <c r="N128" s="116">
        <v>669.16</v>
      </c>
      <c r="O128" s="116">
        <v>2933.663</v>
      </c>
      <c r="P128" s="116">
        <v>671.346</v>
      </c>
      <c r="Q128" s="116">
        <v>0</v>
      </c>
      <c r="R128" s="116">
        <v>2260.83</v>
      </c>
      <c r="S128" s="14">
        <v>1992.087</v>
      </c>
    </row>
    <row r="129" spans="2:19" x14ac:dyDescent="0.25">
      <c r="B129" s="47" t="s">
        <v>139</v>
      </c>
      <c r="C129" s="116">
        <v>1417.864</v>
      </c>
      <c r="D129" s="116">
        <v>474.358</v>
      </c>
      <c r="E129" s="116">
        <v>364.452</v>
      </c>
      <c r="F129" s="116">
        <v>206.14099999999999</v>
      </c>
      <c r="G129" s="116">
        <v>81.575999999999993</v>
      </c>
      <c r="H129" s="116">
        <v>64.596999999999994</v>
      </c>
      <c r="I129" s="116">
        <v>11.977</v>
      </c>
      <c r="J129" s="116">
        <v>-0.13</v>
      </c>
      <c r="K129" s="116">
        <v>2256.5439999999999</v>
      </c>
      <c r="L129" s="116">
        <v>-5.0380000000000003</v>
      </c>
      <c r="M129" s="116">
        <v>2251.5059999999999</v>
      </c>
      <c r="N129" s="116">
        <v>701.65</v>
      </c>
      <c r="O129" s="116">
        <v>2964.8939999999998</v>
      </c>
      <c r="P129" s="116">
        <v>687.36699999999996</v>
      </c>
      <c r="Q129" s="116">
        <v>0</v>
      </c>
      <c r="R129" s="116">
        <v>2275.6590000000001</v>
      </c>
      <c r="S129" s="14">
        <v>2016.7940000000001</v>
      </c>
    </row>
    <row r="130" spans="2:19" x14ac:dyDescent="0.25">
      <c r="B130" s="152" t="s">
        <v>140</v>
      </c>
      <c r="C130" s="116">
        <v>1456.88</v>
      </c>
      <c r="D130" s="116">
        <v>476.464</v>
      </c>
      <c r="E130" s="116">
        <v>367.58199999999999</v>
      </c>
      <c r="F130" s="116">
        <v>211.68</v>
      </c>
      <c r="G130" s="116">
        <v>84.167000000000002</v>
      </c>
      <c r="H130" s="116">
        <v>59.997</v>
      </c>
      <c r="I130" s="116">
        <v>11.248000000000001</v>
      </c>
      <c r="J130" s="116">
        <v>1.278</v>
      </c>
      <c r="K130" s="116">
        <v>2302.2040000000002</v>
      </c>
      <c r="L130" s="116">
        <v>9.3439999999999994</v>
      </c>
      <c r="M130" s="116">
        <v>2311.5479999999998</v>
      </c>
      <c r="N130" s="116">
        <v>694.34199999999998</v>
      </c>
      <c r="O130" s="116">
        <v>3008.674</v>
      </c>
      <c r="P130" s="116">
        <v>696.59900000000005</v>
      </c>
      <c r="Q130" s="116">
        <v>0</v>
      </c>
      <c r="R130" s="116">
        <v>2310.127</v>
      </c>
      <c r="S130" s="14">
        <v>2056.462</v>
      </c>
    </row>
    <row r="131" spans="2:19" x14ac:dyDescent="0.25">
      <c r="B131" s="152" t="s">
        <v>141</v>
      </c>
      <c r="C131" s="116">
        <v>1485.9690000000001</v>
      </c>
      <c r="D131" s="116">
        <v>482.447</v>
      </c>
      <c r="E131" s="116">
        <v>391.59500000000003</v>
      </c>
      <c r="F131" s="116">
        <v>224.303</v>
      </c>
      <c r="G131" s="116">
        <v>95.087000000000003</v>
      </c>
      <c r="H131" s="116">
        <v>60.709000000000003</v>
      </c>
      <c r="I131" s="116">
        <v>10.786999999999999</v>
      </c>
      <c r="J131" s="116">
        <v>6.8479999999999999</v>
      </c>
      <c r="K131" s="116">
        <v>2366.8589999999999</v>
      </c>
      <c r="L131" s="116">
        <v>1.4770000000000001</v>
      </c>
      <c r="M131" s="116">
        <v>2368.3359999999998</v>
      </c>
      <c r="N131" s="116">
        <v>702.86400000000003</v>
      </c>
      <c r="O131" s="116">
        <v>3091.3319999999999</v>
      </c>
      <c r="P131" s="116">
        <v>728.399</v>
      </c>
      <c r="Q131" s="116">
        <v>0</v>
      </c>
      <c r="R131" s="116">
        <v>2360.3310000000001</v>
      </c>
      <c r="S131" s="14">
        <v>2102.7840000000001</v>
      </c>
    </row>
    <row r="132" spans="2:19" x14ac:dyDescent="0.25">
      <c r="B132" s="152" t="s">
        <v>142</v>
      </c>
      <c r="C132" s="116">
        <v>1532.817</v>
      </c>
      <c r="D132" s="116">
        <v>490.51900000000001</v>
      </c>
      <c r="E132" s="116">
        <v>420.53699999999998</v>
      </c>
      <c r="F132" s="116">
        <v>242.94800000000001</v>
      </c>
      <c r="G132" s="116">
        <v>97.725999999999999</v>
      </c>
      <c r="H132" s="116">
        <v>66.022999999999996</v>
      </c>
      <c r="I132" s="116">
        <v>13.09</v>
      </c>
      <c r="J132" s="116">
        <v>6.3849999999999998</v>
      </c>
      <c r="K132" s="116">
        <v>2450.2579999999998</v>
      </c>
      <c r="L132" s="116">
        <v>25.945</v>
      </c>
      <c r="M132" s="116">
        <v>2476.203</v>
      </c>
      <c r="N132" s="116">
        <v>717.58199999999999</v>
      </c>
      <c r="O132" s="116">
        <v>3207.7379999999998</v>
      </c>
      <c r="P132" s="116">
        <v>771.18399999999997</v>
      </c>
      <c r="Q132" s="116">
        <v>0</v>
      </c>
      <c r="R132" s="116">
        <v>2433.819</v>
      </c>
      <c r="S132" s="14">
        <v>2170.395</v>
      </c>
    </row>
    <row r="133" spans="2:19" x14ac:dyDescent="0.25">
      <c r="B133" s="152" t="s">
        <v>143</v>
      </c>
      <c r="C133" s="116">
        <v>1577.1020000000001</v>
      </c>
      <c r="D133" s="116">
        <v>497.553</v>
      </c>
      <c r="E133" s="116">
        <v>442.76100000000002</v>
      </c>
      <c r="F133" s="116">
        <v>261.55900000000003</v>
      </c>
      <c r="G133" s="116">
        <v>105.417</v>
      </c>
      <c r="H133" s="116">
        <v>63.152999999999999</v>
      </c>
      <c r="I133" s="116">
        <v>11.724</v>
      </c>
      <c r="J133" s="116">
        <v>-2.8740000000000001</v>
      </c>
      <c r="K133" s="116">
        <v>2514.5419999999999</v>
      </c>
      <c r="L133" s="116">
        <v>-1.845</v>
      </c>
      <c r="M133" s="116">
        <v>2512.6970000000001</v>
      </c>
      <c r="N133" s="116">
        <v>745.13099999999997</v>
      </c>
      <c r="O133" s="116">
        <v>3280.4969999999998</v>
      </c>
      <c r="P133" s="116">
        <v>797.21600000000001</v>
      </c>
      <c r="Q133" s="116">
        <v>0</v>
      </c>
      <c r="R133" s="116">
        <v>2481.2049999999999</v>
      </c>
      <c r="S133" s="14">
        <v>2204.23</v>
      </c>
    </row>
    <row r="134" spans="2:19" x14ac:dyDescent="0.25">
      <c r="B134" s="152" t="s">
        <v>144</v>
      </c>
      <c r="C134" s="116">
        <v>1630.1990000000001</v>
      </c>
      <c r="D134" s="116">
        <v>500.04899999999998</v>
      </c>
      <c r="E134" s="116">
        <v>471.32600000000002</v>
      </c>
      <c r="F134" s="116">
        <v>276.50400000000002</v>
      </c>
      <c r="G134" s="116">
        <v>114.953</v>
      </c>
      <c r="H134" s="116">
        <v>66.581999999999994</v>
      </c>
      <c r="I134" s="116">
        <v>12.315000000000001</v>
      </c>
      <c r="J134" s="116">
        <v>-1.7969999999999999</v>
      </c>
      <c r="K134" s="116">
        <v>2599.777</v>
      </c>
      <c r="L134" s="116">
        <v>-12.356</v>
      </c>
      <c r="M134" s="116">
        <v>2587.4209999999998</v>
      </c>
      <c r="N134" s="116">
        <v>776.56700000000001</v>
      </c>
      <c r="O134" s="116">
        <v>3375.12</v>
      </c>
      <c r="P134" s="116">
        <v>832.92600000000004</v>
      </c>
      <c r="Q134" s="116">
        <v>0</v>
      </c>
      <c r="R134" s="116">
        <v>2541.029</v>
      </c>
      <c r="S134" s="14">
        <v>2261.2860000000001</v>
      </c>
    </row>
    <row r="135" spans="2:19" x14ac:dyDescent="0.25">
      <c r="B135" s="152" t="s">
        <v>145</v>
      </c>
      <c r="C135" s="116">
        <v>1661.473</v>
      </c>
      <c r="D135" s="116">
        <v>505.834</v>
      </c>
      <c r="E135" s="116">
        <v>488.82299999999998</v>
      </c>
      <c r="F135" s="116">
        <v>280.54599999999999</v>
      </c>
      <c r="G135" s="116">
        <v>123.854</v>
      </c>
      <c r="H135" s="116">
        <v>73.337000000000003</v>
      </c>
      <c r="I135" s="116">
        <v>10.667</v>
      </c>
      <c r="J135" s="116">
        <v>0.26200000000000001</v>
      </c>
      <c r="K135" s="116">
        <v>2656.3919999999998</v>
      </c>
      <c r="L135" s="116">
        <v>-6.7430000000000003</v>
      </c>
      <c r="M135" s="116">
        <v>2649.6489999999999</v>
      </c>
      <c r="N135" s="116">
        <v>825.66800000000001</v>
      </c>
      <c r="O135" s="116">
        <v>3476.53</v>
      </c>
      <c r="P135" s="116">
        <v>860.20399999999995</v>
      </c>
      <c r="Q135" s="116">
        <v>0</v>
      </c>
      <c r="R135" s="116">
        <v>2615.239</v>
      </c>
      <c r="S135" s="14">
        <v>2328.357</v>
      </c>
    </row>
    <row r="136" spans="2:19" x14ac:dyDescent="0.25">
      <c r="B136" s="152" t="s">
        <v>146</v>
      </c>
      <c r="C136" s="116">
        <v>1694.8320000000001</v>
      </c>
      <c r="D136" s="116">
        <v>510.19400000000002</v>
      </c>
      <c r="E136" s="116">
        <v>484.947</v>
      </c>
      <c r="F136" s="116">
        <v>274.92899999999997</v>
      </c>
      <c r="G136" s="116">
        <v>132.07300000000001</v>
      </c>
      <c r="H136" s="116">
        <v>71.534999999999997</v>
      </c>
      <c r="I136" s="116">
        <v>6.1691511999999999</v>
      </c>
      <c r="J136" s="116">
        <v>13.868</v>
      </c>
      <c r="K136" s="116">
        <v>2703.8409999999999</v>
      </c>
      <c r="L136" s="116">
        <v>10.005000000000001</v>
      </c>
      <c r="M136" s="116">
        <v>2713.846</v>
      </c>
      <c r="N136" s="116">
        <v>847.95799999999997</v>
      </c>
      <c r="O136" s="116">
        <v>3561.413</v>
      </c>
      <c r="P136" s="116">
        <v>912.71799999999996</v>
      </c>
      <c r="Q136" s="116">
        <v>0</v>
      </c>
      <c r="R136" s="116">
        <v>2648.01</v>
      </c>
      <c r="S136" s="14">
        <v>2355.8389999999999</v>
      </c>
    </row>
    <row r="137" spans="2:19" x14ac:dyDescent="0.25">
      <c r="B137" s="152" t="s">
        <v>147</v>
      </c>
      <c r="C137" s="116">
        <v>1693.402</v>
      </c>
      <c r="D137" s="116">
        <v>523.33600000000001</v>
      </c>
      <c r="E137" s="116">
        <v>484.93299999999999</v>
      </c>
      <c r="F137" s="116">
        <v>278.85199999999998</v>
      </c>
      <c r="G137" s="116">
        <v>129.036</v>
      </c>
      <c r="H137" s="116">
        <v>70.715999999999994</v>
      </c>
      <c r="I137" s="116">
        <v>6.0650272100000002</v>
      </c>
      <c r="J137" s="116">
        <v>-10.111000000000001</v>
      </c>
      <c r="K137" s="116">
        <v>2691.56</v>
      </c>
      <c r="L137" s="116">
        <v>-13.14</v>
      </c>
      <c r="M137" s="116">
        <v>2678.42</v>
      </c>
      <c r="N137" s="116">
        <v>858.75199999999995</v>
      </c>
      <c r="O137" s="116">
        <v>3536.5219999999999</v>
      </c>
      <c r="P137" s="116">
        <v>874.99900000000002</v>
      </c>
      <c r="Q137" s="116">
        <v>0</v>
      </c>
      <c r="R137" s="116">
        <v>2660.1889999999999</v>
      </c>
      <c r="S137" s="14">
        <v>2371.79</v>
      </c>
    </row>
    <row r="138" spans="2:19" x14ac:dyDescent="0.25">
      <c r="B138" s="152" t="s">
        <v>148</v>
      </c>
      <c r="C138" s="116">
        <v>1433.5509999999999</v>
      </c>
      <c r="D138" s="116">
        <v>492.98200000000003</v>
      </c>
      <c r="E138" s="116">
        <v>441.89400000000001</v>
      </c>
      <c r="F138" s="116">
        <v>251.05500000000001</v>
      </c>
      <c r="G138" s="116">
        <v>107.31399999999999</v>
      </c>
      <c r="H138" s="116">
        <v>78.006</v>
      </c>
      <c r="I138" s="116">
        <v>5.3097867920000015</v>
      </c>
      <c r="J138" s="116">
        <v>8.98</v>
      </c>
      <c r="K138" s="116">
        <v>2377.4070000000002</v>
      </c>
      <c r="L138" s="116">
        <v>7.4530000000000003</v>
      </c>
      <c r="M138" s="116">
        <v>2384.86</v>
      </c>
      <c r="N138" s="116">
        <v>738.11400000000003</v>
      </c>
      <c r="O138" s="116">
        <v>3124.9059999999999</v>
      </c>
      <c r="P138" s="116">
        <v>757.81500000000005</v>
      </c>
      <c r="Q138" s="116">
        <v>0</v>
      </c>
      <c r="R138" s="116">
        <v>2365.3229999999999</v>
      </c>
      <c r="S138" s="14">
        <v>2118.2620000000002</v>
      </c>
    </row>
    <row r="139" spans="2:19" x14ac:dyDescent="0.25">
      <c r="B139" s="152" t="s">
        <v>149</v>
      </c>
      <c r="C139" s="116">
        <v>1654.914</v>
      </c>
      <c r="D139" s="116">
        <v>566.32399999999996</v>
      </c>
      <c r="E139" s="116">
        <v>498.93700000000001</v>
      </c>
      <c r="F139" s="116">
        <v>275.63200000000001</v>
      </c>
      <c r="G139" s="116">
        <v>132.161</v>
      </c>
      <c r="H139" s="116">
        <v>84.278000000000006</v>
      </c>
      <c r="I139" s="116">
        <v>7.0743299300000002</v>
      </c>
      <c r="J139" s="116">
        <v>9.2200000000000006</v>
      </c>
      <c r="K139" s="116">
        <v>2729.395</v>
      </c>
      <c r="L139" s="116">
        <v>-0.79</v>
      </c>
      <c r="M139" s="116">
        <v>2728.605</v>
      </c>
      <c r="N139" s="116">
        <v>794.19100000000003</v>
      </c>
      <c r="O139" s="116">
        <v>3530.1410000000001</v>
      </c>
      <c r="P139" s="116">
        <v>846.94399999999996</v>
      </c>
      <c r="Q139" s="116">
        <v>0</v>
      </c>
      <c r="R139" s="116">
        <v>2680.1480000000001</v>
      </c>
      <c r="S139" s="14">
        <v>2401.2449999999999</v>
      </c>
    </row>
    <row r="140" spans="2:19" x14ac:dyDescent="0.25">
      <c r="B140" s="152" t="s">
        <v>150</v>
      </c>
      <c r="C140" s="116">
        <v>1723.885</v>
      </c>
      <c r="D140" s="116">
        <v>552.85699999999997</v>
      </c>
      <c r="E140" s="116">
        <v>519.85299999999995</v>
      </c>
      <c r="F140" s="116">
        <v>286.03100000000001</v>
      </c>
      <c r="G140" s="116">
        <v>140.72200000000001</v>
      </c>
      <c r="H140" s="116">
        <v>85.563000000000002</v>
      </c>
      <c r="I140" s="116">
        <v>7.1813096500000002</v>
      </c>
      <c r="J140" s="116">
        <v>-34.878</v>
      </c>
      <c r="K140" s="116">
        <v>2761.7170000000001</v>
      </c>
      <c r="L140" s="116">
        <v>-6.6050000000000004</v>
      </c>
      <c r="M140" s="116">
        <v>2755.1120000000001</v>
      </c>
      <c r="N140" s="116">
        <v>925.274</v>
      </c>
      <c r="O140" s="116">
        <v>3672.0039999999999</v>
      </c>
      <c r="P140" s="116">
        <v>920.08100000000002</v>
      </c>
      <c r="Q140" s="116">
        <v>0</v>
      </c>
      <c r="R140" s="116">
        <v>2751.3870000000002</v>
      </c>
      <c r="S140" s="14">
        <v>2459.7910000000002</v>
      </c>
    </row>
    <row r="141" spans="2:19" x14ac:dyDescent="0.25">
      <c r="B141" s="152" t="s">
        <v>151</v>
      </c>
      <c r="C141" s="116">
        <v>1703.644</v>
      </c>
      <c r="D141" s="116">
        <v>573.13800000000003</v>
      </c>
      <c r="E141" s="116">
        <v>519.29100000000005</v>
      </c>
      <c r="F141" s="116">
        <v>290.38499999999999</v>
      </c>
      <c r="G141" s="116">
        <v>131.85300000000001</v>
      </c>
      <c r="H141" s="116">
        <v>88.801000000000002</v>
      </c>
      <c r="I141" s="116">
        <v>7.0497489700000004</v>
      </c>
      <c r="J141" s="116">
        <v>-9.6140000000000008</v>
      </c>
      <c r="K141" s="116">
        <v>2786.4589999999998</v>
      </c>
      <c r="L141" s="116">
        <v>4.3639999999999999</v>
      </c>
      <c r="M141" s="116">
        <v>2790.8229999999999</v>
      </c>
      <c r="N141" s="116">
        <v>871.04200000000003</v>
      </c>
      <c r="O141" s="116">
        <v>3662.3939999999998</v>
      </c>
      <c r="P141" s="116">
        <v>908.17600000000004</v>
      </c>
      <c r="Q141" s="116">
        <v>-0.64</v>
      </c>
      <c r="R141" s="116">
        <v>2753.578</v>
      </c>
      <c r="S141" s="14">
        <v>2473.8240000000001</v>
      </c>
    </row>
    <row r="142" spans="2:19" x14ac:dyDescent="0.25">
      <c r="B142" s="152" t="s">
        <v>152</v>
      </c>
      <c r="C142" s="116">
        <v>1710.3019999999999</v>
      </c>
      <c r="D142" s="116">
        <v>586.89</v>
      </c>
      <c r="E142" s="116">
        <v>534.66800000000001</v>
      </c>
      <c r="F142" s="116">
        <v>303.548</v>
      </c>
      <c r="G142" s="116">
        <v>130.62200000000001</v>
      </c>
      <c r="H142" s="116">
        <v>92.034999999999997</v>
      </c>
      <c r="I142" s="116">
        <v>7.0776015699999997</v>
      </c>
      <c r="J142" s="116">
        <v>12.456</v>
      </c>
      <c r="K142" s="116">
        <v>2844.3159999999998</v>
      </c>
      <c r="L142" s="116">
        <v>8.4329999999999998</v>
      </c>
      <c r="M142" s="116">
        <v>2852.7489999999998</v>
      </c>
      <c r="N142" s="116">
        <v>897.78700000000003</v>
      </c>
      <c r="O142" s="116">
        <v>3750.5360000000001</v>
      </c>
      <c r="P142" s="116">
        <v>951.827</v>
      </c>
      <c r="Q142" s="116">
        <v>-5.298</v>
      </c>
      <c r="R142" s="116">
        <v>2793.4110000000001</v>
      </c>
      <c r="S142" s="14">
        <v>2513.7959999999998</v>
      </c>
    </row>
    <row r="143" spans="2:19" x14ac:dyDescent="0.25">
      <c r="B143" s="152" t="s">
        <v>153</v>
      </c>
      <c r="C143" s="116">
        <v>1728.0830000000001</v>
      </c>
      <c r="D143" s="116">
        <v>597.64499999999998</v>
      </c>
      <c r="E143" s="116">
        <v>552.90899999999999</v>
      </c>
      <c r="F143" s="116">
        <v>310.08300000000003</v>
      </c>
      <c r="G143" s="116">
        <v>136.53399999999999</v>
      </c>
      <c r="H143" s="116">
        <v>98.293999999999997</v>
      </c>
      <c r="I143" s="116">
        <v>7.5547619499999996</v>
      </c>
      <c r="J143" s="116">
        <v>15.843</v>
      </c>
      <c r="K143" s="116">
        <v>2894.48</v>
      </c>
      <c r="L143" s="116">
        <v>4.0270000000000001</v>
      </c>
      <c r="M143" s="116">
        <v>2898.5070000000001</v>
      </c>
      <c r="N143" s="116">
        <v>907.79600000000005</v>
      </c>
      <c r="O143" s="116">
        <v>3806.3029999999999</v>
      </c>
      <c r="P143" s="116">
        <v>979.72400000000005</v>
      </c>
      <c r="Q143" s="116">
        <v>-2.7450000000000001</v>
      </c>
      <c r="R143" s="116">
        <v>2823.8339999999998</v>
      </c>
      <c r="S143" s="14">
        <v>2542.0590000000002</v>
      </c>
    </row>
    <row r="144" spans="2:19" x14ac:dyDescent="0.25">
      <c r="B144" s="152" t="s">
        <v>154</v>
      </c>
      <c r="C144" s="116">
        <v>1742.911883</v>
      </c>
      <c r="D144" s="116">
        <v>608.82586100000003</v>
      </c>
      <c r="E144" s="116">
        <v>571.10772716116253</v>
      </c>
      <c r="F144" s="116">
        <v>311.43368510000005</v>
      </c>
      <c r="G144" s="116">
        <v>138.16257288314034</v>
      </c>
      <c r="H144" s="116">
        <v>113.0121357</v>
      </c>
      <c r="I144" s="116">
        <v>8.4993334751883562</v>
      </c>
      <c r="J144" s="116">
        <v>17.504000000000001</v>
      </c>
      <c r="K144" s="116">
        <v>2940.3494711611625</v>
      </c>
      <c r="L144" s="116">
        <v>5.5164542499999998</v>
      </c>
      <c r="M144" s="116">
        <v>2945.8659254111626</v>
      </c>
      <c r="N144" s="116">
        <v>919.60531736784617</v>
      </c>
      <c r="O144" s="116">
        <v>3865.4712420000001</v>
      </c>
      <c r="P144" s="116">
        <v>1002.4020771174929</v>
      </c>
      <c r="Q144" s="116">
        <v>-2.7679999999999998</v>
      </c>
      <c r="R144" s="116">
        <v>2860.301165660966</v>
      </c>
      <c r="S144" s="14">
        <v>2576.9002070000006</v>
      </c>
    </row>
    <row r="145" spans="2:19" x14ac:dyDescent="0.25">
      <c r="B145" s="152" t="s">
        <v>155</v>
      </c>
      <c r="C145" s="116">
        <v>1756.9400859999998</v>
      </c>
      <c r="D145" s="116">
        <v>613.65647199999989</v>
      </c>
      <c r="E145" s="116">
        <v>572.5187053053703</v>
      </c>
      <c r="F145" s="116">
        <v>309.68505460000006</v>
      </c>
      <c r="G145" s="116">
        <v>141.46504874681892</v>
      </c>
      <c r="H145" s="116">
        <v>112.67843939999999</v>
      </c>
      <c r="I145" s="116">
        <v>8.6901625560341511</v>
      </c>
      <c r="J145" s="116">
        <v>16.648</v>
      </c>
      <c r="K145" s="116">
        <v>2959.7632633053699</v>
      </c>
      <c r="L145" s="116">
        <v>3.0436997330000004</v>
      </c>
      <c r="M145" s="116">
        <v>2962.8069630383698</v>
      </c>
      <c r="N145" s="116">
        <v>933.10584057187509</v>
      </c>
      <c r="O145" s="116">
        <v>3895.9128040000001</v>
      </c>
      <c r="P145" s="116">
        <v>1001.0593988571617</v>
      </c>
      <c r="Q145" s="116">
        <v>-2.7679999999999998</v>
      </c>
      <c r="R145" s="116">
        <v>2892.0854047526973</v>
      </c>
      <c r="S145" s="14">
        <v>2607.8110610000003</v>
      </c>
    </row>
    <row r="146" spans="2:19" x14ac:dyDescent="0.25">
      <c r="B146" s="152" t="s">
        <v>156</v>
      </c>
      <c r="C146" s="116">
        <v>1790.2543989999999</v>
      </c>
      <c r="D146" s="116">
        <v>622.95133699999997</v>
      </c>
      <c r="E146" s="116">
        <v>577.7962015513591</v>
      </c>
      <c r="F146" s="116">
        <v>313.51649080000004</v>
      </c>
      <c r="G146" s="116">
        <v>144.95414167186735</v>
      </c>
      <c r="H146" s="116">
        <v>110.4302754</v>
      </c>
      <c r="I146" s="116">
        <v>8.8952936344901463</v>
      </c>
      <c r="J146" s="116">
        <v>16.648</v>
      </c>
      <c r="K146" s="116">
        <v>3007.649937551359</v>
      </c>
      <c r="L146" s="116">
        <v>4.8801429900000004</v>
      </c>
      <c r="M146" s="116">
        <v>3012.5300805413594</v>
      </c>
      <c r="N146" s="116">
        <v>940.96313369502832</v>
      </c>
      <c r="O146" s="116">
        <v>3953.4932130000002</v>
      </c>
      <c r="P146" s="116">
        <v>1008.2190176058486</v>
      </c>
      <c r="Q146" s="116">
        <v>-2.7679999999999998</v>
      </c>
      <c r="R146" s="116">
        <v>2942.5061966302592</v>
      </c>
      <c r="S146" s="14">
        <v>2655.4551080000001</v>
      </c>
    </row>
    <row r="147" spans="2:19" x14ac:dyDescent="0.25">
      <c r="B147" s="152" t="s">
        <v>157</v>
      </c>
      <c r="C147" s="116">
        <v>1825.1168500000001</v>
      </c>
      <c r="D147" s="116">
        <v>630.69741099999999</v>
      </c>
      <c r="E147" s="116">
        <v>585.69716672173399</v>
      </c>
      <c r="F147" s="116">
        <v>317.20275770000006</v>
      </c>
      <c r="G147" s="116">
        <v>150.98155928364878</v>
      </c>
      <c r="H147" s="116">
        <v>108.19872690000001</v>
      </c>
      <c r="I147" s="116">
        <v>9.3141228505980482</v>
      </c>
      <c r="J147" s="116">
        <v>16.648</v>
      </c>
      <c r="K147" s="116">
        <v>3058.1594277217341</v>
      </c>
      <c r="L147" s="116">
        <v>5.6801149799999999</v>
      </c>
      <c r="M147" s="116">
        <v>3063.8395427017344</v>
      </c>
      <c r="N147" s="116">
        <v>951.33592840156814</v>
      </c>
      <c r="O147" s="116">
        <v>4015.1754640000004</v>
      </c>
      <c r="P147" s="116">
        <v>1017.4966197512293</v>
      </c>
      <c r="Q147" s="116">
        <v>-2.7679999999999998</v>
      </c>
      <c r="R147" s="116">
        <v>2994.9108513532969</v>
      </c>
      <c r="S147" s="14">
        <v>2704.7244780000001</v>
      </c>
    </row>
    <row r="148" spans="2:19" x14ac:dyDescent="0.25">
      <c r="B148" s="152" t="s">
        <v>158</v>
      </c>
      <c r="C148" s="116">
        <v>1854.7329149999998</v>
      </c>
      <c r="D148" s="116">
        <v>642.42244800000014</v>
      </c>
      <c r="E148" s="116">
        <v>595.82060334398739</v>
      </c>
      <c r="F148" s="116">
        <v>321.16142229999997</v>
      </c>
      <c r="G148" s="116">
        <v>156.41480463017504</v>
      </c>
      <c r="H148" s="116">
        <v>108.54915300000002</v>
      </c>
      <c r="I148" s="116">
        <v>9.6952235012151267</v>
      </c>
      <c r="J148" s="116">
        <v>16.648</v>
      </c>
      <c r="K148" s="116">
        <v>3109.6239663439874</v>
      </c>
      <c r="L148" s="116">
        <v>4.9026848300000001</v>
      </c>
      <c r="M148" s="116">
        <v>3114.5266511739874</v>
      </c>
      <c r="N148" s="116">
        <v>961.39473174036482</v>
      </c>
      <c r="O148" s="116">
        <v>4075.9213899999995</v>
      </c>
      <c r="P148" s="116">
        <v>1028.3404465715307</v>
      </c>
      <c r="Q148" s="116">
        <v>-2.7679999999999998</v>
      </c>
      <c r="R148" s="116">
        <v>3044.8129363375019</v>
      </c>
      <c r="S148" s="14">
        <v>2751.5608259999999</v>
      </c>
    </row>
    <row r="149" spans="2:19" ht="16.5" thickBot="1" x14ac:dyDescent="0.3">
      <c r="B149" s="212" t="s">
        <v>649</v>
      </c>
      <c r="C149" s="116">
        <v>1883.491254</v>
      </c>
      <c r="D149" s="116">
        <v>653.00482700000009</v>
      </c>
      <c r="E149" s="116">
        <v>604.3627743518216</v>
      </c>
      <c r="F149" s="116">
        <v>325.38335739999997</v>
      </c>
      <c r="G149" s="116">
        <v>160.69761841470631</v>
      </c>
      <c r="H149" s="116">
        <v>108.2782799</v>
      </c>
      <c r="I149" s="116">
        <v>10.00351865679364</v>
      </c>
      <c r="J149" s="116">
        <v>16.648</v>
      </c>
      <c r="K149" s="116">
        <v>3157.5068553518222</v>
      </c>
      <c r="L149" s="116">
        <v>5.2117891200000006</v>
      </c>
      <c r="M149" s="116">
        <v>3162.7186444718218</v>
      </c>
      <c r="N149" s="116">
        <v>972.44081825344415</v>
      </c>
      <c r="O149" s="116">
        <v>4135.1594700000005</v>
      </c>
      <c r="P149" s="116">
        <v>1039.8653970491048</v>
      </c>
      <c r="Q149" s="116">
        <v>-2.7679999999999998</v>
      </c>
      <c r="R149" s="116">
        <v>3092.5260656775263</v>
      </c>
      <c r="S149" s="14">
        <v>2796.264338</v>
      </c>
    </row>
    <row r="150" spans="2:19" x14ac:dyDescent="0.25">
      <c r="B150" s="307" t="s">
        <v>159</v>
      </c>
      <c r="C150" s="308"/>
      <c r="D150" s="308"/>
      <c r="E150" s="308"/>
      <c r="F150" s="308"/>
      <c r="G150" s="308"/>
      <c r="H150" s="308"/>
      <c r="I150" s="308"/>
      <c r="J150" s="308"/>
      <c r="K150" s="308"/>
      <c r="L150" s="308"/>
      <c r="M150" s="308"/>
      <c r="N150" s="308"/>
      <c r="O150" s="308"/>
      <c r="P150" s="308"/>
      <c r="Q150" s="308"/>
      <c r="R150" s="308"/>
      <c r="S150" s="309"/>
    </row>
    <row r="151" spans="2:19" x14ac:dyDescent="0.25">
      <c r="B151" s="279" t="s">
        <v>160</v>
      </c>
      <c r="C151" s="281"/>
      <c r="D151" s="281"/>
      <c r="E151" s="281"/>
      <c r="F151" s="281"/>
      <c r="G151" s="281"/>
      <c r="H151" s="281"/>
      <c r="I151" s="281"/>
      <c r="J151" s="281"/>
      <c r="K151" s="281"/>
      <c r="L151" s="281"/>
      <c r="M151" s="281"/>
      <c r="N151" s="281"/>
      <c r="O151" s="281"/>
      <c r="P151" s="281"/>
      <c r="Q151" s="281"/>
      <c r="R151" s="281"/>
      <c r="S151" s="282"/>
    </row>
    <row r="152" spans="2:19" x14ac:dyDescent="0.25">
      <c r="B152" s="279" t="s">
        <v>161</v>
      </c>
      <c r="C152" s="281"/>
      <c r="D152" s="281"/>
      <c r="E152" s="281"/>
      <c r="F152" s="281"/>
      <c r="G152" s="281"/>
      <c r="H152" s="281"/>
      <c r="I152" s="281"/>
      <c r="J152" s="281"/>
      <c r="K152" s="281"/>
      <c r="L152" s="281"/>
      <c r="M152" s="281"/>
      <c r="N152" s="281"/>
      <c r="O152" s="281"/>
      <c r="P152" s="281"/>
      <c r="Q152" s="281"/>
      <c r="R152" s="281"/>
      <c r="S152" s="282"/>
    </row>
    <row r="153" spans="2:19" x14ac:dyDescent="0.25">
      <c r="B153" s="276" t="s">
        <v>162</v>
      </c>
      <c r="C153" s="277"/>
      <c r="D153" s="277"/>
      <c r="E153" s="277"/>
      <c r="F153" s="277"/>
      <c r="G153" s="277"/>
      <c r="H153" s="277"/>
      <c r="I153" s="277"/>
      <c r="J153" s="277"/>
      <c r="K153" s="277"/>
      <c r="L153" s="277"/>
      <c r="M153" s="277"/>
      <c r="N153" s="277"/>
      <c r="O153" s="277"/>
      <c r="P153" s="277"/>
      <c r="Q153" s="277"/>
      <c r="R153" s="277"/>
      <c r="S153" s="278"/>
    </row>
    <row r="154" spans="2:19" x14ac:dyDescent="0.25">
      <c r="B154" s="276" t="s">
        <v>163</v>
      </c>
      <c r="C154" s="277"/>
      <c r="D154" s="277"/>
      <c r="E154" s="277"/>
      <c r="F154" s="277"/>
      <c r="G154" s="277"/>
      <c r="H154" s="277"/>
      <c r="I154" s="277"/>
      <c r="J154" s="277"/>
      <c r="K154" s="277"/>
      <c r="L154" s="277"/>
      <c r="M154" s="277"/>
      <c r="N154" s="277"/>
      <c r="O154" s="277"/>
      <c r="P154" s="277"/>
      <c r="Q154" s="277"/>
      <c r="R154" s="277"/>
      <c r="S154" s="278"/>
    </row>
    <row r="155" spans="2:19" x14ac:dyDescent="0.25">
      <c r="B155" s="276" t="s">
        <v>164</v>
      </c>
      <c r="C155" s="277"/>
      <c r="D155" s="277"/>
      <c r="E155" s="277"/>
      <c r="F155" s="277"/>
      <c r="G155" s="277"/>
      <c r="H155" s="277"/>
      <c r="I155" s="277"/>
      <c r="J155" s="277"/>
      <c r="K155" s="277"/>
      <c r="L155" s="277"/>
      <c r="M155" s="277"/>
      <c r="N155" s="277"/>
      <c r="O155" s="277"/>
      <c r="P155" s="277"/>
      <c r="Q155" s="277"/>
      <c r="R155" s="277"/>
      <c r="S155" s="278"/>
    </row>
    <row r="156" spans="2:19" x14ac:dyDescent="0.25">
      <c r="B156" s="276" t="s">
        <v>165</v>
      </c>
      <c r="C156" s="277"/>
      <c r="D156" s="277"/>
      <c r="E156" s="277"/>
      <c r="F156" s="277"/>
      <c r="G156" s="277"/>
      <c r="H156" s="277"/>
      <c r="I156" s="277"/>
      <c r="J156" s="277"/>
      <c r="K156" s="277"/>
      <c r="L156" s="277"/>
      <c r="M156" s="277"/>
      <c r="N156" s="277"/>
      <c r="O156" s="277"/>
      <c r="P156" s="277"/>
      <c r="Q156" s="277"/>
      <c r="R156" s="277"/>
      <c r="S156" s="278"/>
    </row>
    <row r="157" spans="2:19" x14ac:dyDescent="0.25">
      <c r="B157" s="276" t="s">
        <v>166</v>
      </c>
      <c r="C157" s="277"/>
      <c r="D157" s="277"/>
      <c r="E157" s="277"/>
      <c r="F157" s="277"/>
      <c r="G157" s="277"/>
      <c r="H157" s="277"/>
      <c r="I157" s="277"/>
      <c r="J157" s="277"/>
      <c r="K157" s="277"/>
      <c r="L157" s="277"/>
      <c r="M157" s="277"/>
      <c r="N157" s="277"/>
      <c r="O157" s="277"/>
      <c r="P157" s="277"/>
      <c r="Q157" s="277"/>
      <c r="R157" s="277"/>
      <c r="S157" s="278"/>
    </row>
    <row r="158" spans="2:19" x14ac:dyDescent="0.25">
      <c r="B158" s="276" t="s">
        <v>167</v>
      </c>
      <c r="C158" s="277"/>
      <c r="D158" s="277"/>
      <c r="E158" s="277"/>
      <c r="F158" s="277"/>
      <c r="G158" s="277"/>
      <c r="H158" s="277"/>
      <c r="I158" s="277"/>
      <c r="J158" s="277"/>
      <c r="K158" s="277"/>
      <c r="L158" s="277"/>
      <c r="M158" s="277"/>
      <c r="N158" s="277"/>
      <c r="O158" s="277"/>
      <c r="P158" s="277"/>
      <c r="Q158" s="277"/>
      <c r="R158" s="277"/>
      <c r="S158" s="278"/>
    </row>
    <row r="159" spans="2:19" x14ac:dyDescent="0.25">
      <c r="B159" s="279" t="s">
        <v>168</v>
      </c>
      <c r="C159" s="281"/>
      <c r="D159" s="281"/>
      <c r="E159" s="281"/>
      <c r="F159" s="281"/>
      <c r="G159" s="281"/>
      <c r="H159" s="281"/>
      <c r="I159" s="281"/>
      <c r="J159" s="281"/>
      <c r="K159" s="281"/>
      <c r="L159" s="281"/>
      <c r="M159" s="281"/>
      <c r="N159" s="281"/>
      <c r="O159" s="281"/>
      <c r="P159" s="281"/>
      <c r="Q159" s="281"/>
      <c r="R159" s="281"/>
      <c r="S159" s="282"/>
    </row>
    <row r="160" spans="2:19" x14ac:dyDescent="0.25">
      <c r="B160" s="276" t="s">
        <v>169</v>
      </c>
      <c r="C160" s="277"/>
      <c r="D160" s="277"/>
      <c r="E160" s="277"/>
      <c r="F160" s="277"/>
      <c r="G160" s="277"/>
      <c r="H160" s="277"/>
      <c r="I160" s="277"/>
      <c r="J160" s="277"/>
      <c r="K160" s="277"/>
      <c r="L160" s="277"/>
      <c r="M160" s="277"/>
      <c r="N160" s="277"/>
      <c r="O160" s="277"/>
      <c r="P160" s="277"/>
      <c r="Q160" s="277"/>
      <c r="R160" s="277"/>
      <c r="S160" s="278"/>
    </row>
    <row r="161" spans="2:19" x14ac:dyDescent="0.25">
      <c r="B161" s="276" t="s">
        <v>170</v>
      </c>
      <c r="C161" s="277"/>
      <c r="D161" s="277"/>
      <c r="E161" s="277"/>
      <c r="F161" s="277"/>
      <c r="G161" s="277"/>
      <c r="H161" s="277"/>
      <c r="I161" s="277"/>
      <c r="J161" s="277"/>
      <c r="K161" s="277"/>
      <c r="L161" s="277"/>
      <c r="M161" s="277"/>
      <c r="N161" s="277"/>
      <c r="O161" s="277"/>
      <c r="P161" s="277"/>
      <c r="Q161" s="277"/>
      <c r="R161" s="277"/>
      <c r="S161" s="278"/>
    </row>
    <row r="162" spans="2:19" x14ac:dyDescent="0.25">
      <c r="B162" s="276" t="s">
        <v>171</v>
      </c>
      <c r="C162" s="277"/>
      <c r="D162" s="277"/>
      <c r="E162" s="277"/>
      <c r="F162" s="277"/>
      <c r="G162" s="277"/>
      <c r="H162" s="277"/>
      <c r="I162" s="277"/>
      <c r="J162" s="277"/>
      <c r="K162" s="277"/>
      <c r="L162" s="277"/>
      <c r="M162" s="277"/>
      <c r="N162" s="277"/>
      <c r="O162" s="277"/>
      <c r="P162" s="277"/>
      <c r="Q162" s="277"/>
      <c r="R162" s="277"/>
      <c r="S162" s="278"/>
    </row>
    <row r="163" spans="2:19" x14ac:dyDescent="0.25">
      <c r="B163" s="276" t="s">
        <v>172</v>
      </c>
      <c r="C163" s="277"/>
      <c r="D163" s="277"/>
      <c r="E163" s="277"/>
      <c r="F163" s="277"/>
      <c r="G163" s="277"/>
      <c r="H163" s="277"/>
      <c r="I163" s="277"/>
      <c r="J163" s="277"/>
      <c r="K163" s="277"/>
      <c r="L163" s="277"/>
      <c r="M163" s="277"/>
      <c r="N163" s="277"/>
      <c r="O163" s="277"/>
      <c r="P163" s="277"/>
      <c r="Q163" s="277"/>
      <c r="R163" s="277"/>
      <c r="S163" s="278"/>
    </row>
    <row r="164" spans="2:19" x14ac:dyDescent="0.25">
      <c r="B164" s="276" t="s">
        <v>173</v>
      </c>
      <c r="C164" s="277"/>
      <c r="D164" s="277"/>
      <c r="E164" s="277"/>
      <c r="F164" s="277"/>
      <c r="G164" s="277"/>
      <c r="H164" s="277"/>
      <c r="I164" s="277"/>
      <c r="J164" s="277"/>
      <c r="K164" s="277"/>
      <c r="L164" s="277"/>
      <c r="M164" s="277"/>
      <c r="N164" s="277"/>
      <c r="O164" s="277"/>
      <c r="P164" s="277"/>
      <c r="Q164" s="277"/>
      <c r="R164" s="277"/>
      <c r="S164" s="278"/>
    </row>
    <row r="165" spans="2:19" x14ac:dyDescent="0.25">
      <c r="B165" s="276" t="s">
        <v>174</v>
      </c>
      <c r="C165" s="277"/>
      <c r="D165" s="277"/>
      <c r="E165" s="277"/>
      <c r="F165" s="277"/>
      <c r="G165" s="277"/>
      <c r="H165" s="277"/>
      <c r="I165" s="277"/>
      <c r="J165" s="277"/>
      <c r="K165" s="277"/>
      <c r="L165" s="277"/>
      <c r="M165" s="277"/>
      <c r="N165" s="277"/>
      <c r="O165" s="277"/>
      <c r="P165" s="277"/>
      <c r="Q165" s="277"/>
      <c r="R165" s="277"/>
      <c r="S165" s="278"/>
    </row>
    <row r="166" spans="2:19" ht="16.5" thickBot="1" x14ac:dyDescent="0.3">
      <c r="B166" s="283" t="s">
        <v>175</v>
      </c>
      <c r="C166" s="284"/>
      <c r="D166" s="284"/>
      <c r="E166" s="284"/>
      <c r="F166" s="284"/>
      <c r="G166" s="284"/>
      <c r="H166" s="284"/>
      <c r="I166" s="284"/>
      <c r="J166" s="284"/>
      <c r="K166" s="284"/>
      <c r="L166" s="284"/>
      <c r="M166" s="284"/>
      <c r="N166" s="284"/>
      <c r="O166" s="284"/>
      <c r="P166" s="284"/>
      <c r="Q166" s="284"/>
      <c r="R166" s="284"/>
      <c r="S166" s="285"/>
    </row>
    <row r="167" spans="2:19" x14ac:dyDescent="0.25">
      <c r="B167" s="130"/>
      <c r="C167" s="129"/>
      <c r="D167" s="129"/>
      <c r="E167" s="129"/>
      <c r="F167" s="129"/>
      <c r="G167" s="129"/>
      <c r="H167" s="129"/>
      <c r="I167" s="129"/>
      <c r="J167" s="129"/>
      <c r="K167" s="129"/>
      <c r="L167" s="129"/>
      <c r="M167" s="129"/>
      <c r="N167" s="129"/>
      <c r="O167" s="129"/>
      <c r="P167" s="129"/>
      <c r="Q167" s="129"/>
      <c r="R167" s="129"/>
      <c r="S167" s="129"/>
    </row>
    <row r="168" spans="2:19" x14ac:dyDescent="0.25">
      <c r="B168" s="130"/>
      <c r="C168" s="129"/>
      <c r="D168" s="129"/>
      <c r="E168" s="129"/>
      <c r="F168" s="129"/>
      <c r="G168" s="129"/>
      <c r="H168" s="129"/>
      <c r="I168" s="129"/>
      <c r="J168" s="129"/>
      <c r="K168" s="129"/>
      <c r="L168" s="129"/>
      <c r="M168" s="129"/>
      <c r="N168" s="129"/>
      <c r="O168" s="129"/>
      <c r="P168" s="129"/>
      <c r="Q168" s="129"/>
      <c r="R168" s="129"/>
      <c r="S168" s="129"/>
    </row>
    <row r="169" spans="2:19" x14ac:dyDescent="0.25">
      <c r="B169" s="130"/>
      <c r="C169" s="129"/>
      <c r="D169" s="129"/>
      <c r="E169" s="129"/>
      <c r="F169" s="129"/>
      <c r="G169" s="129"/>
      <c r="H169" s="129"/>
      <c r="I169" s="129"/>
      <c r="J169" s="129"/>
      <c r="K169" s="129"/>
      <c r="L169" s="129"/>
      <c r="M169" s="129"/>
      <c r="N169" s="129"/>
      <c r="O169" s="129"/>
      <c r="P169" s="129"/>
      <c r="Q169" s="129"/>
      <c r="R169" s="129"/>
      <c r="S169" s="129"/>
    </row>
    <row r="170" spans="2:19" x14ac:dyDescent="0.25">
      <c r="B170" s="130"/>
      <c r="C170" s="129"/>
      <c r="D170" s="129"/>
      <c r="E170" s="129"/>
      <c r="F170" s="129"/>
      <c r="G170" s="129"/>
      <c r="H170" s="129"/>
      <c r="I170" s="129"/>
      <c r="J170" s="129"/>
      <c r="K170" s="129"/>
      <c r="L170" s="129"/>
      <c r="M170" s="129"/>
      <c r="N170" s="129"/>
      <c r="O170" s="129"/>
      <c r="P170" s="129"/>
      <c r="Q170" s="129"/>
      <c r="R170" s="129"/>
      <c r="S170" s="129"/>
    </row>
    <row r="171" spans="2:19" x14ac:dyDescent="0.25">
      <c r="B171" s="130"/>
      <c r="C171" s="129"/>
      <c r="D171" s="129"/>
      <c r="E171" s="129"/>
      <c r="F171" s="129"/>
      <c r="G171" s="129"/>
      <c r="H171" s="129"/>
      <c r="I171" s="129"/>
      <c r="J171" s="129"/>
      <c r="K171" s="129"/>
      <c r="L171" s="129"/>
      <c r="M171" s="129"/>
      <c r="N171" s="129"/>
      <c r="O171" s="129"/>
      <c r="P171" s="129"/>
      <c r="Q171" s="129"/>
      <c r="R171" s="129"/>
      <c r="S171" s="129"/>
    </row>
    <row r="172" spans="2:19" x14ac:dyDescent="0.25">
      <c r="B172" s="130"/>
      <c r="C172" s="129"/>
      <c r="D172" s="129"/>
      <c r="E172" s="129"/>
      <c r="F172" s="129"/>
      <c r="G172" s="129"/>
      <c r="H172" s="129"/>
      <c r="I172" s="129"/>
      <c r="J172" s="129"/>
      <c r="K172" s="129"/>
      <c r="L172" s="129"/>
      <c r="M172" s="129"/>
      <c r="N172" s="129"/>
      <c r="O172" s="129"/>
      <c r="P172" s="129"/>
      <c r="Q172" s="129"/>
      <c r="R172" s="129"/>
      <c r="S172" s="129"/>
    </row>
    <row r="173" spans="2:19" x14ac:dyDescent="0.25">
      <c r="C173" s="129"/>
      <c r="D173" s="129"/>
      <c r="E173" s="129"/>
      <c r="F173" s="129"/>
      <c r="G173" s="129"/>
      <c r="H173" s="129"/>
      <c r="I173" s="129"/>
      <c r="J173" s="129"/>
      <c r="K173" s="129"/>
      <c r="L173" s="129"/>
      <c r="M173" s="129"/>
      <c r="N173" s="129"/>
      <c r="O173" s="129"/>
      <c r="P173" s="129"/>
      <c r="Q173" s="129"/>
      <c r="R173" s="129"/>
      <c r="S173" s="129"/>
    </row>
    <row r="174" spans="2:19" x14ac:dyDescent="0.25">
      <c r="C174" s="129"/>
      <c r="D174" s="129"/>
      <c r="E174" s="129"/>
      <c r="F174" s="129"/>
      <c r="G174" s="129"/>
      <c r="H174" s="129"/>
      <c r="I174" s="129"/>
      <c r="J174" s="129"/>
      <c r="K174" s="129"/>
      <c r="L174" s="129"/>
      <c r="M174" s="129"/>
      <c r="N174" s="129"/>
      <c r="O174" s="129"/>
      <c r="P174" s="129"/>
      <c r="Q174" s="129"/>
      <c r="R174" s="129"/>
      <c r="S174" s="129"/>
    </row>
    <row r="175" spans="2:19" x14ac:dyDescent="0.25">
      <c r="C175" s="129"/>
      <c r="D175" s="129"/>
      <c r="E175" s="129"/>
      <c r="F175" s="129"/>
      <c r="G175" s="129"/>
      <c r="H175" s="129"/>
      <c r="I175" s="129"/>
      <c r="J175" s="129"/>
      <c r="K175" s="129"/>
      <c r="L175" s="129"/>
      <c r="M175" s="129"/>
      <c r="N175" s="129"/>
      <c r="O175" s="129"/>
      <c r="P175" s="129"/>
      <c r="Q175" s="129"/>
      <c r="R175" s="129"/>
      <c r="S175" s="129"/>
    </row>
    <row r="176" spans="2:19" x14ac:dyDescent="0.25">
      <c r="C176" s="129"/>
      <c r="D176" s="129"/>
      <c r="E176" s="129"/>
      <c r="F176" s="129"/>
      <c r="G176" s="129"/>
      <c r="H176" s="129"/>
      <c r="I176" s="129"/>
      <c r="J176" s="129"/>
      <c r="K176" s="129"/>
      <c r="L176" s="129"/>
      <c r="M176" s="129"/>
      <c r="N176" s="129"/>
      <c r="O176" s="129"/>
      <c r="P176" s="129"/>
      <c r="Q176" s="129"/>
      <c r="R176" s="129"/>
      <c r="S176" s="129"/>
    </row>
    <row r="177" spans="3:19" x14ac:dyDescent="0.25">
      <c r="C177" s="129"/>
      <c r="D177" s="129"/>
      <c r="E177" s="129"/>
      <c r="F177" s="129"/>
      <c r="G177" s="129"/>
      <c r="H177" s="129"/>
      <c r="I177" s="129"/>
      <c r="J177" s="129"/>
      <c r="K177" s="129"/>
      <c r="L177" s="129"/>
      <c r="M177" s="129"/>
      <c r="N177" s="129"/>
      <c r="O177" s="129"/>
      <c r="P177" s="129"/>
      <c r="Q177" s="129"/>
      <c r="R177" s="129"/>
      <c r="S177" s="129"/>
    </row>
    <row r="178" spans="3:19" x14ac:dyDescent="0.25">
      <c r="C178" s="129"/>
      <c r="D178" s="129"/>
      <c r="E178" s="129"/>
      <c r="F178" s="129"/>
      <c r="G178" s="129"/>
      <c r="H178" s="129"/>
      <c r="I178" s="129"/>
      <c r="J178" s="129"/>
      <c r="K178" s="129"/>
      <c r="L178" s="129"/>
      <c r="M178" s="129"/>
      <c r="N178" s="129"/>
      <c r="O178" s="129"/>
      <c r="P178" s="129"/>
      <c r="Q178" s="129"/>
      <c r="R178" s="129"/>
      <c r="S178" s="129"/>
    </row>
    <row r="179" spans="3:19" x14ac:dyDescent="0.25">
      <c r="C179" s="129"/>
      <c r="D179" s="129"/>
      <c r="E179" s="129"/>
      <c r="F179" s="129"/>
      <c r="G179" s="129"/>
      <c r="H179" s="129"/>
      <c r="I179" s="129"/>
      <c r="J179" s="129"/>
      <c r="K179" s="129"/>
      <c r="L179" s="129"/>
      <c r="M179" s="129"/>
      <c r="N179" s="129"/>
      <c r="O179" s="129"/>
      <c r="P179" s="129"/>
      <c r="Q179" s="129"/>
      <c r="R179" s="129"/>
      <c r="S179" s="129"/>
    </row>
  </sheetData>
  <mergeCells count="14">
    <mergeCell ref="A50:A54"/>
    <mergeCell ref="B2:S2"/>
    <mergeCell ref="C3:C4"/>
    <mergeCell ref="D3:D4"/>
    <mergeCell ref="J3:J4"/>
    <mergeCell ref="K3:K4"/>
    <mergeCell ref="L3:L4"/>
    <mergeCell ref="M3:M4"/>
    <mergeCell ref="N3:N4"/>
    <mergeCell ref="O3:O4"/>
    <mergeCell ref="P3:P4"/>
    <mergeCell ref="Q3:Q4"/>
    <mergeCell ref="R3:R4"/>
    <mergeCell ref="S3:S4"/>
  </mergeCells>
  <phoneticPr fontId="91" type="noConversion"/>
  <hyperlinks>
    <hyperlink ref="A1" location="Contents!A1" display="Back to contents" xr:uid="{1C8F5F50-CB9A-413C-9BA2-2577FAACAAC7}"/>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D335E-50D0-405C-8262-AD2492508493}">
  <sheetPr codeName="Sheet3">
    <tabColor theme="5"/>
  </sheetPr>
  <dimension ref="A1:V173"/>
  <sheetViews>
    <sheetView zoomScaleNormal="100" zoomScaleSheetLayoutView="100" workbookViewId="0"/>
  </sheetViews>
  <sheetFormatPr defaultColWidth="8.77734375" defaultRowHeight="15.75" x14ac:dyDescent="0.25"/>
  <cols>
    <col min="1" max="1" width="9.21875" style="2" customWidth="1"/>
    <col min="2" max="2" width="7.21875" style="2" customWidth="1"/>
    <col min="3" max="3" width="10" style="2" bestFit="1" customWidth="1"/>
    <col min="4" max="4" width="11.21875" style="2" customWidth="1"/>
    <col min="5" max="5" width="11" style="2" customWidth="1"/>
    <col min="6" max="6" width="10.77734375" style="2" customWidth="1"/>
    <col min="7" max="9" width="8.77734375" style="2" customWidth="1"/>
    <col min="10" max="10" width="8.21875" style="2" customWidth="1"/>
    <col min="11" max="11" width="6.21875" style="2" customWidth="1"/>
    <col min="12" max="12" width="10" style="2" customWidth="1"/>
    <col min="13" max="13" width="6.77734375" style="2" customWidth="1"/>
    <col min="14" max="14" width="10.77734375" style="2" customWidth="1"/>
    <col min="15" max="15" width="6.77734375" style="2" customWidth="1"/>
    <col min="16" max="16" width="7.77734375" style="2" customWidth="1"/>
    <col min="17" max="16384" width="8.77734375" style="2"/>
  </cols>
  <sheetData>
    <row r="1" spans="1:18" ht="35.1" customHeight="1" thickBot="1" x14ac:dyDescent="0.3">
      <c r="A1" s="9" t="s">
        <v>22</v>
      </c>
      <c r="C1" s="478"/>
      <c r="D1" s="22"/>
      <c r="E1" s="22"/>
      <c r="F1" s="22"/>
      <c r="G1" s="22"/>
      <c r="H1" s="22"/>
      <c r="I1" s="22"/>
      <c r="J1" s="22"/>
      <c r="K1" s="22"/>
      <c r="L1" s="22"/>
      <c r="M1" s="22"/>
      <c r="N1" s="22"/>
      <c r="O1" s="22"/>
      <c r="P1" s="22"/>
      <c r="Q1" s="184"/>
    </row>
    <row r="2" spans="1:18" ht="19.5" thickBot="1" x14ac:dyDescent="0.35">
      <c r="A2" s="7"/>
      <c r="B2" s="540" t="s">
        <v>176</v>
      </c>
      <c r="C2" s="541"/>
      <c r="D2" s="541"/>
      <c r="E2" s="541"/>
      <c r="F2" s="541"/>
      <c r="G2" s="541"/>
      <c r="H2" s="541"/>
      <c r="I2" s="541"/>
      <c r="J2" s="541"/>
      <c r="K2" s="541"/>
      <c r="L2" s="541"/>
      <c r="M2" s="541"/>
      <c r="N2" s="541"/>
      <c r="O2" s="541"/>
      <c r="P2" s="542"/>
    </row>
    <row r="3" spans="1:18" s="146" customFormat="1" ht="41.25" customHeight="1" x14ac:dyDescent="0.25">
      <c r="A3" s="144"/>
      <c r="B3" s="543" t="s">
        <v>24</v>
      </c>
      <c r="C3" s="536" t="s">
        <v>25</v>
      </c>
      <c r="D3" s="536" t="s">
        <v>26</v>
      </c>
      <c r="E3" s="185" t="s">
        <v>27</v>
      </c>
      <c r="F3" s="185"/>
      <c r="G3" s="536" t="s">
        <v>28</v>
      </c>
      <c r="H3" s="536" t="s">
        <v>29</v>
      </c>
      <c r="I3" s="536" t="s">
        <v>30</v>
      </c>
      <c r="J3" s="536" t="s">
        <v>31</v>
      </c>
      <c r="K3" s="536" t="s">
        <v>32</v>
      </c>
      <c r="L3" s="536" t="s">
        <v>33</v>
      </c>
      <c r="M3" s="536" t="s">
        <v>34</v>
      </c>
      <c r="N3" s="536" t="s">
        <v>35</v>
      </c>
      <c r="O3" s="536" t="s">
        <v>177</v>
      </c>
      <c r="P3" s="545" t="s">
        <v>178</v>
      </c>
    </row>
    <row r="4" spans="1:18" s="146" customFormat="1" ht="33" customHeight="1" x14ac:dyDescent="0.25">
      <c r="A4" s="144"/>
      <c r="B4" s="544"/>
      <c r="C4" s="536"/>
      <c r="D4" s="536"/>
      <c r="E4" s="180" t="s">
        <v>38</v>
      </c>
      <c r="F4" s="180" t="s">
        <v>41</v>
      </c>
      <c r="G4" s="536"/>
      <c r="H4" s="536"/>
      <c r="I4" s="536"/>
      <c r="J4" s="536"/>
      <c r="K4" s="536"/>
      <c r="L4" s="536"/>
      <c r="M4" s="536"/>
      <c r="N4" s="536"/>
      <c r="O4" s="536"/>
      <c r="P4" s="546"/>
    </row>
    <row r="5" spans="1:18" x14ac:dyDescent="0.25">
      <c r="A5" s="7"/>
      <c r="B5" s="182" t="s">
        <v>43</v>
      </c>
      <c r="C5" s="116">
        <v>254.93899999999999</v>
      </c>
      <c r="D5" s="116">
        <v>79.563000000000002</v>
      </c>
      <c r="E5" s="116">
        <v>74.277000000000001</v>
      </c>
      <c r="F5" s="116">
        <v>12.180999999999999</v>
      </c>
      <c r="G5" s="116">
        <v>0.314</v>
      </c>
      <c r="H5" s="116">
        <v>409.09300000000002</v>
      </c>
      <c r="I5" s="116">
        <v>0.18</v>
      </c>
      <c r="J5" s="116">
        <v>409.27300000000002</v>
      </c>
      <c r="K5" s="116">
        <v>105.083</v>
      </c>
      <c r="L5" s="116">
        <v>514.35599999999999</v>
      </c>
      <c r="M5" s="116">
        <v>114.64</v>
      </c>
      <c r="N5" s="116">
        <v>0</v>
      </c>
      <c r="O5" s="116">
        <v>399.71600000000001</v>
      </c>
      <c r="P5" s="125">
        <v>399.09699999999998</v>
      </c>
      <c r="Q5" s="186"/>
      <c r="R5" s="187"/>
    </row>
    <row r="6" spans="1:18" x14ac:dyDescent="0.25">
      <c r="A6" s="7"/>
      <c r="B6" s="182" t="s">
        <v>44</v>
      </c>
      <c r="C6" s="116">
        <v>255.55699999999999</v>
      </c>
      <c r="D6" s="116">
        <v>79.825000000000003</v>
      </c>
      <c r="E6" s="116">
        <v>76.099999999999994</v>
      </c>
      <c r="F6" s="116">
        <v>11.29</v>
      </c>
      <c r="G6" s="116">
        <v>-0.157</v>
      </c>
      <c r="H6" s="116">
        <v>411.32499999999999</v>
      </c>
      <c r="I6" s="116">
        <v>-0.41</v>
      </c>
      <c r="J6" s="116">
        <v>410.91500000000002</v>
      </c>
      <c r="K6" s="116">
        <v>110.79</v>
      </c>
      <c r="L6" s="116">
        <v>521.70500000000004</v>
      </c>
      <c r="M6" s="116">
        <v>119.018</v>
      </c>
      <c r="N6" s="116">
        <v>0</v>
      </c>
      <c r="O6" s="116">
        <v>402.68700000000001</v>
      </c>
      <c r="P6" s="125">
        <v>397.92399999999998</v>
      </c>
      <c r="Q6" s="186"/>
      <c r="R6" s="187"/>
    </row>
    <row r="7" spans="1:18" x14ac:dyDescent="0.25">
      <c r="A7" s="7"/>
      <c r="B7" s="182" t="s">
        <v>45</v>
      </c>
      <c r="C7" s="116">
        <v>255.126</v>
      </c>
      <c r="D7" s="116">
        <v>80.710999999999999</v>
      </c>
      <c r="E7" s="116">
        <v>72.953999999999994</v>
      </c>
      <c r="F7" s="116">
        <v>11.788</v>
      </c>
      <c r="G7" s="116">
        <v>-0.65700000000000003</v>
      </c>
      <c r="H7" s="116">
        <v>408.13400000000001</v>
      </c>
      <c r="I7" s="116">
        <v>0.503</v>
      </c>
      <c r="J7" s="116">
        <v>408.637</v>
      </c>
      <c r="K7" s="116">
        <v>113.068</v>
      </c>
      <c r="L7" s="116">
        <v>521.70500000000004</v>
      </c>
      <c r="M7" s="116">
        <v>119.568</v>
      </c>
      <c r="N7" s="116">
        <v>0</v>
      </c>
      <c r="O7" s="116">
        <v>402.137</v>
      </c>
      <c r="P7" s="125">
        <v>397.71199999999999</v>
      </c>
      <c r="Q7" s="186"/>
      <c r="R7" s="187"/>
    </row>
    <row r="8" spans="1:18" x14ac:dyDescent="0.25">
      <c r="A8" s="7"/>
      <c r="B8" s="182" t="s">
        <v>46</v>
      </c>
      <c r="C8" s="116">
        <v>247.459</v>
      </c>
      <c r="D8" s="116">
        <v>82.893000000000001</v>
      </c>
      <c r="E8" s="116">
        <v>71.679000000000002</v>
      </c>
      <c r="F8" s="116">
        <v>12.839</v>
      </c>
      <c r="G8" s="116">
        <v>0.28100000000000003</v>
      </c>
      <c r="H8" s="116">
        <v>402.31200000000001</v>
      </c>
      <c r="I8" s="116">
        <v>-2.04</v>
      </c>
      <c r="J8" s="116">
        <v>400.27199999999999</v>
      </c>
      <c r="K8" s="116">
        <v>109.73699999999999</v>
      </c>
      <c r="L8" s="116">
        <v>510.00900000000001</v>
      </c>
      <c r="M8" s="116">
        <v>112.33199999999999</v>
      </c>
      <c r="N8" s="116">
        <v>0</v>
      </c>
      <c r="O8" s="116">
        <v>397.67700000000002</v>
      </c>
      <c r="P8" s="125">
        <v>386.45299999999997</v>
      </c>
      <c r="Q8" s="186"/>
      <c r="R8" s="187"/>
    </row>
    <row r="9" spans="1:18" x14ac:dyDescent="0.25">
      <c r="A9" s="7"/>
      <c r="B9" s="182" t="s">
        <v>47</v>
      </c>
      <c r="C9" s="116">
        <v>247.01599999999999</v>
      </c>
      <c r="D9" s="116">
        <v>83.662999999999997</v>
      </c>
      <c r="E9" s="116">
        <v>68.480999999999995</v>
      </c>
      <c r="F9" s="116">
        <v>13.247</v>
      </c>
      <c r="G9" s="116">
        <v>1.2490000000000001</v>
      </c>
      <c r="H9" s="116">
        <v>400.40899999999999</v>
      </c>
      <c r="I9" s="116">
        <v>-5.806</v>
      </c>
      <c r="J9" s="116">
        <v>394.60300000000001</v>
      </c>
      <c r="K9" s="116">
        <v>103.777</v>
      </c>
      <c r="L9" s="116">
        <v>498.38</v>
      </c>
      <c r="M9" s="116">
        <v>108.605</v>
      </c>
      <c r="N9" s="116">
        <v>0</v>
      </c>
      <c r="O9" s="116">
        <v>389.77499999999998</v>
      </c>
      <c r="P9" s="125">
        <v>382.791</v>
      </c>
      <c r="Q9" s="186"/>
      <c r="R9" s="187"/>
    </row>
    <row r="10" spans="1:18" x14ac:dyDescent="0.25">
      <c r="A10" s="7"/>
      <c r="B10" s="182" t="s">
        <v>48</v>
      </c>
      <c r="C10" s="116">
        <v>247.047</v>
      </c>
      <c r="D10" s="116">
        <v>83.757000000000005</v>
      </c>
      <c r="E10" s="116">
        <v>65.661000000000001</v>
      </c>
      <c r="F10" s="116">
        <v>12.177</v>
      </c>
      <c r="G10" s="116">
        <v>0.52500000000000002</v>
      </c>
      <c r="H10" s="116">
        <v>396.99</v>
      </c>
      <c r="I10" s="116">
        <v>-3.24</v>
      </c>
      <c r="J10" s="116">
        <v>393.75</v>
      </c>
      <c r="K10" s="116">
        <v>101.78400000000001</v>
      </c>
      <c r="L10" s="116">
        <v>495.53399999999999</v>
      </c>
      <c r="M10" s="116">
        <v>106.383</v>
      </c>
      <c r="N10" s="116">
        <v>0</v>
      </c>
      <c r="O10" s="116">
        <v>389.15100000000001</v>
      </c>
      <c r="P10" s="125">
        <v>383.33300000000003</v>
      </c>
      <c r="Q10" s="186"/>
      <c r="R10" s="187"/>
    </row>
    <row r="11" spans="1:18" x14ac:dyDescent="0.25">
      <c r="A11" s="7"/>
      <c r="B11" s="182" t="s">
        <v>49</v>
      </c>
      <c r="C11" s="116">
        <v>248.1</v>
      </c>
      <c r="D11" s="116">
        <v>85.713999999999999</v>
      </c>
      <c r="E11" s="116">
        <v>66.14</v>
      </c>
      <c r="F11" s="116">
        <v>13.441000000000001</v>
      </c>
      <c r="G11" s="116">
        <v>0.56699999999999995</v>
      </c>
      <c r="H11" s="116">
        <v>400.52100000000002</v>
      </c>
      <c r="I11" s="116">
        <v>-3.5</v>
      </c>
      <c r="J11" s="116">
        <v>397.02100000000002</v>
      </c>
      <c r="K11" s="116">
        <v>102.676</v>
      </c>
      <c r="L11" s="116">
        <v>499.697</v>
      </c>
      <c r="M11" s="116">
        <v>108.518</v>
      </c>
      <c r="N11" s="116">
        <v>0</v>
      </c>
      <c r="O11" s="116">
        <v>391.17899999999997</v>
      </c>
      <c r="P11" s="125">
        <v>392.017</v>
      </c>
      <c r="Q11" s="186"/>
      <c r="R11" s="187"/>
    </row>
    <row r="12" spans="1:18" x14ac:dyDescent="0.25">
      <c r="A12" s="7"/>
      <c r="B12" s="182" t="s">
        <v>50</v>
      </c>
      <c r="C12" s="116">
        <v>248.74</v>
      </c>
      <c r="D12" s="116">
        <v>85.393000000000001</v>
      </c>
      <c r="E12" s="116">
        <v>64.643000000000001</v>
      </c>
      <c r="F12" s="116">
        <v>13.095000000000001</v>
      </c>
      <c r="G12" s="116">
        <v>-1.2E-2</v>
      </c>
      <c r="H12" s="116">
        <v>398.76400000000001</v>
      </c>
      <c r="I12" s="116">
        <v>-5.4119999999999999</v>
      </c>
      <c r="J12" s="116">
        <v>393.35199999999998</v>
      </c>
      <c r="K12" s="116">
        <v>108.239</v>
      </c>
      <c r="L12" s="116">
        <v>501.59100000000001</v>
      </c>
      <c r="M12" s="116">
        <v>112.291</v>
      </c>
      <c r="N12" s="116">
        <v>0</v>
      </c>
      <c r="O12" s="116">
        <v>389.3</v>
      </c>
      <c r="P12" s="125">
        <v>388.25200000000001</v>
      </c>
      <c r="Q12" s="186"/>
      <c r="R12" s="187"/>
    </row>
    <row r="13" spans="1:18" x14ac:dyDescent="0.25">
      <c r="A13" s="7"/>
      <c r="B13" s="182" t="s">
        <v>51</v>
      </c>
      <c r="C13" s="116">
        <v>248.57599999999999</v>
      </c>
      <c r="D13" s="116">
        <v>86.36</v>
      </c>
      <c r="E13" s="116">
        <v>66.662000000000006</v>
      </c>
      <c r="F13" s="116">
        <v>13.45</v>
      </c>
      <c r="G13" s="116">
        <v>-0.25800000000000001</v>
      </c>
      <c r="H13" s="116">
        <v>401.34</v>
      </c>
      <c r="I13" s="116">
        <v>2.097</v>
      </c>
      <c r="J13" s="116">
        <v>403.43700000000001</v>
      </c>
      <c r="K13" s="116">
        <v>110.63</v>
      </c>
      <c r="L13" s="116">
        <v>514.06700000000001</v>
      </c>
      <c r="M13" s="116">
        <v>115.941</v>
      </c>
      <c r="N13" s="116">
        <v>0</v>
      </c>
      <c r="O13" s="116">
        <v>398.12599999999998</v>
      </c>
      <c r="P13" s="125">
        <v>398.27199999999999</v>
      </c>
      <c r="Q13" s="186"/>
      <c r="R13" s="187"/>
    </row>
    <row r="14" spans="1:18" x14ac:dyDescent="0.25">
      <c r="A14" s="7"/>
      <c r="B14" s="182" t="s">
        <v>52</v>
      </c>
      <c r="C14" s="116">
        <v>257.23</v>
      </c>
      <c r="D14" s="116">
        <v>86.009</v>
      </c>
      <c r="E14" s="116">
        <v>65.37</v>
      </c>
      <c r="F14" s="116">
        <v>12.504</v>
      </c>
      <c r="G14" s="116">
        <v>-0.36199999999999999</v>
      </c>
      <c r="H14" s="116">
        <v>408.24700000000001</v>
      </c>
      <c r="I14" s="116">
        <v>-6.9000000000000006E-2</v>
      </c>
      <c r="J14" s="116">
        <v>408.178</v>
      </c>
      <c r="K14" s="116">
        <v>116.02200000000001</v>
      </c>
      <c r="L14" s="116">
        <v>524.20000000000005</v>
      </c>
      <c r="M14" s="116">
        <v>121.26300000000001</v>
      </c>
      <c r="N14" s="116">
        <v>0</v>
      </c>
      <c r="O14" s="116">
        <v>402.93700000000001</v>
      </c>
      <c r="P14" s="125">
        <v>403.38400000000001</v>
      </c>
      <c r="Q14" s="186"/>
      <c r="R14" s="187"/>
    </row>
    <row r="15" spans="1:18" x14ac:dyDescent="0.25">
      <c r="A15" s="7"/>
      <c r="B15" s="182" t="s">
        <v>53</v>
      </c>
      <c r="C15" s="116">
        <v>259.625</v>
      </c>
      <c r="D15" s="116">
        <v>86.02</v>
      </c>
      <c r="E15" s="116">
        <v>67.39</v>
      </c>
      <c r="F15" s="116">
        <v>12.903</v>
      </c>
      <c r="G15" s="116">
        <v>0.443</v>
      </c>
      <c r="H15" s="116">
        <v>413.47800000000001</v>
      </c>
      <c r="I15" s="116">
        <v>0.51600000000000001</v>
      </c>
      <c r="J15" s="116">
        <v>413.99400000000003</v>
      </c>
      <c r="K15" s="116">
        <v>116.673</v>
      </c>
      <c r="L15" s="116">
        <v>530.66700000000003</v>
      </c>
      <c r="M15" s="116">
        <v>124.49</v>
      </c>
      <c r="N15" s="116">
        <v>0</v>
      </c>
      <c r="O15" s="116">
        <v>406.17700000000002</v>
      </c>
      <c r="P15" s="125">
        <v>405.649</v>
      </c>
      <c r="Q15" s="186"/>
      <c r="R15" s="187"/>
    </row>
    <row r="16" spans="1:18" x14ac:dyDescent="0.25">
      <c r="A16" s="7"/>
      <c r="B16" s="182" t="s">
        <v>54</v>
      </c>
      <c r="C16" s="116">
        <v>261.58100000000002</v>
      </c>
      <c r="D16" s="116">
        <v>87.097999999999999</v>
      </c>
      <c r="E16" s="116">
        <v>68.691000000000003</v>
      </c>
      <c r="F16" s="116">
        <v>12.449</v>
      </c>
      <c r="G16" s="116">
        <v>0.57399999999999995</v>
      </c>
      <c r="H16" s="116">
        <v>417.94400000000002</v>
      </c>
      <c r="I16" s="116">
        <v>-2.532</v>
      </c>
      <c r="J16" s="116">
        <v>415.41199999999998</v>
      </c>
      <c r="K16" s="116">
        <v>121.17</v>
      </c>
      <c r="L16" s="116">
        <v>536.58199999999999</v>
      </c>
      <c r="M16" s="116">
        <v>127.983</v>
      </c>
      <c r="N16" s="116">
        <v>0</v>
      </c>
      <c r="O16" s="116">
        <v>408.59899999999999</v>
      </c>
      <c r="P16" s="125">
        <v>409.24099999999999</v>
      </c>
      <c r="Q16" s="186"/>
      <c r="R16" s="187"/>
    </row>
    <row r="17" spans="1:18" x14ac:dyDescent="0.25">
      <c r="A17" s="7"/>
      <c r="B17" s="182" t="s">
        <v>55</v>
      </c>
      <c r="C17" s="116">
        <v>263.46300000000002</v>
      </c>
      <c r="D17" s="116">
        <v>88.983000000000004</v>
      </c>
      <c r="E17" s="116">
        <v>66.448999999999998</v>
      </c>
      <c r="F17" s="116">
        <v>13.282</v>
      </c>
      <c r="G17" s="116">
        <v>-1.6950000000000001</v>
      </c>
      <c r="H17" s="116">
        <v>417.2</v>
      </c>
      <c r="I17" s="116">
        <v>-1.069</v>
      </c>
      <c r="J17" s="116">
        <v>416.13099999999997</v>
      </c>
      <c r="K17" s="116">
        <v>128.95699999999999</v>
      </c>
      <c r="L17" s="116">
        <v>545.08799999999997</v>
      </c>
      <c r="M17" s="116">
        <v>128.56700000000001</v>
      </c>
      <c r="N17" s="116">
        <v>0</v>
      </c>
      <c r="O17" s="116">
        <v>416.52100000000002</v>
      </c>
      <c r="P17" s="125">
        <v>418.22500000000002</v>
      </c>
      <c r="Q17" s="186"/>
      <c r="R17" s="187"/>
    </row>
    <row r="18" spans="1:18" x14ac:dyDescent="0.25">
      <c r="A18" s="7"/>
      <c r="B18" s="182" t="s">
        <v>56</v>
      </c>
      <c r="C18" s="116">
        <v>263.31700000000001</v>
      </c>
      <c r="D18" s="116">
        <v>85.343999999999994</v>
      </c>
      <c r="E18" s="116">
        <v>66.429000000000002</v>
      </c>
      <c r="F18" s="116">
        <v>11.32</v>
      </c>
      <c r="G18" s="116">
        <v>0.61899999999999999</v>
      </c>
      <c r="H18" s="116">
        <v>415.709</v>
      </c>
      <c r="I18" s="116">
        <v>3.8380000000000001</v>
      </c>
      <c r="J18" s="116">
        <v>419.54700000000003</v>
      </c>
      <c r="K18" s="116">
        <v>129.47300000000001</v>
      </c>
      <c r="L18" s="116">
        <v>549.02</v>
      </c>
      <c r="M18" s="116">
        <v>134.97999999999999</v>
      </c>
      <c r="N18" s="116">
        <v>0</v>
      </c>
      <c r="O18" s="116">
        <v>414.04</v>
      </c>
      <c r="P18" s="125">
        <v>418.851</v>
      </c>
      <c r="Q18" s="186"/>
      <c r="R18" s="187"/>
    </row>
    <row r="19" spans="1:18" x14ac:dyDescent="0.25">
      <c r="A19" s="7"/>
      <c r="B19" s="182" t="s">
        <v>57</v>
      </c>
      <c r="C19" s="116">
        <v>265.67700000000002</v>
      </c>
      <c r="D19" s="116">
        <v>86</v>
      </c>
      <c r="E19" s="116">
        <v>68.244</v>
      </c>
      <c r="F19" s="116">
        <v>11.744999999999999</v>
      </c>
      <c r="G19" s="116">
        <v>1.627</v>
      </c>
      <c r="H19" s="116">
        <v>421.548</v>
      </c>
      <c r="I19" s="116">
        <v>1.7250000000000001</v>
      </c>
      <c r="J19" s="116">
        <v>423.27300000000002</v>
      </c>
      <c r="K19" s="116">
        <v>130.93600000000001</v>
      </c>
      <c r="L19" s="116">
        <v>554.20899999999995</v>
      </c>
      <c r="M19" s="116">
        <v>136.09</v>
      </c>
      <c r="N19" s="116">
        <v>0</v>
      </c>
      <c r="O19" s="116">
        <v>418.11900000000003</v>
      </c>
      <c r="P19" s="125">
        <v>417.66899999999998</v>
      </c>
      <c r="Q19" s="186"/>
      <c r="R19" s="187"/>
    </row>
    <row r="20" spans="1:18" x14ac:dyDescent="0.25">
      <c r="A20" s="7"/>
      <c r="B20" s="182" t="s">
        <v>58</v>
      </c>
      <c r="C20" s="116">
        <v>267.85000000000002</v>
      </c>
      <c r="D20" s="116">
        <v>87.171999999999997</v>
      </c>
      <c r="E20" s="116">
        <v>69.093999999999994</v>
      </c>
      <c r="F20" s="116">
        <v>11.486000000000001</v>
      </c>
      <c r="G20" s="116">
        <v>0.498</v>
      </c>
      <c r="H20" s="116">
        <v>424.61399999999998</v>
      </c>
      <c r="I20" s="116">
        <v>-0.35699999999999998</v>
      </c>
      <c r="J20" s="116">
        <v>424.25700000000001</v>
      </c>
      <c r="K20" s="116">
        <v>132.74100000000001</v>
      </c>
      <c r="L20" s="116">
        <v>556.99800000000005</v>
      </c>
      <c r="M20" s="116">
        <v>135.733</v>
      </c>
      <c r="N20" s="116">
        <v>0</v>
      </c>
      <c r="O20" s="116">
        <v>421.26499999999999</v>
      </c>
      <c r="P20" s="125">
        <v>422.14499999999998</v>
      </c>
      <c r="Q20" s="186"/>
      <c r="R20" s="187"/>
    </row>
    <row r="21" spans="1:18" x14ac:dyDescent="0.25">
      <c r="A21" s="7"/>
      <c r="B21" s="182" t="s">
        <v>59</v>
      </c>
      <c r="C21" s="116">
        <v>268.98399999999998</v>
      </c>
      <c r="D21" s="116">
        <v>90.614999999999995</v>
      </c>
      <c r="E21" s="116">
        <v>70.629000000000005</v>
      </c>
      <c r="F21" s="116">
        <v>11.576000000000001</v>
      </c>
      <c r="G21" s="116">
        <v>-1.1870000000000001</v>
      </c>
      <c r="H21" s="116">
        <v>429.041</v>
      </c>
      <c r="I21" s="116">
        <v>-2.3889999999999998</v>
      </c>
      <c r="J21" s="116">
        <v>426.65199999999999</v>
      </c>
      <c r="K21" s="116">
        <v>136.13300000000001</v>
      </c>
      <c r="L21" s="116">
        <v>562.78499999999997</v>
      </c>
      <c r="M21" s="116">
        <v>136.13200000000001</v>
      </c>
      <c r="N21" s="116">
        <v>0</v>
      </c>
      <c r="O21" s="116">
        <v>426.65300000000002</v>
      </c>
      <c r="P21" s="125">
        <v>424.17899999999997</v>
      </c>
      <c r="Q21" s="186"/>
      <c r="R21" s="187"/>
    </row>
    <row r="22" spans="1:18" x14ac:dyDescent="0.25">
      <c r="A22" s="7"/>
      <c r="B22" s="182" t="s">
        <v>60</v>
      </c>
      <c r="C22" s="116">
        <v>273.05399999999997</v>
      </c>
      <c r="D22" s="116">
        <v>86.841999999999999</v>
      </c>
      <c r="E22" s="116">
        <v>68.944999999999993</v>
      </c>
      <c r="F22" s="116">
        <v>11.781000000000001</v>
      </c>
      <c r="G22" s="116">
        <v>0.87</v>
      </c>
      <c r="H22" s="116">
        <v>429.71100000000001</v>
      </c>
      <c r="I22" s="116">
        <v>4.7560000000000002</v>
      </c>
      <c r="J22" s="116">
        <v>434.46699999999998</v>
      </c>
      <c r="K22" s="116">
        <v>129.17099999999999</v>
      </c>
      <c r="L22" s="116">
        <v>563.63800000000003</v>
      </c>
      <c r="M22" s="116">
        <v>136.94</v>
      </c>
      <c r="N22" s="116">
        <v>0</v>
      </c>
      <c r="O22" s="116">
        <v>426.69799999999998</v>
      </c>
      <c r="P22" s="125">
        <v>423.036</v>
      </c>
      <c r="Q22" s="186"/>
      <c r="R22" s="187"/>
    </row>
    <row r="23" spans="1:18" x14ac:dyDescent="0.25">
      <c r="A23" s="7"/>
      <c r="B23" s="182" t="s">
        <v>61</v>
      </c>
      <c r="C23" s="116">
        <v>275.63299999999998</v>
      </c>
      <c r="D23" s="116">
        <v>87.802000000000007</v>
      </c>
      <c r="E23" s="116">
        <v>68.802000000000007</v>
      </c>
      <c r="F23" s="116">
        <v>11.122999999999999</v>
      </c>
      <c r="G23" s="116">
        <v>0.35599999999999998</v>
      </c>
      <c r="H23" s="116">
        <v>432.59300000000002</v>
      </c>
      <c r="I23" s="116">
        <v>4.9349999999999996</v>
      </c>
      <c r="J23" s="116">
        <v>437.52800000000002</v>
      </c>
      <c r="K23" s="116">
        <v>131.25899999999999</v>
      </c>
      <c r="L23" s="116">
        <v>568.78700000000003</v>
      </c>
      <c r="M23" s="116">
        <v>135.5</v>
      </c>
      <c r="N23" s="116">
        <v>0</v>
      </c>
      <c r="O23" s="116">
        <v>433.28699999999998</v>
      </c>
      <c r="P23" s="125">
        <v>429.84</v>
      </c>
      <c r="Q23" s="186"/>
      <c r="R23" s="187"/>
    </row>
    <row r="24" spans="1:18" x14ac:dyDescent="0.25">
      <c r="A24" s="7"/>
      <c r="B24" s="182" t="s">
        <v>62</v>
      </c>
      <c r="C24" s="116">
        <v>281.54599999999999</v>
      </c>
      <c r="D24" s="116">
        <v>89.596000000000004</v>
      </c>
      <c r="E24" s="116">
        <v>71.783000000000001</v>
      </c>
      <c r="F24" s="116">
        <v>11.04</v>
      </c>
      <c r="G24" s="116">
        <v>0.17799999999999999</v>
      </c>
      <c r="H24" s="116">
        <v>443.10300000000001</v>
      </c>
      <c r="I24" s="116">
        <v>-3.3450000000000002</v>
      </c>
      <c r="J24" s="116">
        <v>439.75799999999998</v>
      </c>
      <c r="K24" s="116">
        <v>128.55000000000001</v>
      </c>
      <c r="L24" s="116">
        <v>568.30799999999999</v>
      </c>
      <c r="M24" s="116">
        <v>133.238</v>
      </c>
      <c r="N24" s="116">
        <v>0</v>
      </c>
      <c r="O24" s="116">
        <v>435.07</v>
      </c>
      <c r="P24" s="125">
        <v>428.69299999999998</v>
      </c>
      <c r="Q24" s="186"/>
      <c r="R24" s="187"/>
    </row>
    <row r="25" spans="1:18" x14ac:dyDescent="0.25">
      <c r="A25" s="7"/>
      <c r="B25" s="182" t="s">
        <v>63</v>
      </c>
      <c r="C25" s="116">
        <v>282.19499999999999</v>
      </c>
      <c r="D25" s="116">
        <v>88.986999999999995</v>
      </c>
      <c r="E25" s="116">
        <v>71.180000000000007</v>
      </c>
      <c r="F25" s="116">
        <v>10.811</v>
      </c>
      <c r="G25" s="116">
        <v>0.89300000000000002</v>
      </c>
      <c r="H25" s="116">
        <v>443.255</v>
      </c>
      <c r="I25" s="116">
        <v>-1.1719999999999999</v>
      </c>
      <c r="J25" s="116">
        <v>442.08300000000003</v>
      </c>
      <c r="K25" s="116">
        <v>135.56</v>
      </c>
      <c r="L25" s="116">
        <v>577.64300000000003</v>
      </c>
      <c r="M25" s="116">
        <v>137.60499999999999</v>
      </c>
      <c r="N25" s="116">
        <v>0</v>
      </c>
      <c r="O25" s="116">
        <v>440.03800000000001</v>
      </c>
      <c r="P25" s="125">
        <v>429.16300000000001</v>
      </c>
      <c r="Q25" s="186"/>
      <c r="R25" s="187"/>
    </row>
    <row r="26" spans="1:18" x14ac:dyDescent="0.25">
      <c r="A26" s="7"/>
      <c r="B26" s="182" t="s">
        <v>64</v>
      </c>
      <c r="C26" s="116">
        <v>286.04000000000002</v>
      </c>
      <c r="D26" s="116">
        <v>88.584000000000003</v>
      </c>
      <c r="E26" s="116">
        <v>73.405000000000001</v>
      </c>
      <c r="F26" s="116">
        <v>10.506</v>
      </c>
      <c r="G26" s="116">
        <v>3.3170000000000002</v>
      </c>
      <c r="H26" s="116">
        <v>451.346</v>
      </c>
      <c r="I26" s="116">
        <v>-1.1739999999999999</v>
      </c>
      <c r="J26" s="116">
        <v>450.17200000000003</v>
      </c>
      <c r="K26" s="116">
        <v>136.244</v>
      </c>
      <c r="L26" s="116">
        <v>586.41600000000005</v>
      </c>
      <c r="M26" s="116">
        <v>142.79</v>
      </c>
      <c r="N26" s="116">
        <v>0</v>
      </c>
      <c r="O26" s="116">
        <v>443.62599999999998</v>
      </c>
      <c r="P26" s="125">
        <v>438.99</v>
      </c>
      <c r="Q26" s="186"/>
      <c r="R26" s="187"/>
    </row>
    <row r="27" spans="1:18" x14ac:dyDescent="0.25">
      <c r="A27" s="7"/>
      <c r="B27" s="182" t="s">
        <v>65</v>
      </c>
      <c r="C27" s="116">
        <v>289.67899999999997</v>
      </c>
      <c r="D27" s="116">
        <v>88.037000000000006</v>
      </c>
      <c r="E27" s="116">
        <v>76.152000000000001</v>
      </c>
      <c r="F27" s="116">
        <v>10.909000000000001</v>
      </c>
      <c r="G27" s="116">
        <v>-1.034</v>
      </c>
      <c r="H27" s="116">
        <v>452.834</v>
      </c>
      <c r="I27" s="116">
        <v>2.956</v>
      </c>
      <c r="J27" s="116">
        <v>455.79</v>
      </c>
      <c r="K27" s="116">
        <v>136.733</v>
      </c>
      <c r="L27" s="116">
        <v>592.52300000000002</v>
      </c>
      <c r="M27" s="116">
        <v>141.798</v>
      </c>
      <c r="N27" s="116">
        <v>0</v>
      </c>
      <c r="O27" s="116">
        <v>450.72500000000002</v>
      </c>
      <c r="P27" s="125">
        <v>442.69099999999997</v>
      </c>
      <c r="Q27" s="186"/>
      <c r="R27" s="187"/>
    </row>
    <row r="28" spans="1:18" x14ac:dyDescent="0.25">
      <c r="A28" s="7"/>
      <c r="B28" s="182" t="s">
        <v>66</v>
      </c>
      <c r="C28" s="116">
        <v>290.37900000000002</v>
      </c>
      <c r="D28" s="116">
        <v>91.326999999999998</v>
      </c>
      <c r="E28" s="116">
        <v>76.152000000000001</v>
      </c>
      <c r="F28" s="116">
        <v>11.503</v>
      </c>
      <c r="G28" s="116">
        <v>3.9630000000000001</v>
      </c>
      <c r="H28" s="116">
        <v>461.82100000000003</v>
      </c>
      <c r="I28" s="116">
        <v>2.5409999999999999</v>
      </c>
      <c r="J28" s="116">
        <v>464.36200000000002</v>
      </c>
      <c r="K28" s="116">
        <v>131.899</v>
      </c>
      <c r="L28" s="116">
        <v>596.26099999999997</v>
      </c>
      <c r="M28" s="116">
        <v>141.578</v>
      </c>
      <c r="N28" s="116">
        <v>0</v>
      </c>
      <c r="O28" s="116">
        <v>454.68299999999999</v>
      </c>
      <c r="P28" s="125">
        <v>446.65899999999999</v>
      </c>
      <c r="Q28" s="186"/>
      <c r="R28" s="187"/>
    </row>
    <row r="29" spans="1:18" x14ac:dyDescent="0.25">
      <c r="A29" s="7"/>
      <c r="B29" s="182" t="s">
        <v>67</v>
      </c>
      <c r="C29" s="116">
        <v>292.90499999999997</v>
      </c>
      <c r="D29" s="116">
        <v>92.350999999999999</v>
      </c>
      <c r="E29" s="116">
        <v>78.674000000000007</v>
      </c>
      <c r="F29" s="116">
        <v>13.004</v>
      </c>
      <c r="G29" s="116">
        <v>1.3580000000000001</v>
      </c>
      <c r="H29" s="116">
        <v>465.28800000000001</v>
      </c>
      <c r="I29" s="116">
        <v>1.907</v>
      </c>
      <c r="J29" s="116">
        <v>467.19499999999999</v>
      </c>
      <c r="K29" s="116">
        <v>133.47200000000001</v>
      </c>
      <c r="L29" s="116">
        <v>600.66700000000003</v>
      </c>
      <c r="M29" s="116">
        <v>139.98500000000001</v>
      </c>
      <c r="N29" s="116">
        <v>0</v>
      </c>
      <c r="O29" s="116">
        <v>460.68200000000002</v>
      </c>
      <c r="P29" s="125">
        <v>454.822</v>
      </c>
      <c r="Q29" s="186"/>
      <c r="R29" s="187"/>
    </row>
    <row r="30" spans="1:18" x14ac:dyDescent="0.25">
      <c r="A30" s="7"/>
      <c r="B30" s="182" t="s">
        <v>68</v>
      </c>
      <c r="C30" s="116">
        <v>297.00099999999998</v>
      </c>
      <c r="D30" s="116">
        <v>90.36</v>
      </c>
      <c r="E30" s="116">
        <v>79.384</v>
      </c>
      <c r="F30" s="116">
        <v>11.787000000000001</v>
      </c>
      <c r="G30" s="116">
        <v>-2.42</v>
      </c>
      <c r="H30" s="116">
        <v>464.32499999999999</v>
      </c>
      <c r="I30" s="116">
        <v>5.4169999999999998</v>
      </c>
      <c r="J30" s="116">
        <v>469.74200000000002</v>
      </c>
      <c r="K30" s="116">
        <v>133.673</v>
      </c>
      <c r="L30" s="116">
        <v>603.41499999999996</v>
      </c>
      <c r="M30" s="116">
        <v>138.74799999999999</v>
      </c>
      <c r="N30" s="116">
        <v>0</v>
      </c>
      <c r="O30" s="116">
        <v>464.66699999999997</v>
      </c>
      <c r="P30" s="125">
        <v>457.79599999999999</v>
      </c>
      <c r="Q30" s="186"/>
      <c r="R30" s="187"/>
    </row>
    <row r="31" spans="1:18" x14ac:dyDescent="0.25">
      <c r="A31" s="7"/>
      <c r="B31" s="182" t="s">
        <v>69</v>
      </c>
      <c r="C31" s="116">
        <v>301.64600000000002</v>
      </c>
      <c r="D31" s="116">
        <v>92.771000000000001</v>
      </c>
      <c r="E31" s="116">
        <v>81.082999999999998</v>
      </c>
      <c r="F31" s="116">
        <v>12.331</v>
      </c>
      <c r="G31" s="116">
        <v>1.526</v>
      </c>
      <c r="H31" s="116">
        <v>477.02600000000001</v>
      </c>
      <c r="I31" s="116">
        <v>4.8250000000000002</v>
      </c>
      <c r="J31" s="116">
        <v>481.851</v>
      </c>
      <c r="K31" s="116">
        <v>132.94399999999999</v>
      </c>
      <c r="L31" s="116">
        <v>614.79499999999996</v>
      </c>
      <c r="M31" s="116">
        <v>140.68</v>
      </c>
      <c r="N31" s="116">
        <v>0</v>
      </c>
      <c r="O31" s="116">
        <v>474.11500000000001</v>
      </c>
      <c r="P31" s="125">
        <v>464.43799999999999</v>
      </c>
      <c r="Q31" s="186"/>
      <c r="R31" s="187"/>
    </row>
    <row r="32" spans="1:18" x14ac:dyDescent="0.25">
      <c r="A32" s="7"/>
      <c r="B32" s="182" t="s">
        <v>70</v>
      </c>
      <c r="C32" s="116">
        <v>302.59100000000001</v>
      </c>
      <c r="D32" s="116">
        <v>92.766000000000005</v>
      </c>
      <c r="E32" s="116">
        <v>82.959000000000003</v>
      </c>
      <c r="F32" s="116">
        <v>13.085000000000001</v>
      </c>
      <c r="G32" s="116">
        <v>5.5529999999999999</v>
      </c>
      <c r="H32" s="116">
        <v>483.86900000000003</v>
      </c>
      <c r="I32" s="116">
        <v>5.3540000000000001</v>
      </c>
      <c r="J32" s="116">
        <v>489.22300000000001</v>
      </c>
      <c r="K32" s="116">
        <v>134.905</v>
      </c>
      <c r="L32" s="116">
        <v>624.12800000000004</v>
      </c>
      <c r="M32" s="116">
        <v>148.52600000000001</v>
      </c>
      <c r="N32" s="116">
        <v>0</v>
      </c>
      <c r="O32" s="116">
        <v>475.60199999999998</v>
      </c>
      <c r="P32" s="125">
        <v>464.738</v>
      </c>
      <c r="Q32" s="186"/>
      <c r="R32" s="187"/>
    </row>
    <row r="33" spans="1:18" x14ac:dyDescent="0.25">
      <c r="A33" s="7"/>
      <c r="B33" s="182" t="s">
        <v>71</v>
      </c>
      <c r="C33" s="116">
        <v>302.548</v>
      </c>
      <c r="D33" s="116">
        <v>93.100999999999999</v>
      </c>
      <c r="E33" s="116">
        <v>86.082999999999998</v>
      </c>
      <c r="F33" s="116">
        <v>13.491</v>
      </c>
      <c r="G33" s="116">
        <v>2.4430000000000001</v>
      </c>
      <c r="H33" s="116">
        <v>484.17500000000001</v>
      </c>
      <c r="I33" s="116">
        <v>3.8090000000000002</v>
      </c>
      <c r="J33" s="116">
        <v>487.98399999999998</v>
      </c>
      <c r="K33" s="116">
        <v>133.63</v>
      </c>
      <c r="L33" s="116">
        <v>621.61400000000003</v>
      </c>
      <c r="M33" s="116">
        <v>143.59800000000001</v>
      </c>
      <c r="N33" s="116">
        <v>0</v>
      </c>
      <c r="O33" s="116">
        <v>478.01600000000002</v>
      </c>
      <c r="P33" s="125">
        <v>467.99700000000001</v>
      </c>
      <c r="Q33" s="186"/>
      <c r="R33" s="187"/>
    </row>
    <row r="34" spans="1:18" x14ac:dyDescent="0.25">
      <c r="A34" s="7"/>
      <c r="B34" s="182" t="s">
        <v>72</v>
      </c>
      <c r="C34" s="116">
        <v>304.72399999999999</v>
      </c>
      <c r="D34" s="116">
        <v>92.185000000000002</v>
      </c>
      <c r="E34" s="116">
        <v>86.492000000000004</v>
      </c>
      <c r="F34" s="116">
        <v>13.122</v>
      </c>
      <c r="G34" s="116">
        <v>0.153</v>
      </c>
      <c r="H34" s="116">
        <v>483.55399999999997</v>
      </c>
      <c r="I34" s="116">
        <v>-1.4910000000000001</v>
      </c>
      <c r="J34" s="116">
        <v>482.06299999999999</v>
      </c>
      <c r="K34" s="116">
        <v>137.49700000000001</v>
      </c>
      <c r="L34" s="116">
        <v>619.55999999999995</v>
      </c>
      <c r="M34" s="116">
        <v>140.178</v>
      </c>
      <c r="N34" s="116">
        <v>0</v>
      </c>
      <c r="O34" s="116">
        <v>479.38200000000001</v>
      </c>
      <c r="P34" s="125">
        <v>473.79</v>
      </c>
      <c r="Q34" s="186"/>
      <c r="R34" s="187"/>
    </row>
    <row r="35" spans="1:18" x14ac:dyDescent="0.25">
      <c r="A35" s="7"/>
      <c r="B35" s="182" t="s">
        <v>73</v>
      </c>
      <c r="C35" s="116">
        <v>309.13299999999998</v>
      </c>
      <c r="D35" s="116">
        <v>93.992999999999995</v>
      </c>
      <c r="E35" s="116">
        <v>85.637</v>
      </c>
      <c r="F35" s="116">
        <v>12.513999999999999</v>
      </c>
      <c r="G35" s="116">
        <v>0.36899999999999999</v>
      </c>
      <c r="H35" s="116">
        <v>489.13200000000001</v>
      </c>
      <c r="I35" s="116">
        <v>0.72</v>
      </c>
      <c r="J35" s="116">
        <v>489.85199999999998</v>
      </c>
      <c r="K35" s="116">
        <v>130.99299999999999</v>
      </c>
      <c r="L35" s="116">
        <v>620.84500000000003</v>
      </c>
      <c r="M35" s="116">
        <v>138.155</v>
      </c>
      <c r="N35" s="116">
        <v>0</v>
      </c>
      <c r="O35" s="116">
        <v>482.69</v>
      </c>
      <c r="P35" s="125">
        <v>474.274</v>
      </c>
      <c r="Q35" s="186"/>
      <c r="R35" s="187"/>
    </row>
    <row r="36" spans="1:18" x14ac:dyDescent="0.25">
      <c r="A36" s="7"/>
      <c r="B36" s="182" t="s">
        <v>74</v>
      </c>
      <c r="C36" s="116">
        <v>309.05399999999997</v>
      </c>
      <c r="D36" s="116">
        <v>93.421000000000006</v>
      </c>
      <c r="E36" s="116">
        <v>87.866</v>
      </c>
      <c r="F36" s="116">
        <v>12.510999999999999</v>
      </c>
      <c r="G36" s="116">
        <v>-2.1549999999999998</v>
      </c>
      <c r="H36" s="116">
        <v>488.18599999999998</v>
      </c>
      <c r="I36" s="116">
        <v>6.2850000000000001</v>
      </c>
      <c r="J36" s="116">
        <v>494.471</v>
      </c>
      <c r="K36" s="116">
        <v>135.393</v>
      </c>
      <c r="L36" s="116">
        <v>629.86400000000003</v>
      </c>
      <c r="M36" s="116">
        <v>141.93600000000001</v>
      </c>
      <c r="N36" s="116">
        <v>0</v>
      </c>
      <c r="O36" s="116">
        <v>487.928</v>
      </c>
      <c r="P36" s="125">
        <v>470.18599999999998</v>
      </c>
      <c r="Q36" s="186"/>
      <c r="R36" s="187"/>
    </row>
    <row r="37" spans="1:18" x14ac:dyDescent="0.25">
      <c r="A37" s="7"/>
      <c r="B37" s="182" t="s">
        <v>75</v>
      </c>
      <c r="C37" s="116">
        <v>315.33199999999999</v>
      </c>
      <c r="D37" s="116">
        <v>95.007000000000005</v>
      </c>
      <c r="E37" s="116">
        <v>89.581000000000003</v>
      </c>
      <c r="F37" s="116">
        <v>11.273</v>
      </c>
      <c r="G37" s="116">
        <v>0.78200000000000003</v>
      </c>
      <c r="H37" s="116">
        <v>500.702</v>
      </c>
      <c r="I37" s="116">
        <v>-0.67900000000000005</v>
      </c>
      <c r="J37" s="116">
        <v>500.02300000000002</v>
      </c>
      <c r="K37" s="116">
        <v>138.09700000000001</v>
      </c>
      <c r="L37" s="116">
        <v>638.12</v>
      </c>
      <c r="M37" s="116">
        <v>145.476</v>
      </c>
      <c r="N37" s="116">
        <v>0</v>
      </c>
      <c r="O37" s="116">
        <v>492.64400000000001</v>
      </c>
      <c r="P37" s="125">
        <v>477.84</v>
      </c>
      <c r="Q37" s="186"/>
      <c r="R37" s="187"/>
    </row>
    <row r="38" spans="1:18" x14ac:dyDescent="0.25">
      <c r="A38" s="7"/>
      <c r="B38" s="182" t="s">
        <v>76</v>
      </c>
      <c r="C38" s="116">
        <v>319.20699999999999</v>
      </c>
      <c r="D38" s="116">
        <v>94.775000000000006</v>
      </c>
      <c r="E38" s="116">
        <v>92.349000000000004</v>
      </c>
      <c r="F38" s="116">
        <v>13.013</v>
      </c>
      <c r="G38" s="116">
        <v>-0.71499999999999997</v>
      </c>
      <c r="H38" s="116">
        <v>505.61599999999999</v>
      </c>
      <c r="I38" s="116">
        <v>-3.077</v>
      </c>
      <c r="J38" s="116">
        <v>502.53899999999999</v>
      </c>
      <c r="K38" s="116">
        <v>144.13</v>
      </c>
      <c r="L38" s="116">
        <v>646.66899999999998</v>
      </c>
      <c r="M38" s="116">
        <v>149.613</v>
      </c>
      <c r="N38" s="116">
        <v>0</v>
      </c>
      <c r="O38" s="116">
        <v>497.05599999999998</v>
      </c>
      <c r="P38" s="125">
        <v>483.065</v>
      </c>
      <c r="Q38" s="186"/>
      <c r="R38" s="187"/>
    </row>
    <row r="39" spans="1:18" x14ac:dyDescent="0.25">
      <c r="A39" s="7"/>
      <c r="B39" s="182" t="s">
        <v>77</v>
      </c>
      <c r="C39" s="116">
        <v>324.166</v>
      </c>
      <c r="D39" s="116">
        <v>95.489000000000004</v>
      </c>
      <c r="E39" s="116">
        <v>95.998000000000005</v>
      </c>
      <c r="F39" s="116">
        <v>13.601000000000001</v>
      </c>
      <c r="G39" s="116">
        <v>3.0819999999999999</v>
      </c>
      <c r="H39" s="116">
        <v>518.73500000000001</v>
      </c>
      <c r="I39" s="116">
        <v>1.57</v>
      </c>
      <c r="J39" s="116">
        <v>520.30499999999995</v>
      </c>
      <c r="K39" s="116">
        <v>145.18899999999999</v>
      </c>
      <c r="L39" s="116">
        <v>665.49400000000003</v>
      </c>
      <c r="M39" s="116">
        <v>161.12100000000001</v>
      </c>
      <c r="N39" s="116">
        <v>0</v>
      </c>
      <c r="O39" s="116">
        <v>504.37299999999999</v>
      </c>
      <c r="P39" s="125">
        <v>494.07799999999997</v>
      </c>
      <c r="Q39" s="186"/>
      <c r="R39" s="187"/>
    </row>
    <row r="40" spans="1:18" x14ac:dyDescent="0.25">
      <c r="A40" s="7"/>
      <c r="B40" s="182" t="s">
        <v>78</v>
      </c>
      <c r="C40" s="116">
        <v>326.33100000000002</v>
      </c>
      <c r="D40" s="116">
        <v>96.061000000000007</v>
      </c>
      <c r="E40" s="116">
        <v>94.334000000000003</v>
      </c>
      <c r="F40" s="116">
        <v>13.468999999999999</v>
      </c>
      <c r="G40" s="116">
        <v>-1.8080000000000001</v>
      </c>
      <c r="H40" s="116">
        <v>514.91800000000001</v>
      </c>
      <c r="I40" s="116">
        <v>1.38</v>
      </c>
      <c r="J40" s="116">
        <v>516.298</v>
      </c>
      <c r="K40" s="116">
        <v>155.197</v>
      </c>
      <c r="L40" s="116">
        <v>671.495</v>
      </c>
      <c r="M40" s="116">
        <v>160.81299999999999</v>
      </c>
      <c r="N40" s="116">
        <v>0</v>
      </c>
      <c r="O40" s="116">
        <v>510.68200000000002</v>
      </c>
      <c r="P40" s="125">
        <v>503.03899999999999</v>
      </c>
      <c r="Q40" s="186"/>
      <c r="R40" s="187"/>
    </row>
    <row r="41" spans="1:18" x14ac:dyDescent="0.25">
      <c r="A41" s="7"/>
      <c r="B41" s="182" t="s">
        <v>79</v>
      </c>
      <c r="C41" s="116">
        <v>329.53899999999999</v>
      </c>
      <c r="D41" s="116">
        <v>96.748000000000005</v>
      </c>
      <c r="E41" s="116">
        <v>95.611999999999995</v>
      </c>
      <c r="F41" s="116">
        <v>12.843</v>
      </c>
      <c r="G41" s="116">
        <v>-0.76300000000000001</v>
      </c>
      <c r="H41" s="116">
        <v>521.13599999999997</v>
      </c>
      <c r="I41" s="116">
        <v>2.1190000000000002</v>
      </c>
      <c r="J41" s="116">
        <v>523.255</v>
      </c>
      <c r="K41" s="116">
        <v>158.87799999999999</v>
      </c>
      <c r="L41" s="116">
        <v>682.13300000000004</v>
      </c>
      <c r="M41" s="116">
        <v>164.827</v>
      </c>
      <c r="N41" s="116">
        <v>0</v>
      </c>
      <c r="O41" s="116">
        <v>517.30600000000004</v>
      </c>
      <c r="P41" s="125">
        <v>512.79899999999998</v>
      </c>
      <c r="Q41" s="186"/>
      <c r="R41" s="187"/>
    </row>
    <row r="42" spans="1:18" x14ac:dyDescent="0.25">
      <c r="A42" s="7"/>
      <c r="B42" s="182" t="s">
        <v>80</v>
      </c>
      <c r="C42" s="116">
        <v>331.59800000000001</v>
      </c>
      <c r="D42" s="116">
        <v>96.055999999999997</v>
      </c>
      <c r="E42" s="116">
        <v>98.962999999999994</v>
      </c>
      <c r="F42" s="116">
        <v>15.031000000000001</v>
      </c>
      <c r="G42" s="116">
        <v>0.29799999999999999</v>
      </c>
      <c r="H42" s="116">
        <v>526.91499999999996</v>
      </c>
      <c r="I42" s="116">
        <v>2.218</v>
      </c>
      <c r="J42" s="116">
        <v>529.13300000000004</v>
      </c>
      <c r="K42" s="116">
        <v>161.673</v>
      </c>
      <c r="L42" s="116">
        <v>690.80600000000004</v>
      </c>
      <c r="M42" s="116">
        <v>169.19</v>
      </c>
      <c r="N42" s="116">
        <v>0</v>
      </c>
      <c r="O42" s="116">
        <v>521.61599999999999</v>
      </c>
      <c r="P42" s="125">
        <v>513.45299999999997</v>
      </c>
      <c r="Q42" s="186"/>
      <c r="R42" s="187"/>
    </row>
    <row r="43" spans="1:18" x14ac:dyDescent="0.25">
      <c r="A43" s="7"/>
      <c r="B43" s="182" t="s">
        <v>81</v>
      </c>
      <c r="C43" s="116">
        <v>335.02800000000002</v>
      </c>
      <c r="D43" s="116">
        <v>96.652000000000001</v>
      </c>
      <c r="E43" s="116">
        <v>100.236</v>
      </c>
      <c r="F43" s="116">
        <v>14.706</v>
      </c>
      <c r="G43" s="116">
        <v>0.20300000000000001</v>
      </c>
      <c r="H43" s="116">
        <v>532.11900000000003</v>
      </c>
      <c r="I43" s="116">
        <v>-0.33900000000000002</v>
      </c>
      <c r="J43" s="116">
        <v>531.78</v>
      </c>
      <c r="K43" s="116">
        <v>165.01900000000001</v>
      </c>
      <c r="L43" s="116">
        <v>696.79899999999998</v>
      </c>
      <c r="M43" s="116">
        <v>171.63800000000001</v>
      </c>
      <c r="N43" s="116">
        <v>0</v>
      </c>
      <c r="O43" s="116">
        <v>525.16099999999994</v>
      </c>
      <c r="P43" s="125">
        <v>520.35599999999999</v>
      </c>
      <c r="Q43" s="186"/>
      <c r="R43" s="187"/>
    </row>
    <row r="44" spans="1:18" x14ac:dyDescent="0.25">
      <c r="A44" s="7"/>
      <c r="B44" s="182" t="s">
        <v>82</v>
      </c>
      <c r="C44" s="116">
        <v>338.54399999999998</v>
      </c>
      <c r="D44" s="116">
        <v>97.875</v>
      </c>
      <c r="E44" s="116">
        <v>102.983</v>
      </c>
      <c r="F44" s="116">
        <v>14.994999999999999</v>
      </c>
      <c r="G44" s="116">
        <v>0.92600000000000005</v>
      </c>
      <c r="H44" s="116">
        <v>540.32799999999997</v>
      </c>
      <c r="I44" s="116">
        <v>-1.2210000000000001</v>
      </c>
      <c r="J44" s="116">
        <v>539.10699999999997</v>
      </c>
      <c r="K44" s="116">
        <v>164.02</v>
      </c>
      <c r="L44" s="116">
        <v>703.12699999999995</v>
      </c>
      <c r="M44" s="116">
        <v>169.988</v>
      </c>
      <c r="N44" s="116">
        <v>0</v>
      </c>
      <c r="O44" s="116">
        <v>533.13900000000001</v>
      </c>
      <c r="P44" s="125">
        <v>528.21100000000001</v>
      </c>
      <c r="Q44" s="186"/>
      <c r="R44" s="187"/>
    </row>
    <row r="45" spans="1:18" x14ac:dyDescent="0.25">
      <c r="A45" s="7"/>
      <c r="B45" s="182" t="s">
        <v>83</v>
      </c>
      <c r="C45" s="116">
        <v>343.12900000000002</v>
      </c>
      <c r="D45" s="116">
        <v>98.460999999999999</v>
      </c>
      <c r="E45" s="116">
        <v>101.518</v>
      </c>
      <c r="F45" s="116">
        <v>14.726000000000001</v>
      </c>
      <c r="G45" s="116">
        <v>0.192</v>
      </c>
      <c r="H45" s="116">
        <v>543.29999999999995</v>
      </c>
      <c r="I45" s="116">
        <v>-1.627</v>
      </c>
      <c r="J45" s="116">
        <v>541.673</v>
      </c>
      <c r="K45" s="116">
        <v>167.58500000000001</v>
      </c>
      <c r="L45" s="116">
        <v>709.25800000000004</v>
      </c>
      <c r="M45" s="116">
        <v>174.095</v>
      </c>
      <c r="N45" s="116">
        <v>0</v>
      </c>
      <c r="O45" s="116">
        <v>535.16300000000001</v>
      </c>
      <c r="P45" s="125">
        <v>526.577</v>
      </c>
      <c r="Q45" s="186"/>
      <c r="R45" s="187"/>
    </row>
    <row r="46" spans="1:18" x14ac:dyDescent="0.25">
      <c r="A46" s="7"/>
      <c r="B46" s="182" t="s">
        <v>84</v>
      </c>
      <c r="C46" s="116">
        <v>343.88600000000002</v>
      </c>
      <c r="D46" s="116">
        <v>98.819000000000003</v>
      </c>
      <c r="E46" s="116">
        <v>100.328</v>
      </c>
      <c r="F46" s="116">
        <v>13.891999999999999</v>
      </c>
      <c r="G46" s="116">
        <v>1.2529999999999999</v>
      </c>
      <c r="H46" s="116">
        <v>544.28599999999994</v>
      </c>
      <c r="I46" s="116">
        <v>1.23</v>
      </c>
      <c r="J46" s="116">
        <v>545.51599999999996</v>
      </c>
      <c r="K46" s="116">
        <v>173.05699999999999</v>
      </c>
      <c r="L46" s="116">
        <v>718.57299999999998</v>
      </c>
      <c r="M46" s="116">
        <v>177.85400000000001</v>
      </c>
      <c r="N46" s="116">
        <v>0</v>
      </c>
      <c r="O46" s="116">
        <v>540.71900000000005</v>
      </c>
      <c r="P46" s="125">
        <v>534.41700000000003</v>
      </c>
      <c r="Q46" s="186"/>
      <c r="R46" s="187"/>
    </row>
    <row r="47" spans="1:18" x14ac:dyDescent="0.25">
      <c r="A47" s="7"/>
      <c r="B47" s="182" t="s">
        <v>85</v>
      </c>
      <c r="C47" s="116">
        <v>348.88600000000002</v>
      </c>
      <c r="D47" s="116">
        <v>99.552000000000007</v>
      </c>
      <c r="E47" s="116">
        <v>101.273</v>
      </c>
      <c r="F47" s="116">
        <v>14.925000000000001</v>
      </c>
      <c r="G47" s="116">
        <v>1.06</v>
      </c>
      <c r="H47" s="116">
        <v>550.77099999999996</v>
      </c>
      <c r="I47" s="116">
        <v>-1.37</v>
      </c>
      <c r="J47" s="116">
        <v>549.40099999999995</v>
      </c>
      <c r="K47" s="116">
        <v>175.87799999999999</v>
      </c>
      <c r="L47" s="116">
        <v>725.279</v>
      </c>
      <c r="M47" s="116">
        <v>180.119</v>
      </c>
      <c r="N47" s="116">
        <v>0</v>
      </c>
      <c r="O47" s="116">
        <v>545.16</v>
      </c>
      <c r="P47" s="125">
        <v>537.97699999999998</v>
      </c>
      <c r="Q47" s="186"/>
      <c r="R47" s="187"/>
    </row>
    <row r="48" spans="1:18" x14ac:dyDescent="0.25">
      <c r="A48" s="7"/>
      <c r="B48" s="182" t="s">
        <v>86</v>
      </c>
      <c r="C48" s="116">
        <v>354.00700000000001</v>
      </c>
      <c r="D48" s="116">
        <v>100.98699999999999</v>
      </c>
      <c r="E48" s="116">
        <v>102.748</v>
      </c>
      <c r="F48" s="116">
        <v>14.842000000000001</v>
      </c>
      <c r="G48" s="116">
        <v>5.8999999999999997E-2</v>
      </c>
      <c r="H48" s="116">
        <v>557.80100000000004</v>
      </c>
      <c r="I48" s="116">
        <v>3.242</v>
      </c>
      <c r="J48" s="116">
        <v>561.04300000000001</v>
      </c>
      <c r="K48" s="116">
        <v>175.22</v>
      </c>
      <c r="L48" s="116">
        <v>736.26300000000003</v>
      </c>
      <c r="M48" s="116">
        <v>185.74600000000001</v>
      </c>
      <c r="N48" s="116">
        <v>0</v>
      </c>
      <c r="O48" s="116">
        <v>550.51700000000005</v>
      </c>
      <c r="P48" s="125">
        <v>543.33399999999995</v>
      </c>
      <c r="Q48" s="186"/>
      <c r="R48" s="187"/>
    </row>
    <row r="49" spans="1:18" x14ac:dyDescent="0.25">
      <c r="A49" s="7"/>
      <c r="B49" s="182" t="s">
        <v>87</v>
      </c>
      <c r="C49" s="116">
        <v>353.76</v>
      </c>
      <c r="D49" s="116">
        <v>102.547</v>
      </c>
      <c r="E49" s="116">
        <v>106.276</v>
      </c>
      <c r="F49" s="116">
        <v>16.18</v>
      </c>
      <c r="G49" s="116">
        <v>11.33</v>
      </c>
      <c r="H49" s="116">
        <v>573.91300000000001</v>
      </c>
      <c r="I49" s="116">
        <v>5.4660000000000002</v>
      </c>
      <c r="J49" s="116">
        <v>579.37900000000002</v>
      </c>
      <c r="K49" s="116">
        <v>174.01900000000001</v>
      </c>
      <c r="L49" s="116">
        <v>753.39800000000002</v>
      </c>
      <c r="M49" s="116">
        <v>199.41399999999999</v>
      </c>
      <c r="N49" s="116">
        <v>0</v>
      </c>
      <c r="O49" s="116">
        <v>553.98400000000004</v>
      </c>
      <c r="P49" s="125">
        <v>553.41300000000001</v>
      </c>
      <c r="Q49" s="186"/>
      <c r="R49" s="187"/>
    </row>
    <row r="50" spans="1:18" x14ac:dyDescent="0.25">
      <c r="A50" s="7"/>
      <c r="B50" s="182" t="s">
        <v>88</v>
      </c>
      <c r="C50" s="116">
        <v>356.42099999999999</v>
      </c>
      <c r="D50" s="116">
        <v>106.107</v>
      </c>
      <c r="E50" s="116">
        <v>106.02500000000001</v>
      </c>
      <c r="F50" s="116">
        <v>14.984999999999999</v>
      </c>
      <c r="G50" s="116">
        <v>1.8129999999999999</v>
      </c>
      <c r="H50" s="116">
        <v>570.36599999999999</v>
      </c>
      <c r="I50" s="116">
        <v>-0.10299999999999999</v>
      </c>
      <c r="J50" s="116">
        <v>570.26300000000003</v>
      </c>
      <c r="K50" s="116">
        <v>172.322</v>
      </c>
      <c r="L50" s="116">
        <v>742.58500000000004</v>
      </c>
      <c r="M50" s="116">
        <v>181.59</v>
      </c>
      <c r="N50" s="116">
        <v>0</v>
      </c>
      <c r="O50" s="116">
        <v>560.995</v>
      </c>
      <c r="P50" s="125">
        <v>563.64200000000005</v>
      </c>
      <c r="Q50" s="186"/>
      <c r="R50" s="187"/>
    </row>
    <row r="51" spans="1:18" x14ac:dyDescent="0.25">
      <c r="A51" s="7"/>
      <c r="B51" s="182" t="s">
        <v>89</v>
      </c>
      <c r="C51" s="116">
        <v>357.90899999999999</v>
      </c>
      <c r="D51" s="116">
        <v>107.613</v>
      </c>
      <c r="E51" s="116">
        <v>106.964</v>
      </c>
      <c r="F51" s="116">
        <v>15.49</v>
      </c>
      <c r="G51" s="116">
        <v>1.353</v>
      </c>
      <c r="H51" s="116">
        <v>573.83900000000006</v>
      </c>
      <c r="I51" s="116">
        <v>-2.7160000000000002</v>
      </c>
      <c r="J51" s="116">
        <v>571.12300000000005</v>
      </c>
      <c r="K51" s="116">
        <v>183.49700000000001</v>
      </c>
      <c r="L51" s="116">
        <v>754.62</v>
      </c>
      <c r="M51" s="116">
        <v>187.16900000000001</v>
      </c>
      <c r="N51" s="116">
        <v>0</v>
      </c>
      <c r="O51" s="116">
        <v>567.45100000000002</v>
      </c>
      <c r="P51" s="125">
        <v>564.89099999999996</v>
      </c>
      <c r="Q51" s="186"/>
      <c r="R51" s="187"/>
    </row>
    <row r="52" spans="1:18" x14ac:dyDescent="0.25">
      <c r="A52" s="7"/>
      <c r="B52" s="182" t="s">
        <v>90</v>
      </c>
      <c r="C52" s="116">
        <v>357.45400000000001</v>
      </c>
      <c r="D52" s="116">
        <v>109.432</v>
      </c>
      <c r="E52" s="116">
        <v>104.997</v>
      </c>
      <c r="F52" s="116">
        <v>15.590999999999999</v>
      </c>
      <c r="G52" s="116">
        <v>-11.914</v>
      </c>
      <c r="H52" s="116">
        <v>559.96900000000005</v>
      </c>
      <c r="I52" s="116">
        <v>-0.78600000000000003</v>
      </c>
      <c r="J52" s="116">
        <v>559.18299999999999</v>
      </c>
      <c r="K52" s="116">
        <v>188.92099999999999</v>
      </c>
      <c r="L52" s="116">
        <v>748.10400000000004</v>
      </c>
      <c r="M52" s="116">
        <v>177.57300000000001</v>
      </c>
      <c r="N52" s="116">
        <v>0</v>
      </c>
      <c r="O52" s="116">
        <v>570.53099999999995</v>
      </c>
      <c r="P52" s="125">
        <v>568.75599999999997</v>
      </c>
      <c r="Q52" s="186"/>
      <c r="R52" s="187"/>
    </row>
    <row r="53" spans="1:18" x14ac:dyDescent="0.25">
      <c r="A53" s="7"/>
      <c r="B53" s="152" t="s">
        <v>91</v>
      </c>
      <c r="C53" s="116">
        <v>345.47</v>
      </c>
      <c r="D53" s="116">
        <v>108.89</v>
      </c>
      <c r="E53" s="116">
        <v>102.729</v>
      </c>
      <c r="F53" s="116">
        <v>14.808999999999999</v>
      </c>
      <c r="G53" s="116">
        <v>0.79</v>
      </c>
      <c r="H53" s="116">
        <v>557.87900000000002</v>
      </c>
      <c r="I53" s="116">
        <v>-0.90500000000000003</v>
      </c>
      <c r="J53" s="116">
        <v>556.97400000000005</v>
      </c>
      <c r="K53" s="116">
        <v>173.64699999999999</v>
      </c>
      <c r="L53" s="116">
        <v>730.62099999999998</v>
      </c>
      <c r="M53" s="116">
        <v>171.256</v>
      </c>
      <c r="N53" s="116">
        <v>0</v>
      </c>
      <c r="O53" s="116">
        <v>559.36500000000001</v>
      </c>
      <c r="P53" s="125">
        <v>550.59299999999996</v>
      </c>
      <c r="Q53" s="186"/>
      <c r="R53" s="187"/>
    </row>
    <row r="54" spans="1:18" x14ac:dyDescent="0.25">
      <c r="A54" s="7"/>
      <c r="B54" s="152" t="s">
        <v>92</v>
      </c>
      <c r="C54" s="116">
        <v>266.63</v>
      </c>
      <c r="D54" s="116">
        <v>121.05</v>
      </c>
      <c r="E54" s="116">
        <v>84.421000000000006</v>
      </c>
      <c r="F54" s="116">
        <v>16.869</v>
      </c>
      <c r="G54" s="116">
        <v>-9.1370000000000005</v>
      </c>
      <c r="H54" s="116">
        <v>462.964</v>
      </c>
      <c r="I54" s="116">
        <v>-4.1260000000000003</v>
      </c>
      <c r="J54" s="116">
        <v>458.83800000000002</v>
      </c>
      <c r="K54" s="116">
        <v>149.42400000000001</v>
      </c>
      <c r="L54" s="116">
        <v>608.26199999999994</v>
      </c>
      <c r="M54" s="116">
        <v>127.035</v>
      </c>
      <c r="N54" s="116">
        <v>0</v>
      </c>
      <c r="O54" s="116">
        <v>481.22699999999998</v>
      </c>
      <c r="P54" s="125">
        <v>459.57299999999998</v>
      </c>
      <c r="Q54" s="186"/>
      <c r="R54" s="187"/>
    </row>
    <row r="55" spans="1:18" x14ac:dyDescent="0.25">
      <c r="A55" s="7"/>
      <c r="B55" s="152" t="s">
        <v>93</v>
      </c>
      <c r="C55" s="116">
        <v>319.62400000000002</v>
      </c>
      <c r="D55" s="116">
        <v>120.735</v>
      </c>
      <c r="E55" s="116">
        <v>97.676000000000002</v>
      </c>
      <c r="F55" s="116">
        <v>16.934999999999999</v>
      </c>
      <c r="G55" s="116">
        <v>1.109</v>
      </c>
      <c r="H55" s="116">
        <v>539.14400000000001</v>
      </c>
      <c r="I55" s="116">
        <v>-0.73499999999999999</v>
      </c>
      <c r="J55" s="116">
        <v>538.40899999999999</v>
      </c>
      <c r="K55" s="116">
        <v>151.12299999999999</v>
      </c>
      <c r="L55" s="116">
        <v>689.53200000000004</v>
      </c>
      <c r="M55" s="116">
        <v>149.21299999999999</v>
      </c>
      <c r="N55" s="116">
        <v>0</v>
      </c>
      <c r="O55" s="116">
        <v>540.31899999999996</v>
      </c>
      <c r="P55" s="125">
        <v>534.17700000000002</v>
      </c>
      <c r="Q55" s="186"/>
      <c r="R55" s="187"/>
    </row>
    <row r="56" spans="1:18" x14ac:dyDescent="0.25">
      <c r="A56" s="7"/>
      <c r="B56" s="152" t="s">
        <v>94</v>
      </c>
      <c r="C56" s="116">
        <v>314.685</v>
      </c>
      <c r="D56" s="116">
        <v>123.554</v>
      </c>
      <c r="E56" s="116">
        <v>102.333</v>
      </c>
      <c r="F56" s="116">
        <v>17.327999999999999</v>
      </c>
      <c r="G56" s="116">
        <v>7.4989999999999997</v>
      </c>
      <c r="H56" s="116">
        <v>548.07100000000003</v>
      </c>
      <c r="I56" s="116">
        <v>6.76</v>
      </c>
      <c r="J56" s="116">
        <v>554.83100000000002</v>
      </c>
      <c r="K56" s="116">
        <v>162.131</v>
      </c>
      <c r="L56" s="116">
        <v>716.96199999999999</v>
      </c>
      <c r="M56" s="116">
        <v>173.15299999999999</v>
      </c>
      <c r="N56" s="116">
        <v>0</v>
      </c>
      <c r="O56" s="116">
        <v>543.80899999999997</v>
      </c>
      <c r="P56" s="125">
        <v>535.404</v>
      </c>
      <c r="Q56" s="186"/>
      <c r="R56" s="187"/>
    </row>
    <row r="57" spans="1:18" x14ac:dyDescent="0.25">
      <c r="A57" s="7"/>
      <c r="B57" s="152" t="s">
        <v>95</v>
      </c>
      <c r="C57" s="116">
        <v>305.93</v>
      </c>
      <c r="D57" s="116">
        <v>129.256</v>
      </c>
      <c r="E57" s="116">
        <v>100.598</v>
      </c>
      <c r="F57" s="116">
        <v>16.335999999999999</v>
      </c>
      <c r="G57" s="116">
        <v>8.42</v>
      </c>
      <c r="H57" s="116">
        <v>544.20399999999995</v>
      </c>
      <c r="I57" s="116">
        <v>0.84499999999999997</v>
      </c>
      <c r="J57" s="116">
        <v>545.04899999999998</v>
      </c>
      <c r="K57" s="116">
        <v>158.67400000000001</v>
      </c>
      <c r="L57" s="116">
        <v>703.72299999999996</v>
      </c>
      <c r="M57" s="116">
        <v>158.607</v>
      </c>
      <c r="N57" s="116">
        <v>0</v>
      </c>
      <c r="O57" s="116">
        <v>545.11599999999999</v>
      </c>
      <c r="P57" s="125">
        <v>545.34199999999998</v>
      </c>
      <c r="Q57" s="186"/>
      <c r="R57" s="187"/>
    </row>
    <row r="58" spans="1:18" x14ac:dyDescent="0.25">
      <c r="A58" s="7"/>
      <c r="B58" s="152" t="s">
        <v>96</v>
      </c>
      <c r="C58" s="116">
        <v>342.39299999999997</v>
      </c>
      <c r="D58" s="116">
        <v>126.02</v>
      </c>
      <c r="E58" s="116">
        <v>104.73099999999999</v>
      </c>
      <c r="F58" s="116">
        <v>18.106999999999999</v>
      </c>
      <c r="G58" s="116">
        <v>-0.80700000000000005</v>
      </c>
      <c r="H58" s="116">
        <v>572.33699999999999</v>
      </c>
      <c r="I58" s="116">
        <v>-5.0629999999999997</v>
      </c>
      <c r="J58" s="116">
        <v>567.274</v>
      </c>
      <c r="K58" s="116">
        <v>169.96100000000001</v>
      </c>
      <c r="L58" s="116">
        <v>737.23500000000001</v>
      </c>
      <c r="M58" s="116">
        <v>160.71</v>
      </c>
      <c r="N58" s="116">
        <v>0</v>
      </c>
      <c r="O58" s="116">
        <v>576.52499999999998</v>
      </c>
      <c r="P58" s="125">
        <v>576.41800000000001</v>
      </c>
      <c r="Q58" s="186"/>
      <c r="R58" s="187"/>
    </row>
    <row r="59" spans="1:18" x14ac:dyDescent="0.25">
      <c r="A59" s="7"/>
      <c r="B59" s="152" t="s">
        <v>97</v>
      </c>
      <c r="C59" s="116">
        <v>358.38600000000002</v>
      </c>
      <c r="D59" s="116">
        <v>126.002</v>
      </c>
      <c r="E59" s="116">
        <v>111.846</v>
      </c>
      <c r="F59" s="116">
        <v>18.715</v>
      </c>
      <c r="G59" s="116">
        <v>3.452</v>
      </c>
      <c r="H59" s="116">
        <v>599.68600000000004</v>
      </c>
      <c r="I59" s="116">
        <v>1.78</v>
      </c>
      <c r="J59" s="116">
        <v>601.46600000000001</v>
      </c>
      <c r="K59" s="116">
        <v>164.035</v>
      </c>
      <c r="L59" s="116">
        <v>765.50099999999998</v>
      </c>
      <c r="M59" s="116">
        <v>172.79400000000001</v>
      </c>
      <c r="N59" s="116">
        <v>0</v>
      </c>
      <c r="O59" s="116">
        <v>592.70699999999999</v>
      </c>
      <c r="P59" s="125">
        <v>591.18200000000002</v>
      </c>
      <c r="Q59" s="186"/>
      <c r="R59" s="187"/>
    </row>
    <row r="60" spans="1:18" x14ac:dyDescent="0.25">
      <c r="A60" s="7"/>
      <c r="B60" s="152" t="s">
        <v>98</v>
      </c>
      <c r="C60" s="116">
        <v>367.46199999999999</v>
      </c>
      <c r="D60" s="116">
        <v>127.312</v>
      </c>
      <c r="E60" s="116">
        <v>113.366</v>
      </c>
      <c r="F60" s="116">
        <v>18.436</v>
      </c>
      <c r="G60" s="116">
        <v>-3.1640000000000001</v>
      </c>
      <c r="H60" s="116">
        <v>604.976</v>
      </c>
      <c r="I60" s="116">
        <v>2.948</v>
      </c>
      <c r="J60" s="116">
        <v>607.92399999999998</v>
      </c>
      <c r="K60" s="116">
        <v>187.62100000000001</v>
      </c>
      <c r="L60" s="116">
        <v>795.54499999999996</v>
      </c>
      <c r="M60" s="116">
        <v>187.24100000000001</v>
      </c>
      <c r="N60" s="116">
        <v>0</v>
      </c>
      <c r="O60" s="116">
        <v>608.30399999999997</v>
      </c>
      <c r="P60" s="125">
        <v>609.846</v>
      </c>
      <c r="Q60" s="186"/>
      <c r="R60" s="187"/>
    </row>
    <row r="61" spans="1:18" x14ac:dyDescent="0.25">
      <c r="A61" s="7"/>
      <c r="B61" s="152" t="s">
        <v>99</v>
      </c>
      <c r="C61" s="116">
        <v>379.01499999999999</v>
      </c>
      <c r="D61" s="116">
        <v>134.03</v>
      </c>
      <c r="E61" s="116">
        <v>117.18</v>
      </c>
      <c r="F61" s="116">
        <v>19.254999999999999</v>
      </c>
      <c r="G61" s="116">
        <v>8.2379999999999995</v>
      </c>
      <c r="H61" s="116">
        <v>638.46299999999997</v>
      </c>
      <c r="I61" s="116">
        <v>9.9459999999999997</v>
      </c>
      <c r="J61" s="116">
        <v>648.40899999999999</v>
      </c>
      <c r="K61" s="116">
        <v>187.679</v>
      </c>
      <c r="L61" s="116">
        <v>836.08799999999997</v>
      </c>
      <c r="M61" s="116">
        <v>213.07400000000001</v>
      </c>
      <c r="N61" s="116">
        <v>0</v>
      </c>
      <c r="O61" s="116">
        <v>623.01400000000001</v>
      </c>
      <c r="P61" s="125">
        <v>617.91099999999994</v>
      </c>
      <c r="Q61" s="186"/>
      <c r="R61" s="187"/>
    </row>
    <row r="62" spans="1:18" x14ac:dyDescent="0.25">
      <c r="A62" s="7"/>
      <c r="B62" s="152" t="s">
        <v>100</v>
      </c>
      <c r="C62" s="116">
        <v>399.44400000000002</v>
      </c>
      <c r="D62" s="116">
        <v>129.70400000000001</v>
      </c>
      <c r="E62" s="116">
        <v>120.88500000000001</v>
      </c>
      <c r="F62" s="116">
        <v>18.425000000000001</v>
      </c>
      <c r="G62" s="116">
        <v>2.226</v>
      </c>
      <c r="H62" s="116">
        <v>652.25900000000001</v>
      </c>
      <c r="I62" s="116">
        <v>5.5039999999999996</v>
      </c>
      <c r="J62" s="116">
        <v>657.76300000000003</v>
      </c>
      <c r="K62" s="116">
        <v>211.93899999999999</v>
      </c>
      <c r="L62" s="116">
        <v>869.702</v>
      </c>
      <c r="M62" s="116">
        <v>230.40899999999999</v>
      </c>
      <c r="N62" s="116">
        <v>0</v>
      </c>
      <c r="O62" s="116">
        <v>639.29300000000001</v>
      </c>
      <c r="P62" s="125">
        <v>648.00400000000002</v>
      </c>
      <c r="Q62" s="186"/>
      <c r="R62" s="187"/>
    </row>
    <row r="63" spans="1:18" x14ac:dyDescent="0.25">
      <c r="A63" s="7"/>
      <c r="B63" s="152" t="s">
        <v>101</v>
      </c>
      <c r="C63" s="116">
        <v>406.589</v>
      </c>
      <c r="D63" s="116">
        <v>132.374</v>
      </c>
      <c r="E63" s="116">
        <v>125.15600000000001</v>
      </c>
      <c r="F63" s="116">
        <v>20.207999999999998</v>
      </c>
      <c r="G63" s="116">
        <v>-12.465999999999999</v>
      </c>
      <c r="H63" s="116">
        <v>651.65300000000002</v>
      </c>
      <c r="I63" s="116">
        <v>-6.46</v>
      </c>
      <c r="J63" s="116">
        <v>645.19299999999998</v>
      </c>
      <c r="K63" s="116">
        <v>235.34800000000001</v>
      </c>
      <c r="L63" s="116">
        <v>880.54100000000005</v>
      </c>
      <c r="M63" s="116">
        <v>230.30799999999999</v>
      </c>
      <c r="N63" s="116">
        <v>0</v>
      </c>
      <c r="O63" s="116">
        <v>650.23299999999995</v>
      </c>
      <c r="P63" s="125">
        <v>647.87800000000004</v>
      </c>
      <c r="Q63" s="186"/>
      <c r="R63" s="187"/>
    </row>
    <row r="64" spans="1:18" x14ac:dyDescent="0.25">
      <c r="A64" s="7"/>
      <c r="B64" s="152" t="s">
        <v>102</v>
      </c>
      <c r="C64" s="116">
        <v>419.54599999999999</v>
      </c>
      <c r="D64" s="116">
        <v>134.471</v>
      </c>
      <c r="E64" s="116">
        <v>127.22799999999999</v>
      </c>
      <c r="F64" s="116">
        <v>21.056000000000001</v>
      </c>
      <c r="G64" s="116">
        <v>-17.942</v>
      </c>
      <c r="H64" s="116">
        <v>663.303</v>
      </c>
      <c r="I64" s="116">
        <v>-5.9720000000000004</v>
      </c>
      <c r="J64" s="116">
        <v>657.33100000000002</v>
      </c>
      <c r="K64" s="116">
        <v>244.155</v>
      </c>
      <c r="L64" s="116">
        <v>901.48599999999999</v>
      </c>
      <c r="M64" s="116">
        <v>233.077</v>
      </c>
      <c r="N64" s="116">
        <v>0</v>
      </c>
      <c r="O64" s="116">
        <v>668.40899999999999</v>
      </c>
      <c r="P64" s="125">
        <v>668.52200000000005</v>
      </c>
      <c r="Q64" s="186"/>
      <c r="R64" s="187"/>
    </row>
    <row r="65" spans="1:18" x14ac:dyDescent="0.25">
      <c r="A65" s="7"/>
      <c r="B65" s="47" t="s">
        <v>103</v>
      </c>
      <c r="C65" s="116">
        <v>425.13600000000002</v>
      </c>
      <c r="D65" s="116">
        <v>135.232</v>
      </c>
      <c r="E65" s="116">
        <v>132.00200000000001</v>
      </c>
      <c r="F65" s="116">
        <v>22.754999999999999</v>
      </c>
      <c r="G65" s="116">
        <v>-5.952</v>
      </c>
      <c r="H65" s="116">
        <v>686.41800000000001</v>
      </c>
      <c r="I65" s="116">
        <v>-3.0819999999999999</v>
      </c>
      <c r="J65" s="116">
        <v>683.33600000000001</v>
      </c>
      <c r="K65" s="116">
        <v>227.33500000000001</v>
      </c>
      <c r="L65" s="116">
        <v>910.67100000000005</v>
      </c>
      <c r="M65" s="116">
        <v>231.477</v>
      </c>
      <c r="N65" s="116">
        <v>0</v>
      </c>
      <c r="O65" s="116">
        <v>679.19399999999996</v>
      </c>
      <c r="P65" s="125">
        <v>668.90300000000002</v>
      </c>
      <c r="Q65" s="186"/>
      <c r="R65" s="187"/>
    </row>
    <row r="66" spans="1:18" x14ac:dyDescent="0.25">
      <c r="A66" s="7"/>
      <c r="B66" s="47" t="s">
        <v>104</v>
      </c>
      <c r="C66" s="116">
        <v>429.91199999999998</v>
      </c>
      <c r="D66" s="116">
        <v>142.59200000000001</v>
      </c>
      <c r="E66" s="116">
        <v>130.23699999999999</v>
      </c>
      <c r="F66" s="116">
        <v>20.843</v>
      </c>
      <c r="G66" s="116">
        <v>-3.8010000000000002</v>
      </c>
      <c r="H66" s="116">
        <v>698.94</v>
      </c>
      <c r="I66" s="116">
        <v>-0.29899999999999999</v>
      </c>
      <c r="J66" s="116">
        <v>698.64099999999996</v>
      </c>
      <c r="K66" s="116">
        <v>221.33</v>
      </c>
      <c r="L66" s="116">
        <v>919.971</v>
      </c>
      <c r="M66" s="116">
        <v>230.35300000000001</v>
      </c>
      <c r="N66" s="116">
        <v>0</v>
      </c>
      <c r="O66" s="116">
        <v>689.61800000000005</v>
      </c>
      <c r="P66" s="125">
        <v>669.26499999999999</v>
      </c>
      <c r="Q66" s="186"/>
      <c r="R66" s="187"/>
    </row>
    <row r="67" spans="1:18" x14ac:dyDescent="0.25">
      <c r="A67" s="7"/>
      <c r="B67" s="47" t="s">
        <v>105</v>
      </c>
      <c r="C67" s="116">
        <v>426.84500000000003</v>
      </c>
      <c r="D67" s="116">
        <v>143.673</v>
      </c>
      <c r="E67" s="116">
        <v>128.511</v>
      </c>
      <c r="F67" s="116">
        <v>21.963999999999999</v>
      </c>
      <c r="G67" s="116">
        <v>-1.3819999999999999</v>
      </c>
      <c r="H67" s="116">
        <v>697.64700000000005</v>
      </c>
      <c r="I67" s="116">
        <v>2</v>
      </c>
      <c r="J67" s="116">
        <v>699.64700000000005</v>
      </c>
      <c r="K67" s="116">
        <v>215.46600000000001</v>
      </c>
      <c r="L67" s="116">
        <v>915.11300000000006</v>
      </c>
      <c r="M67" s="116">
        <v>222.131</v>
      </c>
      <c r="N67" s="116">
        <v>0</v>
      </c>
      <c r="O67" s="116">
        <v>692.98199999999997</v>
      </c>
      <c r="P67" s="125">
        <v>688.95299999999997</v>
      </c>
      <c r="Q67" s="186"/>
      <c r="R67" s="187"/>
    </row>
    <row r="68" spans="1:18" x14ac:dyDescent="0.25">
      <c r="A68" s="7"/>
      <c r="B68" s="47" t="s">
        <v>106</v>
      </c>
      <c r="C68" s="116">
        <v>427.01</v>
      </c>
      <c r="D68" s="116">
        <v>145.87200000000001</v>
      </c>
      <c r="E68" s="116">
        <v>129.34100000000001</v>
      </c>
      <c r="F68" s="116">
        <v>22.67</v>
      </c>
      <c r="G68" s="116">
        <v>-2.2069999999999999</v>
      </c>
      <c r="H68" s="116">
        <v>700.01599999999996</v>
      </c>
      <c r="I68" s="116">
        <v>2.665</v>
      </c>
      <c r="J68" s="116">
        <v>702.68100000000004</v>
      </c>
      <c r="K68" s="116">
        <v>214.14699999999999</v>
      </c>
      <c r="L68" s="116">
        <v>916.82799999999997</v>
      </c>
      <c r="M68" s="116">
        <v>226.458</v>
      </c>
      <c r="N68" s="116">
        <v>0</v>
      </c>
      <c r="O68" s="116">
        <v>690.37</v>
      </c>
      <c r="P68" s="125">
        <v>679.09500000000003</v>
      </c>
      <c r="Q68" s="186"/>
      <c r="R68" s="187"/>
    </row>
    <row r="69" spans="1:18" x14ac:dyDescent="0.25">
      <c r="A69" s="7"/>
      <c r="B69" s="47" t="s">
        <v>107</v>
      </c>
      <c r="C69" s="116">
        <v>433.50299999999999</v>
      </c>
      <c r="D69" s="116">
        <v>146.16399999999999</v>
      </c>
      <c r="E69" s="116">
        <v>131.596</v>
      </c>
      <c r="F69" s="116">
        <v>23.143999999999998</v>
      </c>
      <c r="G69" s="116">
        <v>-2.3780000000000001</v>
      </c>
      <c r="H69" s="116">
        <v>708.88499999999999</v>
      </c>
      <c r="I69" s="116">
        <v>1.329</v>
      </c>
      <c r="J69" s="116">
        <v>710.21400000000006</v>
      </c>
      <c r="K69" s="116">
        <v>217.273</v>
      </c>
      <c r="L69" s="116">
        <v>927.48699999999997</v>
      </c>
      <c r="M69" s="116">
        <v>221.79400000000001</v>
      </c>
      <c r="N69" s="116">
        <v>-0.65300000000000002</v>
      </c>
      <c r="O69" s="116">
        <v>705.04</v>
      </c>
      <c r="P69" s="125">
        <v>694.50699999999995</v>
      </c>
      <c r="Q69" s="186"/>
      <c r="R69" s="187"/>
    </row>
    <row r="70" spans="1:18" x14ac:dyDescent="0.25">
      <c r="A70" s="7"/>
      <c r="B70" s="47" t="s">
        <v>108</v>
      </c>
      <c r="C70" s="116">
        <v>435.71</v>
      </c>
      <c r="D70" s="116">
        <v>149.477</v>
      </c>
      <c r="E70" s="116">
        <v>133.90299999999999</v>
      </c>
      <c r="F70" s="116">
        <v>22.456</v>
      </c>
      <c r="G70" s="116">
        <v>6.9379999999999997</v>
      </c>
      <c r="H70" s="116">
        <v>726.02800000000002</v>
      </c>
      <c r="I70" s="116">
        <v>4.1239999999999997</v>
      </c>
      <c r="J70" s="116">
        <v>730.15200000000004</v>
      </c>
      <c r="K70" s="116">
        <v>224.55799999999999</v>
      </c>
      <c r="L70" s="116">
        <v>954.71</v>
      </c>
      <c r="M70" s="116">
        <v>235.84399999999999</v>
      </c>
      <c r="N70" s="116">
        <v>-1.022</v>
      </c>
      <c r="O70" s="116">
        <v>717.84400000000005</v>
      </c>
      <c r="P70" s="125">
        <v>709.37300000000005</v>
      </c>
      <c r="Q70" s="186"/>
      <c r="R70" s="187"/>
    </row>
    <row r="71" spans="1:18" x14ac:dyDescent="0.25">
      <c r="A71" s="7"/>
      <c r="B71" s="47" t="s">
        <v>109</v>
      </c>
      <c r="C71" s="116">
        <v>440.93299999999999</v>
      </c>
      <c r="D71" s="116">
        <v>151.565</v>
      </c>
      <c r="E71" s="116">
        <v>137.017</v>
      </c>
      <c r="F71" s="116">
        <v>24.141999999999999</v>
      </c>
      <c r="G71" s="116">
        <v>-1.1859999999999999</v>
      </c>
      <c r="H71" s="116">
        <v>728.32899999999995</v>
      </c>
      <c r="I71" s="116">
        <v>1.7</v>
      </c>
      <c r="J71" s="116">
        <v>730.029</v>
      </c>
      <c r="K71" s="116">
        <v>226.887</v>
      </c>
      <c r="L71" s="116">
        <v>956.91600000000005</v>
      </c>
      <c r="M71" s="116">
        <v>225.39500000000001</v>
      </c>
      <c r="N71" s="116">
        <v>-1.4590000000000001</v>
      </c>
      <c r="O71" s="116">
        <v>730.06200000000001</v>
      </c>
      <c r="P71" s="125">
        <v>716.60400000000004</v>
      </c>
      <c r="Q71" s="186"/>
      <c r="R71" s="187"/>
    </row>
    <row r="72" spans="1:18" x14ac:dyDescent="0.25">
      <c r="A72" s="7"/>
      <c r="B72" s="47" t="s">
        <v>110</v>
      </c>
      <c r="C72" s="116">
        <v>446.096</v>
      </c>
      <c r="D72" s="116">
        <v>157.20699999999999</v>
      </c>
      <c r="E72" s="116">
        <v>137.32</v>
      </c>
      <c r="F72" s="116">
        <v>24.164000000000001</v>
      </c>
      <c r="G72" s="116">
        <v>3.1429999999999998</v>
      </c>
      <c r="H72" s="116">
        <v>743.76599999999996</v>
      </c>
      <c r="I72" s="116">
        <v>1.859</v>
      </c>
      <c r="J72" s="116">
        <v>745.625</v>
      </c>
      <c r="K72" s="116">
        <v>228.25299999999999</v>
      </c>
      <c r="L72" s="116">
        <v>973.87800000000004</v>
      </c>
      <c r="M72" s="116">
        <v>234.702</v>
      </c>
      <c r="N72" s="116">
        <v>-1.8680000000000001</v>
      </c>
      <c r="O72" s="116">
        <v>737.30799999999999</v>
      </c>
      <c r="P72" s="125">
        <v>722.35699999999997</v>
      </c>
      <c r="Q72" s="186"/>
      <c r="R72" s="187"/>
    </row>
    <row r="73" spans="1:18" x14ac:dyDescent="0.25">
      <c r="A73" s="7"/>
      <c r="B73" s="47" t="s">
        <v>111</v>
      </c>
      <c r="C73" s="116">
        <v>452.63</v>
      </c>
      <c r="D73" s="116">
        <v>157.17699999999999</v>
      </c>
      <c r="E73" s="116">
        <v>140.983</v>
      </c>
      <c r="F73" s="116">
        <v>24.297000000000001</v>
      </c>
      <c r="G73" s="116">
        <v>5.5380000000000003</v>
      </c>
      <c r="H73" s="116">
        <v>756.32799999999997</v>
      </c>
      <c r="I73" s="116">
        <v>1.5289999999999999</v>
      </c>
      <c r="J73" s="116">
        <v>757.85699999999997</v>
      </c>
      <c r="K73" s="116">
        <v>232.547</v>
      </c>
      <c r="L73" s="116">
        <v>990.404</v>
      </c>
      <c r="M73" s="116">
        <v>241.57499999999999</v>
      </c>
      <c r="N73" s="116">
        <v>-1.22</v>
      </c>
      <c r="O73" s="116">
        <v>747.60900000000004</v>
      </c>
      <c r="P73" s="125">
        <v>738.26599999999996</v>
      </c>
      <c r="Q73" s="186"/>
      <c r="R73" s="187"/>
    </row>
    <row r="74" spans="1:18" x14ac:dyDescent="0.25">
      <c r="A74" s="7"/>
      <c r="B74" s="47" t="s">
        <v>112</v>
      </c>
      <c r="C74" s="116">
        <v>458.02800000000002</v>
      </c>
      <c r="D74" s="116">
        <v>159.88999999999999</v>
      </c>
      <c r="E74" s="116">
        <v>142.09100000000001</v>
      </c>
      <c r="F74" s="116">
        <v>24.582999999999998</v>
      </c>
      <c r="G74" s="116">
        <v>6.3819999999999997</v>
      </c>
      <c r="H74" s="116">
        <v>766.39099999999996</v>
      </c>
      <c r="I74" s="116">
        <v>1.575</v>
      </c>
      <c r="J74" s="116">
        <v>767.96600000000001</v>
      </c>
      <c r="K74" s="116">
        <v>229.19399999999999</v>
      </c>
      <c r="L74" s="116">
        <v>997.16</v>
      </c>
      <c r="M74" s="116">
        <v>240.47800000000001</v>
      </c>
      <c r="N74" s="116">
        <v>-0.73499999999999999</v>
      </c>
      <c r="O74" s="116">
        <v>755.947</v>
      </c>
      <c r="P74" s="125">
        <v>746.82500000000005</v>
      </c>
      <c r="Q74" s="186"/>
      <c r="R74" s="187"/>
    </row>
    <row r="75" spans="1:18" x14ac:dyDescent="0.25">
      <c r="A75" s="7"/>
      <c r="B75" s="47" t="s">
        <v>113</v>
      </c>
      <c r="C75" s="116">
        <v>461.99400000000003</v>
      </c>
      <c r="D75" s="116">
        <v>161.88</v>
      </c>
      <c r="E75" s="116">
        <v>144.11099999999999</v>
      </c>
      <c r="F75" s="116">
        <v>24.215</v>
      </c>
      <c r="G75" s="116">
        <v>2.3159999999999998</v>
      </c>
      <c r="H75" s="116">
        <v>770.30100000000004</v>
      </c>
      <c r="I75" s="116">
        <v>0.95799999999999996</v>
      </c>
      <c r="J75" s="116">
        <v>771.25900000000001</v>
      </c>
      <c r="K75" s="116">
        <v>232.86600000000001</v>
      </c>
      <c r="L75" s="116">
        <v>1004.125</v>
      </c>
      <c r="M75" s="116">
        <v>240.55099999999999</v>
      </c>
      <c r="N75" s="116">
        <v>-0.74199999999999999</v>
      </c>
      <c r="O75" s="116">
        <v>762.83199999999999</v>
      </c>
      <c r="P75" s="125">
        <v>754.577</v>
      </c>
      <c r="Q75" s="186"/>
      <c r="R75" s="187"/>
    </row>
    <row r="76" spans="1:18" x14ac:dyDescent="0.25">
      <c r="A76" s="7"/>
      <c r="B76" s="47" t="s">
        <v>114</v>
      </c>
      <c r="C76" s="116">
        <v>464.387</v>
      </c>
      <c r="D76" s="116">
        <v>162.767</v>
      </c>
      <c r="E76" s="116">
        <v>145.524</v>
      </c>
      <c r="F76" s="116">
        <v>27.298999999999999</v>
      </c>
      <c r="G76" s="116">
        <v>9.2420000000000009</v>
      </c>
      <c r="H76" s="116">
        <v>781.92</v>
      </c>
      <c r="I76" s="116">
        <v>-2.2280000000000002</v>
      </c>
      <c r="J76" s="116">
        <v>779.69200000000001</v>
      </c>
      <c r="K76" s="116">
        <v>235.21600000000001</v>
      </c>
      <c r="L76" s="116">
        <v>1014.908</v>
      </c>
      <c r="M76" s="116">
        <v>246.684</v>
      </c>
      <c r="N76" s="116">
        <v>-0.746</v>
      </c>
      <c r="O76" s="116">
        <v>767.47799999999995</v>
      </c>
      <c r="P76" s="125">
        <v>755.55499999999995</v>
      </c>
      <c r="Q76" s="186"/>
      <c r="R76" s="187"/>
    </row>
    <row r="77" spans="1:18" x14ac:dyDescent="0.25">
      <c r="A77" s="7"/>
      <c r="B77" s="47" t="s">
        <v>115</v>
      </c>
      <c r="C77" s="116">
        <v>470.64800000000002</v>
      </c>
      <c r="D77" s="116">
        <v>165.80099999999999</v>
      </c>
      <c r="E77" s="116">
        <v>147.661</v>
      </c>
      <c r="F77" s="116">
        <v>27.087</v>
      </c>
      <c r="G77" s="116">
        <v>8.2929999999999993</v>
      </c>
      <c r="H77" s="116">
        <v>792.40300000000002</v>
      </c>
      <c r="I77" s="116">
        <v>3.6749999999999998</v>
      </c>
      <c r="J77" s="116">
        <v>796.07799999999997</v>
      </c>
      <c r="K77" s="116">
        <v>239.322</v>
      </c>
      <c r="L77" s="116">
        <v>1035.4000000000001</v>
      </c>
      <c r="M77" s="116">
        <v>254.048</v>
      </c>
      <c r="N77" s="116">
        <v>-0.75800000000000001</v>
      </c>
      <c r="O77" s="116">
        <v>780.59400000000005</v>
      </c>
      <c r="P77" s="125">
        <v>776.70399999999995</v>
      </c>
      <c r="Q77" s="186"/>
      <c r="R77" s="187"/>
    </row>
    <row r="78" spans="1:18" x14ac:dyDescent="0.25">
      <c r="A78" s="7"/>
      <c r="B78" s="47" t="s">
        <v>116</v>
      </c>
      <c r="C78" s="116">
        <v>474.60899999999998</v>
      </c>
      <c r="D78" s="116">
        <v>167.88</v>
      </c>
      <c r="E78" s="116">
        <v>150.26900000000001</v>
      </c>
      <c r="F78" s="116">
        <v>27.443000000000001</v>
      </c>
      <c r="G78" s="116">
        <v>9.5340000000000007</v>
      </c>
      <c r="H78" s="116">
        <v>802.29200000000003</v>
      </c>
      <c r="I78" s="116">
        <v>1.641</v>
      </c>
      <c r="J78" s="116">
        <v>803.93299999999999</v>
      </c>
      <c r="K78" s="116">
        <v>243.45099999999999</v>
      </c>
      <c r="L78" s="116">
        <v>1047.384</v>
      </c>
      <c r="M78" s="116">
        <v>259.99099999999999</v>
      </c>
      <c r="N78" s="116">
        <v>-0.76400000000000001</v>
      </c>
      <c r="O78" s="116">
        <v>786.62900000000002</v>
      </c>
      <c r="P78" s="125">
        <v>782.9571729999999</v>
      </c>
      <c r="Q78" s="186"/>
      <c r="R78" s="187"/>
    </row>
    <row r="79" spans="1:18" x14ac:dyDescent="0.25">
      <c r="A79" s="7"/>
      <c r="B79" s="47" t="s">
        <v>117</v>
      </c>
      <c r="C79" s="116">
        <v>479.12777899999998</v>
      </c>
      <c r="D79" s="116">
        <v>171.13583839972387</v>
      </c>
      <c r="E79" s="116">
        <v>153.71095600000001</v>
      </c>
      <c r="F79" s="116">
        <v>30.393366199999999</v>
      </c>
      <c r="G79" s="116">
        <v>8.1047677799999995</v>
      </c>
      <c r="H79" s="116">
        <v>812.07934117972388</v>
      </c>
      <c r="I79" s="116">
        <v>1.4350202300000001</v>
      </c>
      <c r="J79" s="116">
        <v>813.51436140972385</v>
      </c>
      <c r="K79" s="116">
        <v>242.384253</v>
      </c>
      <c r="L79" s="116">
        <v>1055.8986100000002</v>
      </c>
      <c r="M79" s="116">
        <v>261.21940599999999</v>
      </c>
      <c r="N79" s="116">
        <v>-0.76901435699999998</v>
      </c>
      <c r="O79" s="116">
        <v>793.91019400000005</v>
      </c>
      <c r="P79" s="125">
        <v>789.67960600000004</v>
      </c>
      <c r="Q79" s="186"/>
      <c r="R79" s="187"/>
    </row>
    <row r="80" spans="1:18" x14ac:dyDescent="0.25">
      <c r="A80" s="7"/>
      <c r="B80" s="47" t="s">
        <v>118</v>
      </c>
      <c r="C80" s="116">
        <v>483.27081800000002</v>
      </c>
      <c r="D80" s="116">
        <v>173.18927403581387</v>
      </c>
      <c r="E80" s="116">
        <v>155.07973699999999</v>
      </c>
      <c r="F80" s="116">
        <v>31.076469099999997</v>
      </c>
      <c r="G80" s="116">
        <v>8.6570621900000013</v>
      </c>
      <c r="H80" s="116">
        <v>820.19689122581394</v>
      </c>
      <c r="I80" s="116">
        <v>1.12943025</v>
      </c>
      <c r="J80" s="116">
        <v>821.32632147581387</v>
      </c>
      <c r="K80" s="116">
        <v>243.71049500000001</v>
      </c>
      <c r="L80" s="116">
        <v>1065.03682</v>
      </c>
      <c r="M80" s="116">
        <v>263.93725799999999</v>
      </c>
      <c r="N80" s="116">
        <v>-0.77379163300000009</v>
      </c>
      <c r="O80" s="116">
        <v>800.32576700000004</v>
      </c>
      <c r="P80" s="125">
        <v>795.59323199999994</v>
      </c>
      <c r="Q80" s="186"/>
      <c r="R80" s="187"/>
    </row>
    <row r="81" spans="1:22" x14ac:dyDescent="0.25">
      <c r="A81" s="7"/>
      <c r="B81" s="47" t="s">
        <v>119</v>
      </c>
      <c r="C81" s="116">
        <v>487.79816800000003</v>
      </c>
      <c r="D81" s="116">
        <v>173.20298298919323</v>
      </c>
      <c r="E81" s="116">
        <v>155.772717</v>
      </c>
      <c r="F81" s="116">
        <v>31.007709500000001</v>
      </c>
      <c r="G81" s="116">
        <v>6.7829340499999997</v>
      </c>
      <c r="H81" s="116">
        <v>823.55680203919326</v>
      </c>
      <c r="I81" s="116">
        <v>0.64441050600000005</v>
      </c>
      <c r="J81" s="116">
        <v>824.20121254519324</v>
      </c>
      <c r="K81" s="116">
        <v>245.72394500000001</v>
      </c>
      <c r="L81" s="116">
        <v>1069.92516</v>
      </c>
      <c r="M81" s="116">
        <v>262.92370299999999</v>
      </c>
      <c r="N81" s="116">
        <v>-0.77770583599999998</v>
      </c>
      <c r="O81" s="116">
        <v>806.223748</v>
      </c>
      <c r="P81" s="125">
        <v>799.71734199999992</v>
      </c>
      <c r="Q81" s="116"/>
      <c r="R81" s="116"/>
      <c r="U81" s="27"/>
      <c r="V81" s="27"/>
    </row>
    <row r="82" spans="1:22" x14ac:dyDescent="0.25">
      <c r="A82" s="7"/>
      <c r="B82" s="47" t="s">
        <v>120</v>
      </c>
      <c r="C82" s="116">
        <v>492.05096200000003</v>
      </c>
      <c r="D82" s="116">
        <v>172.97299429403839</v>
      </c>
      <c r="E82" s="116">
        <v>156.05245300000001</v>
      </c>
      <c r="F82" s="116">
        <v>30.638702800000001</v>
      </c>
      <c r="G82" s="116">
        <v>5.6</v>
      </c>
      <c r="H82" s="116">
        <v>826.67640929403831</v>
      </c>
      <c r="I82" s="116">
        <v>0.85200117399999997</v>
      </c>
      <c r="J82" s="116">
        <v>827.52841046803826</v>
      </c>
      <c r="K82" s="116">
        <v>247.13520199999999</v>
      </c>
      <c r="L82" s="116">
        <v>1074.6636100000001</v>
      </c>
      <c r="M82" s="116">
        <v>260.89304299999998</v>
      </c>
      <c r="N82" s="116">
        <v>-0.78217353200000006</v>
      </c>
      <c r="O82" s="116">
        <v>812.98839499999997</v>
      </c>
      <c r="P82" s="125">
        <v>805.53922299999999</v>
      </c>
      <c r="Q82" s="116"/>
      <c r="R82" s="116"/>
      <c r="U82" s="27"/>
      <c r="V82" s="27"/>
    </row>
    <row r="83" spans="1:22" x14ac:dyDescent="0.25">
      <c r="A83" s="7"/>
      <c r="B83" s="47" t="s">
        <v>121</v>
      </c>
      <c r="C83" s="116">
        <v>496.623942</v>
      </c>
      <c r="D83" s="116">
        <v>173.40932543114101</v>
      </c>
      <c r="E83" s="116">
        <v>156.74515100000002</v>
      </c>
      <c r="F83" s="116">
        <v>30.602426000000001</v>
      </c>
      <c r="G83" s="116">
        <v>4.83</v>
      </c>
      <c r="H83" s="116">
        <v>831.60841843114099</v>
      </c>
      <c r="I83" s="116">
        <v>0.50451256499999997</v>
      </c>
      <c r="J83" s="116">
        <v>832.1129309961409</v>
      </c>
      <c r="K83" s="116">
        <v>248.26068799999999</v>
      </c>
      <c r="L83" s="116">
        <v>1080.3736200000001</v>
      </c>
      <c r="M83" s="116">
        <v>260.79697599999997</v>
      </c>
      <c r="N83" s="116">
        <v>-0.78554519</v>
      </c>
      <c r="O83" s="116">
        <v>818.79109800000003</v>
      </c>
      <c r="P83" s="125">
        <v>810.83956699999999</v>
      </c>
      <c r="Q83" s="116"/>
      <c r="R83" s="116"/>
      <c r="U83" s="27"/>
      <c r="V83" s="27"/>
    </row>
    <row r="84" spans="1:22" x14ac:dyDescent="0.25">
      <c r="A84" s="7"/>
      <c r="B84" s="47" t="s">
        <v>122</v>
      </c>
      <c r="C84" s="116">
        <v>501.31604999999996</v>
      </c>
      <c r="D84" s="116">
        <v>174.27526347771783</v>
      </c>
      <c r="E84" s="116">
        <v>157.45766</v>
      </c>
      <c r="F84" s="116">
        <v>30.5791805</v>
      </c>
      <c r="G84" s="116">
        <v>5.1577088400000006</v>
      </c>
      <c r="H84" s="116">
        <v>838.20668231771776</v>
      </c>
      <c r="I84" s="116">
        <v>0.63306537000000007</v>
      </c>
      <c r="J84" s="116">
        <v>838.83974768771782</v>
      </c>
      <c r="K84" s="116">
        <v>249.85850600000001</v>
      </c>
      <c r="L84" s="116">
        <v>1088.6982499999999</v>
      </c>
      <c r="M84" s="116">
        <v>262.09556800000001</v>
      </c>
      <c r="N84" s="116">
        <v>-0.78917463499999996</v>
      </c>
      <c r="O84" s="116">
        <v>825.81351199999995</v>
      </c>
      <c r="P84" s="125">
        <v>817.27585900000008</v>
      </c>
      <c r="Q84" s="116"/>
      <c r="R84" s="116"/>
      <c r="U84" s="27"/>
      <c r="V84" s="27"/>
    </row>
    <row r="85" spans="1:22" x14ac:dyDescent="0.25">
      <c r="A85" s="7"/>
      <c r="B85" s="47" t="s">
        <v>123</v>
      </c>
      <c r="C85" s="116">
        <v>506.191554</v>
      </c>
      <c r="D85" s="116">
        <v>175.61374981216647</v>
      </c>
      <c r="E85" s="116">
        <v>158.46269699999999</v>
      </c>
      <c r="F85" s="116">
        <v>30.606499500000002</v>
      </c>
      <c r="G85" s="116">
        <v>5.0141137900000015</v>
      </c>
      <c r="H85" s="116">
        <v>845.2821146021663</v>
      </c>
      <c r="I85" s="116">
        <v>0.74762708099999997</v>
      </c>
      <c r="J85" s="116">
        <v>846.02974168316632</v>
      </c>
      <c r="K85" s="116">
        <v>251.38609400000001</v>
      </c>
      <c r="L85" s="116">
        <v>1097.4158400000001</v>
      </c>
      <c r="M85" s="116">
        <v>263.1943</v>
      </c>
      <c r="N85" s="116">
        <v>-0.79295344199999995</v>
      </c>
      <c r="O85" s="116">
        <v>833.42858200000001</v>
      </c>
      <c r="P85" s="125">
        <v>824.82722999999999</v>
      </c>
      <c r="Q85" s="186"/>
      <c r="R85" s="187"/>
    </row>
    <row r="86" spans="1:22" x14ac:dyDescent="0.25">
      <c r="A86" s="7"/>
      <c r="B86" s="47" t="s">
        <v>124</v>
      </c>
      <c r="C86" s="116">
        <v>511.13006199999995</v>
      </c>
      <c r="D86" s="116">
        <v>177.26174455544154</v>
      </c>
      <c r="E86" s="116">
        <v>159.50329199999999</v>
      </c>
      <c r="F86" s="116">
        <v>30.675857499999999</v>
      </c>
      <c r="G86" s="116">
        <v>4.6180705900000003</v>
      </c>
      <c r="H86" s="116">
        <v>852.51316914544157</v>
      </c>
      <c r="I86" s="116">
        <v>1.01605623</v>
      </c>
      <c r="J86" s="116">
        <v>853.52922537544157</v>
      </c>
      <c r="K86" s="116">
        <v>252.710339</v>
      </c>
      <c r="L86" s="116">
        <v>1106.23956</v>
      </c>
      <c r="M86" s="116">
        <v>264.13144499999999</v>
      </c>
      <c r="N86" s="116">
        <v>-0.79679716</v>
      </c>
      <c r="O86" s="116">
        <v>841.31132200000002</v>
      </c>
      <c r="P86" s="125">
        <v>832.66209100000003</v>
      </c>
      <c r="Q86" s="186"/>
      <c r="R86" s="187"/>
    </row>
    <row r="87" spans="1:22" x14ac:dyDescent="0.25">
      <c r="A87" s="7"/>
      <c r="B87" s="47" t="s">
        <v>125</v>
      </c>
      <c r="C87" s="116">
        <v>516.39417700000001</v>
      </c>
      <c r="D87" s="116">
        <v>178.84943748564649</v>
      </c>
      <c r="E87" s="116">
        <v>160.592648</v>
      </c>
      <c r="F87" s="116">
        <v>30.732598400000001</v>
      </c>
      <c r="G87" s="116">
        <v>4.3701313899999992</v>
      </c>
      <c r="H87" s="116">
        <v>860.20639387564643</v>
      </c>
      <c r="I87" s="116">
        <v>1.00205693</v>
      </c>
      <c r="J87" s="116">
        <v>861.20845080564641</v>
      </c>
      <c r="K87" s="116">
        <v>254.04196100000001</v>
      </c>
      <c r="L87" s="116">
        <v>1115.2504099999999</v>
      </c>
      <c r="M87" s="116">
        <v>264.97786400000001</v>
      </c>
      <c r="N87" s="116">
        <v>-0.80091330999999999</v>
      </c>
      <c r="O87" s="116">
        <v>849.47163499999999</v>
      </c>
      <c r="P87" s="125">
        <v>840.68028400000003</v>
      </c>
      <c r="Q87" s="186"/>
      <c r="R87" s="187"/>
    </row>
    <row r="88" spans="1:22" x14ac:dyDescent="0.25">
      <c r="A88" s="7"/>
      <c r="B88" s="47" t="s">
        <v>126</v>
      </c>
      <c r="C88" s="116">
        <v>521.63420799999994</v>
      </c>
      <c r="D88" s="116">
        <v>180.17445964218186</v>
      </c>
      <c r="E88" s="116">
        <v>161.70400099999998</v>
      </c>
      <c r="F88" s="116">
        <v>30.750532100000001</v>
      </c>
      <c r="G88" s="116">
        <v>4.4959941900000011</v>
      </c>
      <c r="H88" s="116">
        <v>868.00866283218193</v>
      </c>
      <c r="I88" s="116">
        <v>1.11611086</v>
      </c>
      <c r="J88" s="116">
        <v>869.12477369218186</v>
      </c>
      <c r="K88" s="116">
        <v>255.65819200000001</v>
      </c>
      <c r="L88" s="116">
        <v>1124.78297</v>
      </c>
      <c r="M88" s="116">
        <v>266.40479499999998</v>
      </c>
      <c r="N88" s="116">
        <v>-0.804959761</v>
      </c>
      <c r="O88" s="116">
        <v>857.57321200000001</v>
      </c>
      <c r="P88" s="125">
        <v>848.58387399999992</v>
      </c>
      <c r="Q88" s="186"/>
      <c r="R88" s="187"/>
    </row>
    <row r="89" spans="1:22" x14ac:dyDescent="0.25">
      <c r="A89" s="7"/>
      <c r="B89" s="47" t="s">
        <v>127</v>
      </c>
      <c r="C89" s="116">
        <v>526.99133900000004</v>
      </c>
      <c r="D89" s="116">
        <v>181.20090389424135</v>
      </c>
      <c r="E89" s="116">
        <v>162.90169500000002</v>
      </c>
      <c r="F89" s="116">
        <v>30.731714</v>
      </c>
      <c r="G89" s="116">
        <v>4.51323834</v>
      </c>
      <c r="H89" s="116">
        <v>875.60717623424148</v>
      </c>
      <c r="I89" s="116">
        <v>1.3443788800000001</v>
      </c>
      <c r="J89" s="116">
        <v>876.95155511424139</v>
      </c>
      <c r="K89" s="116">
        <v>257.42419000000001</v>
      </c>
      <c r="L89" s="116">
        <v>1134.37574</v>
      </c>
      <c r="M89" s="116">
        <v>267.82428700000003</v>
      </c>
      <c r="N89" s="116">
        <v>-0.80890411500000003</v>
      </c>
      <c r="O89" s="116">
        <v>865.74255299999993</v>
      </c>
      <c r="P89" s="125">
        <v>856.52430099999992</v>
      </c>
      <c r="Q89" s="186"/>
      <c r="R89" s="187"/>
    </row>
    <row r="90" spans="1:22" x14ac:dyDescent="0.25">
      <c r="A90" s="7"/>
      <c r="B90" s="47" t="s">
        <v>128</v>
      </c>
      <c r="C90" s="116">
        <v>532.38627099999997</v>
      </c>
      <c r="D90" s="116">
        <v>182.0591511563791</v>
      </c>
      <c r="E90" s="116">
        <v>164.071989</v>
      </c>
      <c r="F90" s="116">
        <v>30.706462299999998</v>
      </c>
      <c r="G90" s="116">
        <v>4.6909521999999999</v>
      </c>
      <c r="H90" s="116">
        <v>883.2083633563791</v>
      </c>
      <c r="I90" s="116">
        <v>1.3983777800000001</v>
      </c>
      <c r="J90" s="116">
        <v>884.60674113637913</v>
      </c>
      <c r="K90" s="116">
        <v>259.31738999999999</v>
      </c>
      <c r="L90" s="116">
        <v>1143.9241299999999</v>
      </c>
      <c r="M90" s="116">
        <v>269.31902000000002</v>
      </c>
      <c r="N90" s="116">
        <v>-0.81278431100000004</v>
      </c>
      <c r="O90" s="116">
        <v>873.792326</v>
      </c>
      <c r="P90" s="125">
        <v>864.41807600000004</v>
      </c>
      <c r="Q90" s="186"/>
      <c r="R90" s="187"/>
    </row>
    <row r="91" spans="1:22" x14ac:dyDescent="0.25">
      <c r="A91" s="7"/>
      <c r="B91" s="47" t="s">
        <v>129</v>
      </c>
      <c r="C91" s="116">
        <v>537.72037699999998</v>
      </c>
      <c r="D91" s="116">
        <v>183.04650141005942</v>
      </c>
      <c r="E91" s="116">
        <v>165.283569</v>
      </c>
      <c r="F91" s="116">
        <v>30.733613399999999</v>
      </c>
      <c r="G91" s="116">
        <v>4.7960141599999995</v>
      </c>
      <c r="H91" s="116">
        <v>890.84646157005943</v>
      </c>
      <c r="I91" s="116">
        <v>1.3337739200000001</v>
      </c>
      <c r="J91" s="116">
        <v>892.18023549005932</v>
      </c>
      <c r="K91" s="116">
        <v>261.20440200000002</v>
      </c>
      <c r="L91" s="116">
        <v>1153.38464</v>
      </c>
      <c r="M91" s="116">
        <v>270.85922800000003</v>
      </c>
      <c r="N91" s="116">
        <v>-0.81661363200000003</v>
      </c>
      <c r="O91" s="116">
        <v>881.70879600000001</v>
      </c>
      <c r="P91" s="125">
        <v>872.21564599999999</v>
      </c>
      <c r="Q91" s="186"/>
      <c r="R91" s="187"/>
    </row>
    <row r="92" spans="1:22" x14ac:dyDescent="0.25">
      <c r="A92" s="7"/>
      <c r="B92" s="47" t="s">
        <v>130</v>
      </c>
      <c r="C92" s="116">
        <v>542.86113399999999</v>
      </c>
      <c r="D92" s="116">
        <v>184.33459011007608</v>
      </c>
      <c r="E92" s="116">
        <v>166.550994</v>
      </c>
      <c r="F92" s="116">
        <v>30.844205800000001</v>
      </c>
      <c r="G92" s="116">
        <v>4.8282837699999996</v>
      </c>
      <c r="H92" s="116">
        <v>898.57500188007589</v>
      </c>
      <c r="I92" s="116">
        <v>1.2268405099999999</v>
      </c>
      <c r="J92" s="116">
        <v>899.80184239007588</v>
      </c>
      <c r="K92" s="116">
        <v>263.10102699999999</v>
      </c>
      <c r="L92" s="116">
        <v>1162.9028700000001</v>
      </c>
      <c r="M92" s="116">
        <v>272.44754999999998</v>
      </c>
      <c r="N92" s="116">
        <v>-0.82052409199999998</v>
      </c>
      <c r="O92" s="116">
        <v>889.63479500000005</v>
      </c>
      <c r="P92" s="125">
        <v>880.08933700000011</v>
      </c>
      <c r="Q92" s="186"/>
      <c r="R92" s="187"/>
    </row>
    <row r="93" spans="1:22" x14ac:dyDescent="0.25">
      <c r="A93" s="7"/>
      <c r="B93" s="47" t="s">
        <v>131</v>
      </c>
      <c r="C93" s="116">
        <v>547.68004599999995</v>
      </c>
      <c r="D93" s="116">
        <v>185.97021887109199</v>
      </c>
      <c r="E93" s="116">
        <v>167.98815500000001</v>
      </c>
      <c r="F93" s="116">
        <v>31.041741200000001</v>
      </c>
      <c r="G93" s="116">
        <v>4.7774760800000005</v>
      </c>
      <c r="H93" s="116">
        <v>906.41589595109201</v>
      </c>
      <c r="I93" s="116">
        <v>1.35224027</v>
      </c>
      <c r="J93" s="116">
        <v>907.76813622109194</v>
      </c>
      <c r="K93" s="116">
        <v>264.96304100000003</v>
      </c>
      <c r="L93" s="116">
        <v>1172.73118</v>
      </c>
      <c r="M93" s="116">
        <v>274.09302000000002</v>
      </c>
      <c r="N93" s="116">
        <v>-0.82452683699999996</v>
      </c>
      <c r="O93" s="116">
        <v>897.81362999999999</v>
      </c>
      <c r="P93" s="125">
        <v>888.20863499999996</v>
      </c>
      <c r="Q93" s="186"/>
      <c r="R93" s="187"/>
    </row>
    <row r="94" spans="1:22" x14ac:dyDescent="0.25">
      <c r="A94" s="7"/>
      <c r="B94" s="47" t="s">
        <v>132</v>
      </c>
      <c r="C94" s="116">
        <v>552.55855200000008</v>
      </c>
      <c r="D94" s="116">
        <v>187.87558197952941</v>
      </c>
      <c r="E94" s="116">
        <v>169.42215900000002</v>
      </c>
      <c r="F94" s="116">
        <v>31.3022144</v>
      </c>
      <c r="G94" s="116">
        <v>4.7650437000000005</v>
      </c>
      <c r="H94" s="116">
        <v>914.62133667952935</v>
      </c>
      <c r="I94" s="116">
        <v>1.2444798399999999</v>
      </c>
      <c r="J94" s="116">
        <v>915.8658165195294</v>
      </c>
      <c r="K94" s="116">
        <v>266.77171399999997</v>
      </c>
      <c r="L94" s="116">
        <v>1182.63753</v>
      </c>
      <c r="M94" s="116">
        <v>275.84600900000004</v>
      </c>
      <c r="N94" s="116">
        <v>-0.82860396400000003</v>
      </c>
      <c r="O94" s="116">
        <v>905.96291799999995</v>
      </c>
      <c r="P94" s="125">
        <v>896.29049800000007</v>
      </c>
      <c r="Q94" s="186"/>
      <c r="R94" s="187"/>
    </row>
    <row r="95" spans="1:22" x14ac:dyDescent="0.25">
      <c r="A95" s="7"/>
      <c r="B95" s="47" t="s">
        <v>133</v>
      </c>
      <c r="C95" s="116">
        <v>557.41852500000005</v>
      </c>
      <c r="D95" s="116">
        <v>189.84788982709051</v>
      </c>
      <c r="E95" s="116">
        <v>170.802775</v>
      </c>
      <c r="F95" s="116">
        <v>31.573910999999999</v>
      </c>
      <c r="G95" s="116">
        <v>4.85106357</v>
      </c>
      <c r="H95" s="116">
        <v>922.92025339709062</v>
      </c>
      <c r="I95" s="116">
        <v>1.1745300600000002</v>
      </c>
      <c r="J95" s="116">
        <v>924.09478345709056</v>
      </c>
      <c r="K95" s="116">
        <v>268.58290799999997</v>
      </c>
      <c r="L95" s="116">
        <v>1192.67769</v>
      </c>
      <c r="M95" s="116">
        <v>277.67685799999998</v>
      </c>
      <c r="N95" s="116">
        <v>-0.83271947999999996</v>
      </c>
      <c r="O95" s="116">
        <v>914.16811399999995</v>
      </c>
      <c r="P95" s="125">
        <v>904.47829100000001</v>
      </c>
      <c r="Q95" s="186"/>
      <c r="R95" s="187"/>
    </row>
    <row r="96" spans="1:22" x14ac:dyDescent="0.25">
      <c r="A96" s="7"/>
      <c r="B96" s="47" t="s">
        <v>134</v>
      </c>
      <c r="C96" s="116">
        <v>562.34551599999998</v>
      </c>
      <c r="D96" s="116">
        <v>191.74495066161529</v>
      </c>
      <c r="E96" s="116">
        <v>172.175074</v>
      </c>
      <c r="F96" s="116">
        <v>31.821857100000003</v>
      </c>
      <c r="G96" s="116">
        <v>4.8685062200000004</v>
      </c>
      <c r="H96" s="116">
        <v>931.13404688161529</v>
      </c>
      <c r="I96" s="116">
        <v>1.1215941</v>
      </c>
      <c r="J96" s="116">
        <v>932.25564098161533</v>
      </c>
      <c r="K96" s="116">
        <v>270.43164399999995</v>
      </c>
      <c r="L96" s="116">
        <v>1202.6872900000001</v>
      </c>
      <c r="M96" s="116">
        <v>279.51100700000001</v>
      </c>
      <c r="N96" s="116">
        <v>-0.83680907299999996</v>
      </c>
      <c r="O96" s="116">
        <v>922.33947000000001</v>
      </c>
      <c r="P96" s="125">
        <v>912.67577900000003</v>
      </c>
      <c r="Q96" s="186"/>
      <c r="R96" s="187"/>
    </row>
    <row r="97" spans="1:18" x14ac:dyDescent="0.25">
      <c r="A97" s="7"/>
      <c r="B97" s="47" t="s">
        <v>135</v>
      </c>
      <c r="C97" s="116">
        <v>567.32193099999995</v>
      </c>
      <c r="D97" s="116">
        <v>193.48448240307735</v>
      </c>
      <c r="E97" s="116">
        <v>173.61985799999999</v>
      </c>
      <c r="F97" s="116">
        <v>32.027525000000004</v>
      </c>
      <c r="G97" s="116">
        <v>4.7731993099999999</v>
      </c>
      <c r="H97" s="116">
        <v>939.19947071307729</v>
      </c>
      <c r="I97" s="116">
        <v>1.13331596</v>
      </c>
      <c r="J97" s="116">
        <v>940.33278667307741</v>
      </c>
      <c r="K97" s="116">
        <v>272.34696000000002</v>
      </c>
      <c r="L97" s="116">
        <v>1212.67975</v>
      </c>
      <c r="M97" s="116">
        <v>281.33159899999998</v>
      </c>
      <c r="N97" s="116">
        <v>-0.84085527599999998</v>
      </c>
      <c r="O97" s="116">
        <v>930.50729299999989</v>
      </c>
      <c r="P97" s="125">
        <v>920.83829700000001</v>
      </c>
      <c r="Q97" s="186"/>
      <c r="R97" s="187"/>
    </row>
    <row r="98" spans="1:18" x14ac:dyDescent="0.25">
      <c r="A98" s="7"/>
      <c r="B98" s="47" t="s">
        <v>645</v>
      </c>
      <c r="C98" s="116">
        <v>572.33943399999998</v>
      </c>
      <c r="D98" s="116">
        <v>195.04371441224893</v>
      </c>
      <c r="E98" s="116">
        <v>174.91432</v>
      </c>
      <c r="F98" s="116">
        <v>32.188676600000001</v>
      </c>
      <c r="G98" s="116">
        <v>4.8403617000000008</v>
      </c>
      <c r="H98" s="116">
        <v>947.13783011224893</v>
      </c>
      <c r="I98" s="116">
        <v>1.2594389100000001</v>
      </c>
      <c r="J98" s="116">
        <v>948.39726902224891</v>
      </c>
      <c r="K98" s="116">
        <v>274.34617300000002</v>
      </c>
      <c r="L98" s="116">
        <v>1222.74344</v>
      </c>
      <c r="M98" s="116">
        <v>283.17449499999998</v>
      </c>
      <c r="N98" s="116">
        <v>-0.844864014</v>
      </c>
      <c r="O98" s="116">
        <v>938.72408299999995</v>
      </c>
      <c r="P98" s="125">
        <v>929.06578400000001</v>
      </c>
      <c r="Q98" s="186"/>
      <c r="R98" s="187"/>
    </row>
    <row r="99" spans="1:18" x14ac:dyDescent="0.25">
      <c r="A99" s="7"/>
      <c r="B99" s="47" t="s">
        <v>646</v>
      </c>
      <c r="C99" s="116">
        <v>577.39520800000003</v>
      </c>
      <c r="D99" s="116">
        <v>196.45927728466273</v>
      </c>
      <c r="E99" s="116">
        <v>176.106697</v>
      </c>
      <c r="F99" s="116">
        <v>32.319344999999998</v>
      </c>
      <c r="G99" s="116">
        <v>4.8578038399999999</v>
      </c>
      <c r="H99" s="116">
        <v>954.81898612466273</v>
      </c>
      <c r="I99" s="116">
        <v>1.1927019299999999</v>
      </c>
      <c r="J99" s="116">
        <v>956.01168805466261</v>
      </c>
      <c r="K99" s="116">
        <v>276.40274200000005</v>
      </c>
      <c r="L99" s="116">
        <v>1232.41443</v>
      </c>
      <c r="M99" s="116">
        <v>285.04459800000001</v>
      </c>
      <c r="N99" s="116">
        <v>-0.84875966000000003</v>
      </c>
      <c r="O99" s="116">
        <v>946.521072</v>
      </c>
      <c r="P99" s="125">
        <v>936.86731900000007</v>
      </c>
      <c r="Q99" s="186"/>
      <c r="R99" s="187"/>
    </row>
    <row r="100" spans="1:18" x14ac:dyDescent="0.25">
      <c r="A100" s="7"/>
      <c r="B100" s="47" t="s">
        <v>647</v>
      </c>
      <c r="C100" s="116">
        <v>582.49879199999998</v>
      </c>
      <c r="D100" s="116">
        <v>197.75983523740032</v>
      </c>
      <c r="E100" s="116">
        <v>177.293362</v>
      </c>
      <c r="F100" s="116">
        <v>32.430137799999997</v>
      </c>
      <c r="G100" s="116">
        <v>4.8760395900000013</v>
      </c>
      <c r="H100" s="116">
        <v>962.42802882740034</v>
      </c>
      <c r="I100" s="116">
        <v>1.22173178</v>
      </c>
      <c r="J100" s="116">
        <v>963.64976060740037</v>
      </c>
      <c r="K100" s="116">
        <v>278.469651</v>
      </c>
      <c r="L100" s="116">
        <v>1242.11941</v>
      </c>
      <c r="M100" s="116">
        <v>286.91414199999997</v>
      </c>
      <c r="N100" s="116">
        <v>-0.85263515900000009</v>
      </c>
      <c r="O100" s="116">
        <v>954.35263399999997</v>
      </c>
      <c r="P100" s="125">
        <v>944.61605399999996</v>
      </c>
      <c r="Q100" s="186"/>
      <c r="R100" s="187"/>
    </row>
    <row r="101" spans="1:18" x14ac:dyDescent="0.25">
      <c r="A101" s="7"/>
      <c r="B101" s="300" t="s">
        <v>648</v>
      </c>
      <c r="C101" s="366">
        <v>587.65386799999999</v>
      </c>
      <c r="D101" s="366">
        <v>198.96622483904946</v>
      </c>
      <c r="E101" s="366">
        <v>178.58877699999999</v>
      </c>
      <c r="F101" s="366">
        <v>32.528325899999999</v>
      </c>
      <c r="G101" s="366">
        <v>4.7625578800000001</v>
      </c>
      <c r="H101" s="366">
        <v>969.97142771904942</v>
      </c>
      <c r="I101" s="366">
        <v>1.3916883799999999</v>
      </c>
      <c r="J101" s="366">
        <v>971.36311609904931</v>
      </c>
      <c r="K101" s="366">
        <v>280.47456099999999</v>
      </c>
      <c r="L101" s="366">
        <v>1251.8376799999999</v>
      </c>
      <c r="M101" s="366">
        <v>288.78164600000002</v>
      </c>
      <c r="N101" s="366">
        <v>-0.85648292000000004</v>
      </c>
      <c r="O101" s="366">
        <v>962.19954799999994</v>
      </c>
      <c r="P101" s="368">
        <v>952.31908799999997</v>
      </c>
      <c r="Q101" s="186"/>
      <c r="R101" s="187"/>
    </row>
    <row r="102" spans="1:18" x14ac:dyDescent="0.25">
      <c r="A102" s="7"/>
      <c r="B102" s="47">
        <v>2008</v>
      </c>
      <c r="C102" s="116">
        <v>1013.081</v>
      </c>
      <c r="D102" s="116">
        <v>322.99200000000002</v>
      </c>
      <c r="E102" s="116">
        <v>295.01</v>
      </c>
      <c r="F102" s="116">
        <v>48.097999999999999</v>
      </c>
      <c r="G102" s="116">
        <v>-0.219</v>
      </c>
      <c r="H102" s="116">
        <v>1630.864</v>
      </c>
      <c r="I102" s="116">
        <v>-1.7669999999999999</v>
      </c>
      <c r="J102" s="116">
        <v>1629.097</v>
      </c>
      <c r="K102" s="116">
        <v>438.678</v>
      </c>
      <c r="L102" s="116">
        <v>2067.7750000000001</v>
      </c>
      <c r="M102" s="116">
        <v>465.55799999999999</v>
      </c>
      <c r="N102" s="116">
        <v>0</v>
      </c>
      <c r="O102" s="116">
        <v>1602.2170000000001</v>
      </c>
      <c r="P102" s="14">
        <v>1581.1859999999999</v>
      </c>
      <c r="Q102" s="186"/>
      <c r="R102" s="187"/>
    </row>
    <row r="103" spans="1:18" x14ac:dyDescent="0.25">
      <c r="A103" s="7"/>
      <c r="B103" s="47">
        <v>2009</v>
      </c>
      <c r="C103" s="116">
        <v>990.90300000000002</v>
      </c>
      <c r="D103" s="116">
        <v>338.52699999999999</v>
      </c>
      <c r="E103" s="116">
        <v>264.92500000000001</v>
      </c>
      <c r="F103" s="116">
        <v>51.96</v>
      </c>
      <c r="G103" s="116">
        <v>2.3290000000000002</v>
      </c>
      <c r="H103" s="116">
        <v>1596.684</v>
      </c>
      <c r="I103" s="116">
        <v>-17.957999999999998</v>
      </c>
      <c r="J103" s="116">
        <v>1578.7260000000001</v>
      </c>
      <c r="K103" s="116">
        <v>416.476</v>
      </c>
      <c r="L103" s="116">
        <v>1995.202</v>
      </c>
      <c r="M103" s="116">
        <v>435.79700000000003</v>
      </c>
      <c r="N103" s="116">
        <v>0</v>
      </c>
      <c r="O103" s="116">
        <v>1559.405</v>
      </c>
      <c r="P103" s="14">
        <v>1546.393</v>
      </c>
    </row>
    <row r="104" spans="1:18" x14ac:dyDescent="0.25">
      <c r="A104" s="7"/>
      <c r="B104" s="47">
        <v>2010</v>
      </c>
      <c r="C104" s="116">
        <v>1027.0119999999999</v>
      </c>
      <c r="D104" s="116">
        <v>345.48700000000002</v>
      </c>
      <c r="E104" s="116">
        <v>268.113</v>
      </c>
      <c r="F104" s="116">
        <v>51.305999999999997</v>
      </c>
      <c r="G104" s="116">
        <v>0.39700000000000002</v>
      </c>
      <c r="H104" s="116">
        <v>1641.009</v>
      </c>
      <c r="I104" s="116">
        <v>1.2E-2</v>
      </c>
      <c r="J104" s="116">
        <v>1641.021</v>
      </c>
      <c r="K104" s="116">
        <v>464.495</v>
      </c>
      <c r="L104" s="116">
        <v>2105.5160000000001</v>
      </c>
      <c r="M104" s="116">
        <v>489.67700000000002</v>
      </c>
      <c r="N104" s="116">
        <v>0</v>
      </c>
      <c r="O104" s="116">
        <v>1615.8389999999999</v>
      </c>
      <c r="P104" s="14">
        <v>1616.546</v>
      </c>
    </row>
    <row r="105" spans="1:18" x14ac:dyDescent="0.25">
      <c r="A105" s="7"/>
      <c r="B105" s="47">
        <v>2011</v>
      </c>
      <c r="C105" s="116">
        <v>1060.307</v>
      </c>
      <c r="D105" s="116">
        <v>347.49900000000002</v>
      </c>
      <c r="E105" s="116">
        <v>270.21600000000001</v>
      </c>
      <c r="F105" s="116">
        <v>47.832999999999998</v>
      </c>
      <c r="G105" s="116">
        <v>1.0489999999999999</v>
      </c>
      <c r="H105" s="116">
        <v>1679.0709999999999</v>
      </c>
      <c r="I105" s="116">
        <v>4.1369999999999996</v>
      </c>
      <c r="J105" s="116">
        <v>1683.2080000000001</v>
      </c>
      <c r="K105" s="116">
        <v>522.10699999999997</v>
      </c>
      <c r="L105" s="116">
        <v>2205.3150000000001</v>
      </c>
      <c r="M105" s="116">
        <v>535.37</v>
      </c>
      <c r="N105" s="116">
        <v>0</v>
      </c>
      <c r="O105" s="116">
        <v>1669.9449999999999</v>
      </c>
      <c r="P105" s="14">
        <v>1676.89</v>
      </c>
    </row>
    <row r="106" spans="1:18" x14ac:dyDescent="0.25">
      <c r="A106" s="7"/>
      <c r="B106" s="47">
        <v>2012</v>
      </c>
      <c r="C106" s="116">
        <v>1099.2170000000001</v>
      </c>
      <c r="D106" s="116">
        <v>354.85500000000002</v>
      </c>
      <c r="E106" s="116">
        <v>280.15899999999999</v>
      </c>
      <c r="F106" s="116">
        <v>45.52</v>
      </c>
      <c r="G106" s="116">
        <v>0.217</v>
      </c>
      <c r="H106" s="116">
        <v>1734.4480000000001</v>
      </c>
      <c r="I106" s="116">
        <v>3.9569999999999999</v>
      </c>
      <c r="J106" s="116">
        <v>1738.405</v>
      </c>
      <c r="K106" s="116">
        <v>525.11300000000006</v>
      </c>
      <c r="L106" s="116">
        <v>2263.518</v>
      </c>
      <c r="M106" s="116">
        <v>541.80999999999995</v>
      </c>
      <c r="N106" s="116">
        <v>0</v>
      </c>
      <c r="O106" s="116">
        <v>1721.7080000000001</v>
      </c>
      <c r="P106" s="14">
        <v>1705.748</v>
      </c>
    </row>
    <row r="107" spans="1:18" x14ac:dyDescent="0.25">
      <c r="A107" s="7"/>
      <c r="B107" s="47">
        <v>2013</v>
      </c>
      <c r="C107" s="116">
        <v>1148.2929999999999</v>
      </c>
      <c r="D107" s="116">
        <v>356.935</v>
      </c>
      <c r="E107" s="116">
        <v>296.88900000000001</v>
      </c>
      <c r="F107" s="116">
        <v>43.728999999999999</v>
      </c>
      <c r="G107" s="116">
        <v>7.1390000000000002</v>
      </c>
      <c r="H107" s="116">
        <v>1809.2560000000001</v>
      </c>
      <c r="I107" s="116">
        <v>3.1509999999999998</v>
      </c>
      <c r="J107" s="116">
        <v>1812.4069999999999</v>
      </c>
      <c r="K107" s="116">
        <v>540.43600000000004</v>
      </c>
      <c r="L107" s="116">
        <v>2352.8429999999998</v>
      </c>
      <c r="M107" s="116">
        <v>563.77099999999996</v>
      </c>
      <c r="N107" s="116">
        <v>0</v>
      </c>
      <c r="O107" s="116">
        <v>1789.0719999999999</v>
      </c>
      <c r="P107" s="14">
        <v>1757.5029999999999</v>
      </c>
    </row>
    <row r="108" spans="1:18" x14ac:dyDescent="0.25">
      <c r="A108" s="7"/>
      <c r="B108" s="47">
        <v>2014</v>
      </c>
      <c r="C108" s="116">
        <v>1194.143</v>
      </c>
      <c r="D108" s="116">
        <v>368.24799999999999</v>
      </c>
      <c r="E108" s="116">
        <v>322.10000000000002</v>
      </c>
      <c r="F108" s="116">
        <v>50.207000000000001</v>
      </c>
      <c r="G108" s="116">
        <v>6.0170000000000003</v>
      </c>
      <c r="H108" s="116">
        <v>1890.508</v>
      </c>
      <c r="I108" s="116">
        <v>17.503</v>
      </c>
      <c r="J108" s="116">
        <v>1908.011</v>
      </c>
      <c r="K108" s="116">
        <v>534.99400000000003</v>
      </c>
      <c r="L108" s="116">
        <v>2443.0050000000001</v>
      </c>
      <c r="M108" s="116">
        <v>567.93899999999996</v>
      </c>
      <c r="N108" s="116">
        <v>0</v>
      </c>
      <c r="O108" s="116">
        <v>1875.066</v>
      </c>
      <c r="P108" s="14">
        <v>1841.7940000000001</v>
      </c>
    </row>
    <row r="109" spans="1:18" x14ac:dyDescent="0.25">
      <c r="A109" s="7"/>
      <c r="B109" s="47">
        <v>2015</v>
      </c>
      <c r="C109" s="116">
        <v>1225.4590000000001</v>
      </c>
      <c r="D109" s="116">
        <v>372.7</v>
      </c>
      <c r="E109" s="116">
        <v>346.07799999999997</v>
      </c>
      <c r="F109" s="116">
        <v>51.637999999999998</v>
      </c>
      <c r="G109" s="116">
        <v>0.81</v>
      </c>
      <c r="H109" s="116">
        <v>1945.047</v>
      </c>
      <c r="I109" s="116">
        <v>9.3230000000000004</v>
      </c>
      <c r="J109" s="116">
        <v>1954.37</v>
      </c>
      <c r="K109" s="116">
        <v>537.51300000000003</v>
      </c>
      <c r="L109" s="116">
        <v>2491.8829999999998</v>
      </c>
      <c r="M109" s="116">
        <v>563.86699999999996</v>
      </c>
      <c r="N109" s="116">
        <v>0</v>
      </c>
      <c r="O109" s="116">
        <v>1928.0160000000001</v>
      </c>
      <c r="P109" s="14">
        <v>1886.2470000000001</v>
      </c>
    </row>
    <row r="110" spans="1:18" x14ac:dyDescent="0.25">
      <c r="A110" s="7"/>
      <c r="B110" s="47">
        <v>2016</v>
      </c>
      <c r="C110" s="116">
        <v>1285.0360000000001</v>
      </c>
      <c r="D110" s="116">
        <v>381.33199999999999</v>
      </c>
      <c r="E110" s="116">
        <v>372.262</v>
      </c>
      <c r="F110" s="116">
        <v>51.356000000000002</v>
      </c>
      <c r="G110" s="116">
        <v>1.341</v>
      </c>
      <c r="H110" s="116">
        <v>2039.971</v>
      </c>
      <c r="I110" s="116">
        <v>-0.80600000000000005</v>
      </c>
      <c r="J110" s="116">
        <v>2039.165</v>
      </c>
      <c r="K110" s="116">
        <v>582.61300000000006</v>
      </c>
      <c r="L110" s="116">
        <v>2621.7779999999998</v>
      </c>
      <c r="M110" s="116">
        <v>617.02300000000002</v>
      </c>
      <c r="N110" s="116">
        <v>0</v>
      </c>
      <c r="O110" s="116">
        <v>2004.7550000000001</v>
      </c>
      <c r="P110" s="14">
        <v>1958.0219999999999</v>
      </c>
    </row>
    <row r="111" spans="1:18" x14ac:dyDescent="0.25">
      <c r="A111" s="7"/>
      <c r="B111" s="47">
        <v>2017</v>
      </c>
      <c r="C111" s="116">
        <v>1334.7090000000001</v>
      </c>
      <c r="D111" s="116">
        <v>387.33100000000002</v>
      </c>
      <c r="E111" s="116">
        <v>397.79399999999998</v>
      </c>
      <c r="F111" s="116">
        <v>57.575000000000003</v>
      </c>
      <c r="G111" s="116">
        <v>0.66400000000000003</v>
      </c>
      <c r="H111" s="116">
        <v>2120.498</v>
      </c>
      <c r="I111" s="116">
        <v>2.7770000000000001</v>
      </c>
      <c r="J111" s="116">
        <v>2123.2750000000001</v>
      </c>
      <c r="K111" s="116">
        <v>649.59</v>
      </c>
      <c r="L111" s="116">
        <v>2772.8649999999998</v>
      </c>
      <c r="M111" s="116">
        <v>675.64300000000003</v>
      </c>
      <c r="N111" s="116">
        <v>0</v>
      </c>
      <c r="O111" s="116">
        <v>2097.2220000000002</v>
      </c>
      <c r="P111" s="14">
        <v>2074.819</v>
      </c>
    </row>
    <row r="112" spans="1:18" x14ac:dyDescent="0.25">
      <c r="A112" s="7"/>
      <c r="B112" s="47">
        <v>2018</v>
      </c>
      <c r="C112" s="116">
        <v>1389.9079999999999</v>
      </c>
      <c r="D112" s="116">
        <v>397.81900000000002</v>
      </c>
      <c r="E112" s="116">
        <v>405.86700000000002</v>
      </c>
      <c r="F112" s="116">
        <v>58.384999999999998</v>
      </c>
      <c r="G112" s="116">
        <v>2.5640000000000001</v>
      </c>
      <c r="H112" s="116">
        <v>2196.1579999999999</v>
      </c>
      <c r="I112" s="116">
        <v>1.4750000000000001</v>
      </c>
      <c r="J112" s="116">
        <v>2197.6329999999998</v>
      </c>
      <c r="K112" s="116">
        <v>691.74</v>
      </c>
      <c r="L112" s="116">
        <v>2889.373</v>
      </c>
      <c r="M112" s="116">
        <v>717.81399999999996</v>
      </c>
      <c r="N112" s="116">
        <v>0</v>
      </c>
      <c r="O112" s="116">
        <v>2171.5590000000002</v>
      </c>
      <c r="P112" s="14">
        <v>2142.3049999999998</v>
      </c>
    </row>
    <row r="113" spans="1:18" x14ac:dyDescent="0.25">
      <c r="A113" s="7"/>
      <c r="B113" s="47">
        <v>2019</v>
      </c>
      <c r="C113" s="116">
        <v>1425.5440000000001</v>
      </c>
      <c r="D113" s="116">
        <v>425.69900000000001</v>
      </c>
      <c r="E113" s="116">
        <v>424.262</v>
      </c>
      <c r="F113" s="116">
        <v>62.246000000000002</v>
      </c>
      <c r="G113" s="116">
        <v>2.5819999999999999</v>
      </c>
      <c r="H113" s="116">
        <v>2278.087</v>
      </c>
      <c r="I113" s="116">
        <v>1.861</v>
      </c>
      <c r="J113" s="116">
        <v>2279.9479999999999</v>
      </c>
      <c r="K113" s="116">
        <v>718.75900000000001</v>
      </c>
      <c r="L113" s="116">
        <v>2998.7069999999999</v>
      </c>
      <c r="M113" s="116">
        <v>745.74599999999998</v>
      </c>
      <c r="N113" s="116">
        <v>0</v>
      </c>
      <c r="O113" s="116">
        <v>2252.9609999999998</v>
      </c>
      <c r="P113" s="14">
        <v>2250.7020000000002</v>
      </c>
    </row>
    <row r="114" spans="1:18" x14ac:dyDescent="0.25">
      <c r="A114" s="7"/>
      <c r="B114" s="47">
        <v>2020</v>
      </c>
      <c r="C114" s="116">
        <v>1246.4090000000001</v>
      </c>
      <c r="D114" s="116">
        <v>474.22899999999998</v>
      </c>
      <c r="E114" s="116">
        <v>387.15899999999999</v>
      </c>
      <c r="F114" s="116">
        <v>65.941000000000003</v>
      </c>
      <c r="G114" s="116">
        <v>0.26100000000000001</v>
      </c>
      <c r="H114" s="116">
        <v>2108.058</v>
      </c>
      <c r="I114" s="116">
        <v>0.99399999999999999</v>
      </c>
      <c r="J114" s="116">
        <v>2109.0520000000001</v>
      </c>
      <c r="K114" s="116">
        <v>636.32500000000005</v>
      </c>
      <c r="L114" s="116">
        <v>2745.377</v>
      </c>
      <c r="M114" s="116">
        <v>620.65700000000004</v>
      </c>
      <c r="N114" s="116">
        <v>0</v>
      </c>
      <c r="O114" s="116">
        <v>2124.7199999999998</v>
      </c>
      <c r="P114" s="14">
        <v>2079.7469999999998</v>
      </c>
    </row>
    <row r="115" spans="1:18" x14ac:dyDescent="0.25">
      <c r="A115" s="7"/>
      <c r="B115" s="47">
        <v>2021</v>
      </c>
      <c r="C115" s="116">
        <v>1374.171</v>
      </c>
      <c r="D115" s="116">
        <v>508.59</v>
      </c>
      <c r="E115" s="116">
        <v>430.541</v>
      </c>
      <c r="F115" s="116">
        <v>71.593999999999994</v>
      </c>
      <c r="G115" s="116">
        <v>7.9009999999999998</v>
      </c>
      <c r="H115" s="116">
        <v>2321.203</v>
      </c>
      <c r="I115" s="116">
        <v>0.51</v>
      </c>
      <c r="J115" s="116">
        <v>2321.7130000000002</v>
      </c>
      <c r="K115" s="116">
        <v>680.29100000000005</v>
      </c>
      <c r="L115" s="116">
        <v>3002.0039999999999</v>
      </c>
      <c r="M115" s="116">
        <v>679.35199999999998</v>
      </c>
      <c r="N115" s="116">
        <v>0</v>
      </c>
      <c r="O115" s="116">
        <v>2322.652</v>
      </c>
      <c r="P115" s="14">
        <v>2322.788</v>
      </c>
    </row>
    <row r="116" spans="1:18" x14ac:dyDescent="0.25">
      <c r="A116" s="7"/>
      <c r="B116" s="47">
        <v>2022</v>
      </c>
      <c r="C116" s="116">
        <v>1604.5940000000001</v>
      </c>
      <c r="D116" s="116">
        <v>530.57899999999995</v>
      </c>
      <c r="E116" s="116">
        <v>490.44900000000001</v>
      </c>
      <c r="F116" s="116">
        <v>78.944000000000003</v>
      </c>
      <c r="G116" s="116">
        <v>-19.943999999999999</v>
      </c>
      <c r="H116" s="116">
        <v>2605.6779999999999</v>
      </c>
      <c r="I116" s="116">
        <v>3.0179999999999998</v>
      </c>
      <c r="J116" s="116">
        <v>2608.6959999999999</v>
      </c>
      <c r="K116" s="116">
        <v>879.12099999999998</v>
      </c>
      <c r="L116" s="116">
        <v>3487.817</v>
      </c>
      <c r="M116" s="116">
        <v>906.86800000000005</v>
      </c>
      <c r="N116" s="116">
        <v>0</v>
      </c>
      <c r="O116" s="116">
        <v>2580.9490000000001</v>
      </c>
      <c r="P116" s="14">
        <v>2582.3150000000001</v>
      </c>
    </row>
    <row r="117" spans="1:18" x14ac:dyDescent="0.25">
      <c r="A117" s="7"/>
      <c r="B117" s="47">
        <v>2023</v>
      </c>
      <c r="C117" s="116">
        <v>1708.903</v>
      </c>
      <c r="D117" s="116">
        <v>567.36900000000003</v>
      </c>
      <c r="E117" s="116">
        <v>520.09100000000001</v>
      </c>
      <c r="F117" s="116">
        <v>88.231999999999999</v>
      </c>
      <c r="G117" s="116">
        <v>-13.342000000000001</v>
      </c>
      <c r="H117" s="116">
        <v>2783.0210000000002</v>
      </c>
      <c r="I117" s="116">
        <v>1.284</v>
      </c>
      <c r="J117" s="116">
        <v>2784.3049999999998</v>
      </c>
      <c r="K117" s="116">
        <v>878.27800000000002</v>
      </c>
      <c r="L117" s="116">
        <v>3662.5830000000001</v>
      </c>
      <c r="M117" s="116">
        <v>910.41899999999998</v>
      </c>
      <c r="N117" s="116">
        <v>0</v>
      </c>
      <c r="O117" s="116">
        <v>2752.1640000000002</v>
      </c>
      <c r="P117" s="14">
        <v>2706.2159999999999</v>
      </c>
    </row>
    <row r="118" spans="1:18" x14ac:dyDescent="0.25">
      <c r="A118" s="7"/>
      <c r="B118" s="47">
        <v>2024</v>
      </c>
      <c r="C118" s="116">
        <v>1756.242</v>
      </c>
      <c r="D118" s="116">
        <v>604.41300000000001</v>
      </c>
      <c r="E118" s="116">
        <v>539.83600000000001</v>
      </c>
      <c r="F118" s="116">
        <v>93.906000000000006</v>
      </c>
      <c r="G118" s="116">
        <v>6.5170000000000003</v>
      </c>
      <c r="H118" s="116">
        <v>2907.0079999999998</v>
      </c>
      <c r="I118" s="116">
        <v>9.0120000000000005</v>
      </c>
      <c r="J118" s="116">
        <v>2916.02</v>
      </c>
      <c r="K118" s="116">
        <v>896.971</v>
      </c>
      <c r="L118" s="116">
        <v>3812.991</v>
      </c>
      <c r="M118" s="116">
        <v>917.73500000000001</v>
      </c>
      <c r="N118" s="116">
        <v>-5.0019999999999998</v>
      </c>
      <c r="O118" s="116">
        <v>2890.2539999999999</v>
      </c>
      <c r="P118" s="14">
        <v>2842.8409999999999</v>
      </c>
    </row>
    <row r="119" spans="1:18" x14ac:dyDescent="0.25">
      <c r="A119" s="7"/>
      <c r="B119" s="47">
        <v>2025</v>
      </c>
      <c r="C119" s="116">
        <v>1837.039</v>
      </c>
      <c r="D119" s="116">
        <v>641.71400000000006</v>
      </c>
      <c r="E119" s="116">
        <v>572.70899999999995</v>
      </c>
      <c r="F119" s="116">
        <v>100.39400000000001</v>
      </c>
      <c r="G119" s="116">
        <v>23.478000000000002</v>
      </c>
      <c r="H119" s="116">
        <v>3074.94</v>
      </c>
      <c r="I119" s="116">
        <v>1.8340000000000001</v>
      </c>
      <c r="J119" s="116">
        <v>3076.7739999999999</v>
      </c>
      <c r="K119" s="116">
        <v>929.82299999999998</v>
      </c>
      <c r="L119" s="116">
        <v>4006.5970000000002</v>
      </c>
      <c r="M119" s="116">
        <v>969.28800000000001</v>
      </c>
      <c r="N119" s="116">
        <v>-3.4430000000000001</v>
      </c>
      <c r="O119" s="116">
        <v>3033.866</v>
      </c>
      <c r="P119" s="14">
        <v>2995.223</v>
      </c>
    </row>
    <row r="120" spans="1:18" x14ac:dyDescent="0.25">
      <c r="A120" s="7"/>
      <c r="B120" s="47">
        <v>2026</v>
      </c>
      <c r="C120" s="116">
        <v>1907.6555970000002</v>
      </c>
      <c r="D120" s="116">
        <v>678.00611243553772</v>
      </c>
      <c r="E120" s="116">
        <v>606.72069299999998</v>
      </c>
      <c r="F120" s="116">
        <v>115.9998353</v>
      </c>
      <c r="G120" s="116">
        <v>34.588829970000006</v>
      </c>
      <c r="H120" s="116">
        <v>3226.9712324055376</v>
      </c>
      <c r="I120" s="116">
        <v>7.8804504799999995</v>
      </c>
      <c r="J120" s="116">
        <v>3234.8516828855377</v>
      </c>
      <c r="K120" s="116">
        <v>968.86774800000001</v>
      </c>
      <c r="L120" s="116">
        <v>4203.719430000001</v>
      </c>
      <c r="M120" s="116">
        <v>1039.1956639999999</v>
      </c>
      <c r="N120" s="116">
        <v>-3.06480599</v>
      </c>
      <c r="O120" s="116">
        <v>3161.4589610000003</v>
      </c>
      <c r="P120" s="14">
        <v>3144.9340109999998</v>
      </c>
    </row>
    <row r="121" spans="1:18" x14ac:dyDescent="0.25">
      <c r="A121" s="7"/>
      <c r="B121" s="47">
        <v>2027</v>
      </c>
      <c r="C121" s="116">
        <v>1977.7891219999999</v>
      </c>
      <c r="D121" s="116">
        <v>693.86056619209046</v>
      </c>
      <c r="E121" s="116">
        <v>626.02798100000007</v>
      </c>
      <c r="F121" s="116">
        <v>122.82801880000001</v>
      </c>
      <c r="G121" s="116">
        <v>22.370642889999999</v>
      </c>
      <c r="H121" s="116">
        <v>3320.0483120820904</v>
      </c>
      <c r="I121" s="116">
        <v>2.6339896150000004</v>
      </c>
      <c r="J121" s="116">
        <v>3322.6823016970902</v>
      </c>
      <c r="K121" s="116">
        <v>990.978341</v>
      </c>
      <c r="L121" s="116">
        <v>4313.660640000001</v>
      </c>
      <c r="M121" s="116">
        <v>1046.70929</v>
      </c>
      <c r="N121" s="116">
        <v>-3.1345991929999997</v>
      </c>
      <c r="O121" s="116">
        <v>3263.8167530000005</v>
      </c>
      <c r="P121" s="14">
        <v>3233.3719910000004</v>
      </c>
    </row>
    <row r="122" spans="1:18" x14ac:dyDescent="0.25">
      <c r="A122" s="7"/>
      <c r="B122" s="47">
        <v>2028</v>
      </c>
      <c r="C122" s="116">
        <v>2055.3500010000002</v>
      </c>
      <c r="D122" s="116">
        <v>711.89939149543636</v>
      </c>
      <c r="E122" s="116">
        <v>640.26263799999992</v>
      </c>
      <c r="F122" s="116">
        <v>122.76548750000001</v>
      </c>
      <c r="G122" s="116">
        <v>18.498309960000004</v>
      </c>
      <c r="H122" s="116">
        <v>3426.0103404554361</v>
      </c>
      <c r="I122" s="116">
        <v>3.8818511010000001</v>
      </c>
      <c r="J122" s="116">
        <v>3429.892191556436</v>
      </c>
      <c r="K122" s="116">
        <v>1013.7965860000002</v>
      </c>
      <c r="L122" s="116">
        <v>4443.6887800000004</v>
      </c>
      <c r="M122" s="116">
        <v>1058.708404</v>
      </c>
      <c r="N122" s="116">
        <v>-3.1956236730000001</v>
      </c>
      <c r="O122" s="116">
        <v>3381.7847510000001</v>
      </c>
      <c r="P122" s="14">
        <v>3346.753479</v>
      </c>
    </row>
    <row r="123" spans="1:18" x14ac:dyDescent="0.25">
      <c r="A123" s="7"/>
      <c r="B123" s="47">
        <v>2029</v>
      </c>
      <c r="C123" s="116">
        <v>2139.9591209999999</v>
      </c>
      <c r="D123" s="116">
        <v>730.64114657075584</v>
      </c>
      <c r="E123" s="116">
        <v>658.80824699999994</v>
      </c>
      <c r="F123" s="116">
        <v>123.01599549999999</v>
      </c>
      <c r="G123" s="116">
        <v>18.828488469999996</v>
      </c>
      <c r="H123" s="116">
        <v>3548.2370030407556</v>
      </c>
      <c r="I123" s="116">
        <v>5.3033710900000006</v>
      </c>
      <c r="J123" s="116">
        <v>3553.5403741307555</v>
      </c>
      <c r="K123" s="116">
        <v>1041.0470090000001</v>
      </c>
      <c r="L123" s="116">
        <v>4594.5873799999999</v>
      </c>
      <c r="M123" s="116">
        <v>1080.4500849999999</v>
      </c>
      <c r="N123" s="116">
        <v>-3.2588261500000004</v>
      </c>
      <c r="O123" s="116">
        <v>3510.8784699999997</v>
      </c>
      <c r="P123" s="14">
        <v>3473.2473600000003</v>
      </c>
    </row>
    <row r="124" spans="1:18" x14ac:dyDescent="0.25">
      <c r="A124" s="7"/>
      <c r="B124" s="47">
        <v>2030</v>
      </c>
      <c r="C124" s="116">
        <v>2220.0026389999998</v>
      </c>
      <c r="D124" s="116">
        <v>755.43864133932721</v>
      </c>
      <c r="E124" s="116">
        <v>680.38816300000008</v>
      </c>
      <c r="F124" s="116">
        <v>125.7397237</v>
      </c>
      <c r="G124" s="116">
        <v>19.262089570000001</v>
      </c>
      <c r="H124" s="116">
        <v>3675.0915329093273</v>
      </c>
      <c r="I124" s="116">
        <v>4.8928442700000003</v>
      </c>
      <c r="J124" s="116">
        <v>3679.9843771793276</v>
      </c>
      <c r="K124" s="116">
        <v>1070.749307</v>
      </c>
      <c r="L124" s="116">
        <v>4750.7336899999991</v>
      </c>
      <c r="M124" s="116">
        <v>1107.126894</v>
      </c>
      <c r="N124" s="116">
        <v>-3.3226593539999998</v>
      </c>
      <c r="O124" s="116">
        <v>3640.2841320000002</v>
      </c>
      <c r="P124" s="14">
        <v>3601.6532029999998</v>
      </c>
      <c r="Q124" s="186"/>
      <c r="R124" s="187"/>
    </row>
    <row r="125" spans="1:18" x14ac:dyDescent="0.25">
      <c r="A125" s="7"/>
      <c r="B125" s="300">
        <v>2031</v>
      </c>
      <c r="C125" s="366">
        <v>2299.5553649999997</v>
      </c>
      <c r="D125" s="366">
        <v>782.74730933738942</v>
      </c>
      <c r="E125" s="366">
        <v>701.93423699999994</v>
      </c>
      <c r="F125" s="366">
        <v>128.96568439999999</v>
      </c>
      <c r="G125" s="366">
        <v>19.347404440000002</v>
      </c>
      <c r="H125" s="366">
        <v>3803.5843157773893</v>
      </c>
      <c r="I125" s="366">
        <v>4.80718858</v>
      </c>
      <c r="J125" s="366">
        <v>3808.3915043573897</v>
      </c>
      <c r="K125" s="366">
        <v>1101.5655260000001</v>
      </c>
      <c r="L125" s="366">
        <v>4909.9570300000005</v>
      </c>
      <c r="M125" s="366">
        <v>1136.4648340000001</v>
      </c>
      <c r="N125" s="366">
        <v>-3.3871141090000001</v>
      </c>
      <c r="O125" s="366">
        <v>3770.105082</v>
      </c>
      <c r="P125" s="367">
        <v>3731.3874539999997</v>
      </c>
      <c r="Q125" s="186"/>
      <c r="R125" s="187"/>
    </row>
    <row r="126" spans="1:18" x14ac:dyDescent="0.25">
      <c r="A126" s="7"/>
      <c r="B126" s="47" t="s">
        <v>136</v>
      </c>
      <c r="C126" s="116">
        <v>1005.158</v>
      </c>
      <c r="D126" s="116">
        <v>327.09199999999998</v>
      </c>
      <c r="E126" s="116">
        <v>289.214</v>
      </c>
      <c r="F126" s="116">
        <v>49.164000000000001</v>
      </c>
      <c r="G126" s="116">
        <v>0.71599999999999997</v>
      </c>
      <c r="H126" s="116">
        <v>1622.18</v>
      </c>
      <c r="I126" s="116">
        <v>-7.7530000000000001</v>
      </c>
      <c r="J126" s="116">
        <v>1614.4269999999999</v>
      </c>
      <c r="K126" s="116">
        <v>437.37200000000001</v>
      </c>
      <c r="L126" s="116">
        <v>2051.799</v>
      </c>
      <c r="M126" s="116">
        <v>459.52300000000002</v>
      </c>
      <c r="N126" s="116">
        <v>0</v>
      </c>
      <c r="O126" s="116">
        <v>1592.2760000000001</v>
      </c>
      <c r="P126" s="14">
        <v>1564.88</v>
      </c>
      <c r="Q126" s="186"/>
      <c r="R126" s="187"/>
    </row>
    <row r="127" spans="1:18" x14ac:dyDescent="0.25">
      <c r="B127" s="47" t="s">
        <v>137</v>
      </c>
      <c r="C127" s="116">
        <v>992.46299999999997</v>
      </c>
      <c r="D127" s="116">
        <v>341.22399999999999</v>
      </c>
      <c r="E127" s="116">
        <v>263.10599999999999</v>
      </c>
      <c r="F127" s="116">
        <v>52.162999999999997</v>
      </c>
      <c r="G127" s="116">
        <v>0.82199999999999995</v>
      </c>
      <c r="H127" s="116">
        <v>1597.615</v>
      </c>
      <c r="I127" s="116">
        <v>-10.055</v>
      </c>
      <c r="J127" s="116">
        <v>1587.56</v>
      </c>
      <c r="K127" s="116">
        <v>423.32900000000001</v>
      </c>
      <c r="L127" s="116">
        <v>2010.8889999999999</v>
      </c>
      <c r="M127" s="116">
        <v>443.13299999999998</v>
      </c>
      <c r="N127" s="116">
        <v>0</v>
      </c>
      <c r="O127" s="116">
        <v>1567.7560000000001</v>
      </c>
      <c r="P127" s="14">
        <v>1561.874</v>
      </c>
      <c r="Q127" s="186"/>
      <c r="R127" s="187"/>
    </row>
    <row r="128" spans="1:18" x14ac:dyDescent="0.25">
      <c r="B128" s="47" t="s">
        <v>138</v>
      </c>
      <c r="C128" s="116">
        <v>1041.8989999999999</v>
      </c>
      <c r="D128" s="116">
        <v>348.11</v>
      </c>
      <c r="E128" s="116">
        <v>267.89999999999998</v>
      </c>
      <c r="F128" s="116">
        <v>51.137999999999998</v>
      </c>
      <c r="G128" s="116">
        <v>-1.04</v>
      </c>
      <c r="H128" s="116">
        <v>1656.8689999999999</v>
      </c>
      <c r="I128" s="116">
        <v>-3.1539999999999999</v>
      </c>
      <c r="J128" s="116">
        <v>1653.7149999999999</v>
      </c>
      <c r="K128" s="116">
        <v>482.822</v>
      </c>
      <c r="L128" s="116">
        <v>2136.5369999999998</v>
      </c>
      <c r="M128" s="116">
        <v>502.303</v>
      </c>
      <c r="N128" s="116">
        <v>0</v>
      </c>
      <c r="O128" s="116">
        <v>1634.2339999999999</v>
      </c>
      <c r="P128" s="125">
        <v>1636.499</v>
      </c>
    </row>
    <row r="129" spans="2:16" x14ac:dyDescent="0.25">
      <c r="B129" s="47" t="s">
        <v>139</v>
      </c>
      <c r="C129" s="116">
        <v>1065.828</v>
      </c>
      <c r="D129" s="116">
        <v>349.13099999999997</v>
      </c>
      <c r="E129" s="116">
        <v>274.39600000000002</v>
      </c>
      <c r="F129" s="116">
        <v>46.127000000000002</v>
      </c>
      <c r="G129" s="116">
        <v>1.5569999999999999</v>
      </c>
      <c r="H129" s="116">
        <v>1690.912</v>
      </c>
      <c r="I129" s="116">
        <v>2.8170000000000002</v>
      </c>
      <c r="J129" s="116">
        <v>1693.729</v>
      </c>
      <c r="K129" s="116">
        <v>529.28300000000002</v>
      </c>
      <c r="L129" s="116">
        <v>2223.0120000000002</v>
      </c>
      <c r="M129" s="116">
        <v>542.93499999999995</v>
      </c>
      <c r="N129" s="116">
        <v>0</v>
      </c>
      <c r="O129" s="116">
        <v>1680.077</v>
      </c>
      <c r="P129" s="125">
        <v>1682.8440000000001</v>
      </c>
    </row>
    <row r="130" spans="2:16" x14ac:dyDescent="0.25">
      <c r="B130" s="152" t="s">
        <v>140</v>
      </c>
      <c r="C130" s="116">
        <v>1112.4280000000001</v>
      </c>
      <c r="D130" s="116">
        <v>353.22699999999998</v>
      </c>
      <c r="E130" s="116">
        <v>280.70999999999998</v>
      </c>
      <c r="F130" s="116">
        <v>44.755000000000003</v>
      </c>
      <c r="G130" s="116">
        <v>2.2970000000000002</v>
      </c>
      <c r="H130" s="116">
        <v>1748.662</v>
      </c>
      <c r="I130" s="116">
        <v>5.1740000000000004</v>
      </c>
      <c r="J130" s="116">
        <v>1753.836</v>
      </c>
      <c r="K130" s="116">
        <v>524.54</v>
      </c>
      <c r="L130" s="116">
        <v>2278.3760000000002</v>
      </c>
      <c r="M130" s="116">
        <v>543.28300000000002</v>
      </c>
      <c r="N130" s="116">
        <v>0</v>
      </c>
      <c r="O130" s="116">
        <v>1735.0930000000001</v>
      </c>
      <c r="P130" s="125">
        <v>1710.732</v>
      </c>
    </row>
    <row r="131" spans="2:16" x14ac:dyDescent="0.25">
      <c r="B131" s="152" t="s">
        <v>141</v>
      </c>
      <c r="C131" s="116">
        <v>1159.0029999999999</v>
      </c>
      <c r="D131" s="116">
        <v>360.29899999999998</v>
      </c>
      <c r="E131" s="116">
        <v>304.38299999999998</v>
      </c>
      <c r="F131" s="116">
        <v>45.921999999999997</v>
      </c>
      <c r="G131" s="116">
        <v>7.6040000000000001</v>
      </c>
      <c r="H131" s="116">
        <v>1831.289</v>
      </c>
      <c r="I131" s="116">
        <v>6.23</v>
      </c>
      <c r="J131" s="116">
        <v>1837.519</v>
      </c>
      <c r="K131" s="116">
        <v>538.34799999999996</v>
      </c>
      <c r="L131" s="116">
        <v>2375.8670000000002</v>
      </c>
      <c r="M131" s="116">
        <v>566.15099999999995</v>
      </c>
      <c r="N131" s="116">
        <v>0</v>
      </c>
      <c r="O131" s="116">
        <v>1809.7159999999999</v>
      </c>
      <c r="P131" s="125">
        <v>1783.162</v>
      </c>
    </row>
    <row r="132" spans="2:16" x14ac:dyDescent="0.25">
      <c r="B132" s="152" t="s">
        <v>142</v>
      </c>
      <c r="C132" s="116">
        <v>1203.7860000000001</v>
      </c>
      <c r="D132" s="116">
        <v>368.99799999999999</v>
      </c>
      <c r="E132" s="116">
        <v>329.50900000000001</v>
      </c>
      <c r="F132" s="116">
        <v>50.694000000000003</v>
      </c>
      <c r="G132" s="116">
        <v>7.1020000000000003</v>
      </c>
      <c r="H132" s="116">
        <v>1909.395</v>
      </c>
      <c r="I132" s="116">
        <v>19.405000000000001</v>
      </c>
      <c r="J132" s="116">
        <v>1928.8</v>
      </c>
      <c r="K132" s="116">
        <v>535.15200000000004</v>
      </c>
      <c r="L132" s="116">
        <v>2463.9520000000002</v>
      </c>
      <c r="M132" s="116">
        <v>571.55200000000002</v>
      </c>
      <c r="N132" s="116">
        <v>0</v>
      </c>
      <c r="O132" s="116">
        <v>1892.4</v>
      </c>
      <c r="P132" s="125">
        <v>1854.9690000000001</v>
      </c>
    </row>
    <row r="133" spans="2:16" x14ac:dyDescent="0.25">
      <c r="B133" s="152" t="s">
        <v>143</v>
      </c>
      <c r="C133" s="116">
        <v>1238.2429999999999</v>
      </c>
      <c r="D133" s="116">
        <v>374.60599999999999</v>
      </c>
      <c r="E133" s="116">
        <v>349.57600000000002</v>
      </c>
      <c r="F133" s="116">
        <v>49.42</v>
      </c>
      <c r="G133" s="116">
        <v>-0.85099999999999998</v>
      </c>
      <c r="H133" s="116">
        <v>1961.5740000000001</v>
      </c>
      <c r="I133" s="116">
        <v>4.835</v>
      </c>
      <c r="J133" s="116">
        <v>1966.4090000000001</v>
      </c>
      <c r="K133" s="116">
        <v>541.98</v>
      </c>
      <c r="L133" s="116">
        <v>2508.3890000000001</v>
      </c>
      <c r="M133" s="116">
        <v>565.745</v>
      </c>
      <c r="N133" s="116">
        <v>0</v>
      </c>
      <c r="O133" s="116">
        <v>1942.644</v>
      </c>
      <c r="P133" s="125">
        <v>1896.09</v>
      </c>
    </row>
    <row r="134" spans="2:16" x14ac:dyDescent="0.25">
      <c r="B134" s="152" t="s">
        <v>144</v>
      </c>
      <c r="C134" s="116">
        <v>1299.2429999999999</v>
      </c>
      <c r="D134" s="116">
        <v>383.07299999999998</v>
      </c>
      <c r="E134" s="116">
        <v>378.29300000000001</v>
      </c>
      <c r="F134" s="116">
        <v>52.926000000000002</v>
      </c>
      <c r="G134" s="116">
        <v>-0.20399999999999999</v>
      </c>
      <c r="H134" s="116">
        <v>2060.4050000000002</v>
      </c>
      <c r="I134" s="116">
        <v>1.992</v>
      </c>
      <c r="J134" s="116">
        <v>2062.3969999999999</v>
      </c>
      <c r="K134" s="116">
        <v>603.39400000000001</v>
      </c>
      <c r="L134" s="116">
        <v>2665.7910000000002</v>
      </c>
      <c r="M134" s="116">
        <v>636.37400000000002</v>
      </c>
      <c r="N134" s="116">
        <v>0</v>
      </c>
      <c r="O134" s="116">
        <v>2029.4169999999999</v>
      </c>
      <c r="P134" s="125">
        <v>1992.981</v>
      </c>
    </row>
    <row r="135" spans="2:16" x14ac:dyDescent="0.25">
      <c r="B135" s="152" t="s">
        <v>145</v>
      </c>
      <c r="C135" s="116">
        <v>1348.299</v>
      </c>
      <c r="D135" s="116">
        <v>389.04399999999998</v>
      </c>
      <c r="E135" s="116">
        <v>403.7</v>
      </c>
      <c r="F135" s="116">
        <v>59.457999999999998</v>
      </c>
      <c r="G135" s="116">
        <v>1.619</v>
      </c>
      <c r="H135" s="116">
        <v>2142.6619999999998</v>
      </c>
      <c r="I135" s="116">
        <v>-0.96899999999999997</v>
      </c>
      <c r="J135" s="116">
        <v>2141.6930000000002</v>
      </c>
      <c r="K135" s="116">
        <v>658.29700000000003</v>
      </c>
      <c r="L135" s="116">
        <v>2799.99</v>
      </c>
      <c r="M135" s="116">
        <v>684.91099999999994</v>
      </c>
      <c r="N135" s="116">
        <v>0</v>
      </c>
      <c r="O135" s="116">
        <v>2115.0790000000002</v>
      </c>
      <c r="P135" s="125">
        <v>2088.5970000000002</v>
      </c>
    </row>
    <row r="136" spans="2:16" x14ac:dyDescent="0.25">
      <c r="B136" s="152" t="s">
        <v>146</v>
      </c>
      <c r="C136" s="116">
        <v>1400.539</v>
      </c>
      <c r="D136" s="116">
        <v>401.90499999999997</v>
      </c>
      <c r="E136" s="116">
        <v>410.625</v>
      </c>
      <c r="F136" s="116">
        <v>59.838999999999999</v>
      </c>
      <c r="G136" s="116">
        <v>13.702</v>
      </c>
      <c r="H136" s="116">
        <v>2226.7710000000002</v>
      </c>
      <c r="I136" s="116">
        <v>8.5679999999999996</v>
      </c>
      <c r="J136" s="116">
        <v>2235.3389999999999</v>
      </c>
      <c r="K136" s="116">
        <v>698.17399999999998</v>
      </c>
      <c r="L136" s="116">
        <v>2933.5129999999999</v>
      </c>
      <c r="M136" s="116">
        <v>743.13300000000004</v>
      </c>
      <c r="N136" s="116">
        <v>0</v>
      </c>
      <c r="O136" s="116">
        <v>2190.38</v>
      </c>
      <c r="P136" s="125">
        <v>2169.1410000000001</v>
      </c>
    </row>
    <row r="137" spans="2:16" x14ac:dyDescent="0.25">
      <c r="B137" s="152" t="s">
        <v>147</v>
      </c>
      <c r="C137" s="116">
        <v>1417.2539999999999</v>
      </c>
      <c r="D137" s="116">
        <v>432.04199999999997</v>
      </c>
      <c r="E137" s="116">
        <v>420.71499999999997</v>
      </c>
      <c r="F137" s="116">
        <v>60.875</v>
      </c>
      <c r="G137" s="116">
        <v>-7.9580000000000002</v>
      </c>
      <c r="H137" s="116">
        <v>2262.0529999999999</v>
      </c>
      <c r="I137" s="116">
        <v>-4.51</v>
      </c>
      <c r="J137" s="116">
        <v>2257.5430000000001</v>
      </c>
      <c r="K137" s="116">
        <v>718.38699999999994</v>
      </c>
      <c r="L137" s="116">
        <v>2975.93</v>
      </c>
      <c r="M137" s="116">
        <v>717.58799999999997</v>
      </c>
      <c r="N137" s="116">
        <v>0</v>
      </c>
      <c r="O137" s="116">
        <v>2258.3420000000001</v>
      </c>
      <c r="P137" s="125">
        <v>2247.8820000000001</v>
      </c>
    </row>
    <row r="138" spans="2:16" x14ac:dyDescent="0.25">
      <c r="B138" s="152" t="s">
        <v>148</v>
      </c>
      <c r="C138" s="116">
        <v>1206.8689999999999</v>
      </c>
      <c r="D138" s="116">
        <v>494.59500000000003</v>
      </c>
      <c r="E138" s="116">
        <v>385.02800000000002</v>
      </c>
      <c r="F138" s="116">
        <v>67.468000000000004</v>
      </c>
      <c r="G138" s="116">
        <v>7.891</v>
      </c>
      <c r="H138" s="116">
        <v>2094.3829999999998</v>
      </c>
      <c r="I138" s="116">
        <v>2.7440000000000002</v>
      </c>
      <c r="J138" s="116">
        <v>2097.127</v>
      </c>
      <c r="K138" s="116">
        <v>621.35199999999998</v>
      </c>
      <c r="L138" s="116">
        <v>2718.4789999999998</v>
      </c>
      <c r="M138" s="116">
        <v>608.00800000000004</v>
      </c>
      <c r="N138" s="116">
        <v>0</v>
      </c>
      <c r="O138" s="116">
        <v>2110.471</v>
      </c>
      <c r="P138" s="125">
        <v>2074.4960000000001</v>
      </c>
    </row>
    <row r="139" spans="2:16" x14ac:dyDescent="0.25">
      <c r="B139" s="152" t="s">
        <v>149</v>
      </c>
      <c r="C139" s="116">
        <v>1447.2560000000001</v>
      </c>
      <c r="D139" s="116">
        <v>513.36400000000003</v>
      </c>
      <c r="E139" s="116">
        <v>447.12299999999999</v>
      </c>
      <c r="F139" s="116">
        <v>74.513000000000005</v>
      </c>
      <c r="G139" s="116">
        <v>7.7190000000000003</v>
      </c>
      <c r="H139" s="116">
        <v>2415.462</v>
      </c>
      <c r="I139" s="116">
        <v>9.6110000000000007</v>
      </c>
      <c r="J139" s="116">
        <v>2425.0729999999999</v>
      </c>
      <c r="K139" s="116">
        <v>709.29600000000005</v>
      </c>
      <c r="L139" s="116">
        <v>3134.3690000000001</v>
      </c>
      <c r="M139" s="116">
        <v>733.81899999999996</v>
      </c>
      <c r="N139" s="116">
        <v>0</v>
      </c>
      <c r="O139" s="116">
        <v>2400.5500000000002</v>
      </c>
      <c r="P139" s="125">
        <v>2395.357</v>
      </c>
    </row>
    <row r="140" spans="2:16" x14ac:dyDescent="0.25">
      <c r="B140" s="152" t="s">
        <v>150</v>
      </c>
      <c r="C140" s="116">
        <v>1650.7149999999999</v>
      </c>
      <c r="D140" s="116">
        <v>531.78099999999995</v>
      </c>
      <c r="E140" s="116">
        <v>505.27100000000002</v>
      </c>
      <c r="F140" s="116">
        <v>82.444000000000003</v>
      </c>
      <c r="G140" s="116">
        <v>-34.134</v>
      </c>
      <c r="H140" s="116">
        <v>2653.6329999999998</v>
      </c>
      <c r="I140" s="116">
        <v>-10.01</v>
      </c>
      <c r="J140" s="116">
        <v>2643.623</v>
      </c>
      <c r="K140" s="116">
        <v>918.77700000000004</v>
      </c>
      <c r="L140" s="116">
        <v>3562.4</v>
      </c>
      <c r="M140" s="116">
        <v>925.27099999999996</v>
      </c>
      <c r="N140" s="116">
        <v>0</v>
      </c>
      <c r="O140" s="116">
        <v>2637.1289999999999</v>
      </c>
      <c r="P140" s="125">
        <v>2633.3069999999998</v>
      </c>
    </row>
    <row r="141" spans="2:16" x14ac:dyDescent="0.25">
      <c r="B141" s="152" t="s">
        <v>151</v>
      </c>
      <c r="C141" s="116">
        <v>1717.27</v>
      </c>
      <c r="D141" s="116">
        <v>578.30100000000004</v>
      </c>
      <c r="E141" s="116">
        <v>519.68499999999995</v>
      </c>
      <c r="F141" s="116">
        <v>88.620999999999995</v>
      </c>
      <c r="G141" s="116">
        <v>-9.7680000000000007</v>
      </c>
      <c r="H141" s="116">
        <v>2805.4879999999998</v>
      </c>
      <c r="I141" s="116">
        <v>5.6950000000000003</v>
      </c>
      <c r="J141" s="116">
        <v>2811.183</v>
      </c>
      <c r="K141" s="116">
        <v>868.21600000000001</v>
      </c>
      <c r="L141" s="116">
        <v>3679.3989999999999</v>
      </c>
      <c r="M141" s="116">
        <v>900.73599999999999</v>
      </c>
      <c r="N141" s="116">
        <v>-0.65300000000000002</v>
      </c>
      <c r="O141" s="116">
        <v>2778.01</v>
      </c>
      <c r="P141" s="125">
        <v>2731.82</v>
      </c>
    </row>
    <row r="142" spans="2:16" x14ac:dyDescent="0.25">
      <c r="B142" s="152" t="s">
        <v>152</v>
      </c>
      <c r="C142" s="116">
        <v>1775.3689999999999</v>
      </c>
      <c r="D142" s="116">
        <v>615.42600000000004</v>
      </c>
      <c r="E142" s="116">
        <v>549.22299999999996</v>
      </c>
      <c r="F142" s="116">
        <v>95.058999999999997</v>
      </c>
      <c r="G142" s="116">
        <v>14.433</v>
      </c>
      <c r="H142" s="116">
        <v>2954.451</v>
      </c>
      <c r="I142" s="116">
        <v>9.2119999999999997</v>
      </c>
      <c r="J142" s="116">
        <v>2963.663</v>
      </c>
      <c r="K142" s="116">
        <v>912.245</v>
      </c>
      <c r="L142" s="116">
        <v>3875.9079999999999</v>
      </c>
      <c r="M142" s="116">
        <v>937.51599999999996</v>
      </c>
      <c r="N142" s="116">
        <v>-5.569</v>
      </c>
      <c r="O142" s="116">
        <v>2932.8229999999999</v>
      </c>
      <c r="P142" s="125">
        <v>2886.6</v>
      </c>
    </row>
    <row r="143" spans="2:16" x14ac:dyDescent="0.25">
      <c r="B143" s="152" t="s">
        <v>153</v>
      </c>
      <c r="C143" s="116">
        <v>1855.057</v>
      </c>
      <c r="D143" s="116">
        <v>650.33799999999997</v>
      </c>
      <c r="E143" s="116">
        <v>579.38699999999994</v>
      </c>
      <c r="F143" s="116">
        <v>103.184</v>
      </c>
      <c r="G143" s="116">
        <v>26.233000000000001</v>
      </c>
      <c r="H143" s="116">
        <v>3111.0149999999999</v>
      </c>
      <c r="I143" s="116">
        <v>3.98</v>
      </c>
      <c r="J143" s="116">
        <v>3114.9949999999999</v>
      </c>
      <c r="K143" s="116">
        <v>936.59799999999996</v>
      </c>
      <c r="L143" s="116">
        <v>4051.5929999999998</v>
      </c>
      <c r="M143" s="116">
        <v>981.76099999999997</v>
      </c>
      <c r="N143" s="116">
        <v>-2.9809999999999999</v>
      </c>
      <c r="O143" s="116">
        <v>3066.8510000000001</v>
      </c>
      <c r="P143" s="125">
        <v>3033.6610000000001</v>
      </c>
    </row>
    <row r="144" spans="2:16" x14ac:dyDescent="0.25">
      <c r="B144" s="152" t="s">
        <v>154</v>
      </c>
      <c r="C144" s="116">
        <v>1924.8057650000001</v>
      </c>
      <c r="D144" s="116">
        <v>685.40809542473107</v>
      </c>
      <c r="E144" s="116">
        <v>614.83240999999987</v>
      </c>
      <c r="F144" s="116">
        <v>119.9205448</v>
      </c>
      <c r="G144" s="116">
        <v>33.078764020000001</v>
      </c>
      <c r="H144" s="116">
        <v>3258.1250344447308</v>
      </c>
      <c r="I144" s="116">
        <v>4.8498609859999995</v>
      </c>
      <c r="J144" s="116">
        <v>3262.9748954307311</v>
      </c>
      <c r="K144" s="116">
        <v>975.26969299999996</v>
      </c>
      <c r="L144" s="116">
        <v>4238.2445900000012</v>
      </c>
      <c r="M144" s="116">
        <v>1048.0713669999998</v>
      </c>
      <c r="N144" s="116">
        <v>-3.084511826</v>
      </c>
      <c r="O144" s="116">
        <v>3187.0887090000001</v>
      </c>
      <c r="P144" s="125">
        <v>3167.947353</v>
      </c>
    </row>
    <row r="145" spans="2:16" x14ac:dyDescent="0.25">
      <c r="B145" s="152" t="s">
        <v>155</v>
      </c>
      <c r="C145" s="116">
        <v>1996.1825079999999</v>
      </c>
      <c r="D145" s="116">
        <v>696.27133301506365</v>
      </c>
      <c r="E145" s="116">
        <v>628.71796100000017</v>
      </c>
      <c r="F145" s="116">
        <v>122.4268088</v>
      </c>
      <c r="G145" s="116">
        <v>20.601822630000001</v>
      </c>
      <c r="H145" s="116">
        <v>3341.7736246450631</v>
      </c>
      <c r="I145" s="116">
        <v>2.7372061899999998</v>
      </c>
      <c r="J145" s="116">
        <v>3344.5108308350636</v>
      </c>
      <c r="K145" s="116">
        <v>996.64049</v>
      </c>
      <c r="L145" s="116">
        <v>4341.1513199999999</v>
      </c>
      <c r="M145" s="116">
        <v>1046.979887</v>
      </c>
      <c r="N145" s="116">
        <v>-3.1498467990000001</v>
      </c>
      <c r="O145" s="116">
        <v>3291.0215869999997</v>
      </c>
      <c r="P145" s="125">
        <v>3258.4818790000004</v>
      </c>
    </row>
    <row r="146" spans="2:16" x14ac:dyDescent="0.25">
      <c r="B146" s="152" t="s">
        <v>156</v>
      </c>
      <c r="C146" s="116">
        <v>2076.1497860000004</v>
      </c>
      <c r="D146" s="116">
        <v>717.48654557751115</v>
      </c>
      <c r="E146" s="116">
        <v>644.70163599999989</v>
      </c>
      <c r="F146" s="116">
        <v>122.89070199999999</v>
      </c>
      <c r="G146" s="116">
        <v>17.997434509999998</v>
      </c>
      <c r="H146" s="116">
        <v>3456.3354020875113</v>
      </c>
      <c r="I146" s="116">
        <v>4.4786029000000003</v>
      </c>
      <c r="J146" s="116">
        <v>3460.8140049875115</v>
      </c>
      <c r="K146" s="116">
        <v>1019.834682</v>
      </c>
      <c r="L146" s="116">
        <v>4480.6486799999993</v>
      </c>
      <c r="M146" s="116">
        <v>1063.338391</v>
      </c>
      <c r="N146" s="116">
        <v>-3.2115743460000004</v>
      </c>
      <c r="O146" s="116">
        <v>3414.0987219999997</v>
      </c>
      <c r="P146" s="125">
        <v>3378.45055</v>
      </c>
    </row>
    <row r="147" spans="2:16" x14ac:dyDescent="0.25">
      <c r="B147" s="152" t="s">
        <v>157</v>
      </c>
      <c r="C147" s="116">
        <v>2160.6478280000001</v>
      </c>
      <c r="D147" s="116">
        <v>735.41046154760659</v>
      </c>
      <c r="E147" s="116">
        <v>663.89470699999993</v>
      </c>
      <c r="F147" s="116">
        <v>123.3260227</v>
      </c>
      <c r="G147" s="116">
        <v>19.092726210000002</v>
      </c>
      <c r="H147" s="116">
        <v>3579.0457227576067</v>
      </c>
      <c r="I147" s="116">
        <v>5.3112324800000001</v>
      </c>
      <c r="J147" s="116">
        <v>3584.3569552376066</v>
      </c>
      <c r="K147" s="116">
        <v>1048.5858600000001</v>
      </c>
      <c r="L147" s="116">
        <v>4632.9428199999993</v>
      </c>
      <c r="M147" s="116">
        <v>1086.7188180000001</v>
      </c>
      <c r="N147" s="116">
        <v>-3.2744488719999998</v>
      </c>
      <c r="O147" s="116">
        <v>3542.9495469999997</v>
      </c>
      <c r="P147" s="125">
        <v>3504.9316940000003</v>
      </c>
    </row>
    <row r="148" spans="2:16" x14ac:dyDescent="0.25">
      <c r="B148" s="152" t="s">
        <v>158</v>
      </c>
      <c r="C148" s="116">
        <v>2239.6445239999998</v>
      </c>
      <c r="D148" s="116">
        <v>762.95290487131263</v>
      </c>
      <c r="E148" s="116">
        <v>686.01986600000009</v>
      </c>
      <c r="F148" s="116">
        <v>126.72550750000001</v>
      </c>
      <c r="G148" s="116">
        <v>19.2578128</v>
      </c>
      <c r="H148" s="116">
        <v>3707.8751076713129</v>
      </c>
      <c r="I148" s="116">
        <v>4.6739199600000001</v>
      </c>
      <c r="J148" s="116">
        <v>3712.5490276313126</v>
      </c>
      <c r="K148" s="116">
        <v>1078.1332259999999</v>
      </c>
      <c r="L148" s="116">
        <v>4790.6822599999996</v>
      </c>
      <c r="M148" s="116">
        <v>1114.3654730000001</v>
      </c>
      <c r="N148" s="116">
        <v>-3.3389877930000003</v>
      </c>
      <c r="O148" s="116">
        <v>3672.9777949999998</v>
      </c>
      <c r="P148" s="125">
        <v>3634.2828650000001</v>
      </c>
    </row>
    <row r="149" spans="2:16" ht="16.5" thickBot="1" x14ac:dyDescent="0.3">
      <c r="B149" s="212" t="s">
        <v>649</v>
      </c>
      <c r="C149" s="116">
        <v>2319.8873020000001</v>
      </c>
      <c r="D149" s="116">
        <v>788.22905177336145</v>
      </c>
      <c r="E149" s="116">
        <v>706.90315599999997</v>
      </c>
      <c r="F149" s="116">
        <v>129.46648529999999</v>
      </c>
      <c r="G149" s="116">
        <v>19.336763010000002</v>
      </c>
      <c r="H149" s="116">
        <v>3834.3562727833614</v>
      </c>
      <c r="I149" s="116">
        <v>5.0655609999999998</v>
      </c>
      <c r="J149" s="116">
        <v>3839.4218337833613</v>
      </c>
      <c r="K149" s="116">
        <v>1109.693127</v>
      </c>
      <c r="L149" s="116">
        <v>4949.1149599999999</v>
      </c>
      <c r="M149" s="116">
        <v>1143.9148810000002</v>
      </c>
      <c r="N149" s="116">
        <v>-3.4027417529999999</v>
      </c>
      <c r="O149" s="116">
        <v>3801.797337</v>
      </c>
      <c r="P149" s="125">
        <v>3762.8682450000001</v>
      </c>
    </row>
    <row r="150" spans="2:16" x14ac:dyDescent="0.25">
      <c r="B150" s="307" t="s">
        <v>159</v>
      </c>
      <c r="C150" s="308"/>
      <c r="D150" s="308"/>
      <c r="E150" s="308"/>
      <c r="F150" s="308"/>
      <c r="G150" s="308"/>
      <c r="H150" s="308"/>
      <c r="I150" s="308"/>
      <c r="J150" s="308"/>
      <c r="K150" s="308"/>
      <c r="L150" s="308"/>
      <c r="M150" s="308"/>
      <c r="N150" s="308"/>
      <c r="O150" s="308"/>
      <c r="P150" s="311"/>
    </row>
    <row r="151" spans="2:16" x14ac:dyDescent="0.25">
      <c r="B151" s="276" t="s">
        <v>179</v>
      </c>
      <c r="C151" s="277"/>
      <c r="D151" s="277"/>
      <c r="E151" s="277"/>
      <c r="F151" s="277"/>
      <c r="G151" s="277"/>
      <c r="H151" s="277"/>
      <c r="I151" s="277"/>
      <c r="J151" s="277"/>
      <c r="K151" s="277"/>
      <c r="L151" s="277"/>
      <c r="M151" s="277"/>
      <c r="N151" s="277"/>
      <c r="O151" s="277"/>
      <c r="P151" s="286"/>
    </row>
    <row r="152" spans="2:16" x14ac:dyDescent="0.25">
      <c r="B152" s="276" t="s">
        <v>180</v>
      </c>
      <c r="C152" s="277"/>
      <c r="D152" s="277"/>
      <c r="E152" s="277"/>
      <c r="F152" s="277"/>
      <c r="G152" s="277"/>
      <c r="H152" s="277"/>
      <c r="I152" s="277"/>
      <c r="J152" s="277"/>
      <c r="K152" s="277"/>
      <c r="L152" s="277"/>
      <c r="M152" s="277"/>
      <c r="N152" s="277"/>
      <c r="O152" s="277"/>
      <c r="P152" s="286"/>
    </row>
    <row r="153" spans="2:16" x14ac:dyDescent="0.25">
      <c r="B153" s="276" t="s">
        <v>181</v>
      </c>
      <c r="C153" s="277"/>
      <c r="D153" s="277"/>
      <c r="E153" s="277"/>
      <c r="F153" s="277"/>
      <c r="G153" s="277"/>
      <c r="H153" s="277"/>
      <c r="I153" s="277"/>
      <c r="J153" s="277"/>
      <c r="K153" s="277"/>
      <c r="L153" s="277"/>
      <c r="M153" s="277"/>
      <c r="N153" s="277"/>
      <c r="O153" s="277"/>
      <c r="P153" s="286"/>
    </row>
    <row r="154" spans="2:16" x14ac:dyDescent="0.25">
      <c r="B154" s="276" t="s">
        <v>182</v>
      </c>
      <c r="C154" s="277"/>
      <c r="D154" s="277"/>
      <c r="E154" s="277"/>
      <c r="F154" s="277"/>
      <c r="G154" s="277"/>
      <c r="H154" s="277"/>
      <c r="I154" s="277"/>
      <c r="J154" s="277"/>
      <c r="K154" s="277"/>
      <c r="L154" s="277"/>
      <c r="M154" s="277"/>
      <c r="N154" s="277"/>
      <c r="O154" s="277"/>
      <c r="P154" s="286"/>
    </row>
    <row r="155" spans="2:16" x14ac:dyDescent="0.25">
      <c r="B155" s="276" t="s">
        <v>183</v>
      </c>
      <c r="C155" s="277"/>
      <c r="D155" s="277"/>
      <c r="E155" s="277"/>
      <c r="F155" s="277"/>
      <c r="G155" s="277"/>
      <c r="H155" s="277"/>
      <c r="I155" s="277"/>
      <c r="J155" s="277"/>
      <c r="K155" s="277"/>
      <c r="L155" s="277"/>
      <c r="M155" s="277"/>
      <c r="N155" s="277"/>
      <c r="O155" s="277"/>
      <c r="P155" s="286"/>
    </row>
    <row r="156" spans="2:16" x14ac:dyDescent="0.25">
      <c r="B156" s="279" t="s">
        <v>168</v>
      </c>
      <c r="C156" s="281"/>
      <c r="D156" s="281"/>
      <c r="E156" s="281"/>
      <c r="F156" s="281"/>
      <c r="G156" s="281"/>
      <c r="H156" s="281"/>
      <c r="I156" s="281"/>
      <c r="J156" s="281"/>
      <c r="K156" s="281"/>
      <c r="L156" s="281"/>
      <c r="M156" s="281"/>
      <c r="N156" s="281"/>
      <c r="O156" s="281"/>
      <c r="P156" s="287"/>
    </row>
    <row r="157" spans="2:16" x14ac:dyDescent="0.25">
      <c r="B157" s="276" t="s">
        <v>184</v>
      </c>
      <c r="C157" s="277"/>
      <c r="D157" s="277"/>
      <c r="E157" s="277"/>
      <c r="F157" s="277"/>
      <c r="G157" s="277"/>
      <c r="H157" s="277"/>
      <c r="I157" s="277"/>
      <c r="J157" s="277"/>
      <c r="K157" s="277"/>
      <c r="L157" s="277"/>
      <c r="M157" s="277"/>
      <c r="N157" s="277"/>
      <c r="O157" s="277"/>
      <c r="P157" s="286"/>
    </row>
    <row r="158" spans="2:16" x14ac:dyDescent="0.25">
      <c r="B158" s="276" t="s">
        <v>170</v>
      </c>
      <c r="C158" s="277"/>
      <c r="D158" s="277"/>
      <c r="E158" s="277"/>
      <c r="F158" s="277"/>
      <c r="G158" s="277"/>
      <c r="H158" s="277"/>
      <c r="I158" s="277"/>
      <c r="J158" s="277"/>
      <c r="K158" s="277"/>
      <c r="L158" s="277"/>
      <c r="M158" s="277"/>
      <c r="N158" s="277"/>
      <c r="O158" s="277"/>
      <c r="P158" s="286"/>
    </row>
    <row r="159" spans="2:16" x14ac:dyDescent="0.25">
      <c r="B159" s="276" t="s">
        <v>185</v>
      </c>
      <c r="C159" s="277"/>
      <c r="D159" s="277"/>
      <c r="E159" s="277"/>
      <c r="F159" s="277"/>
      <c r="G159" s="277"/>
      <c r="H159" s="277"/>
      <c r="I159" s="277"/>
      <c r="J159" s="277"/>
      <c r="K159" s="277"/>
      <c r="L159" s="277"/>
      <c r="M159" s="277"/>
      <c r="N159" s="277"/>
      <c r="O159" s="277"/>
      <c r="P159" s="286"/>
    </row>
    <row r="160" spans="2:16" x14ac:dyDescent="0.25">
      <c r="B160" s="276" t="s">
        <v>186</v>
      </c>
      <c r="C160" s="277"/>
      <c r="D160" s="277"/>
      <c r="E160" s="277"/>
      <c r="F160" s="277"/>
      <c r="G160" s="277"/>
      <c r="H160" s="277"/>
      <c r="I160" s="277"/>
      <c r="J160" s="277"/>
      <c r="K160" s="277"/>
      <c r="L160" s="277"/>
      <c r="M160" s="277"/>
      <c r="N160" s="277"/>
      <c r="O160" s="277"/>
      <c r="P160" s="286"/>
    </row>
    <row r="161" spans="2:16" x14ac:dyDescent="0.25">
      <c r="B161" s="276" t="s">
        <v>187</v>
      </c>
      <c r="C161" s="277"/>
      <c r="D161" s="277"/>
      <c r="E161" s="277"/>
      <c r="F161" s="277"/>
      <c r="G161" s="277"/>
      <c r="H161" s="277"/>
      <c r="I161" s="277"/>
      <c r="J161" s="277"/>
      <c r="K161" s="277"/>
      <c r="L161" s="277"/>
      <c r="M161" s="277"/>
      <c r="N161" s="277"/>
      <c r="O161" s="277"/>
      <c r="P161" s="286"/>
    </row>
    <row r="162" spans="2:16" x14ac:dyDescent="0.25">
      <c r="B162" s="276" t="s">
        <v>188</v>
      </c>
      <c r="C162" s="277"/>
      <c r="D162" s="277"/>
      <c r="E162" s="277"/>
      <c r="F162" s="277"/>
      <c r="G162" s="277"/>
      <c r="H162" s="277"/>
      <c r="I162" s="277"/>
      <c r="J162" s="277"/>
      <c r="K162" s="277"/>
      <c r="L162" s="277"/>
      <c r="M162" s="277"/>
      <c r="N162" s="277"/>
      <c r="O162" s="277"/>
      <c r="P162" s="286"/>
    </row>
    <row r="163" spans="2:16" x14ac:dyDescent="0.25">
      <c r="B163" s="276" t="s">
        <v>189</v>
      </c>
      <c r="C163" s="277"/>
      <c r="D163" s="277"/>
      <c r="E163" s="277"/>
      <c r="F163" s="277"/>
      <c r="G163" s="277"/>
      <c r="H163" s="277"/>
      <c r="I163" s="277"/>
      <c r="J163" s="277"/>
      <c r="K163" s="277"/>
      <c r="L163" s="277"/>
      <c r="M163" s="277"/>
      <c r="N163" s="277"/>
      <c r="O163" s="277"/>
      <c r="P163" s="286"/>
    </row>
    <row r="164" spans="2:16" ht="16.5" thickBot="1" x14ac:dyDescent="0.3">
      <c r="B164" s="283" t="s">
        <v>190</v>
      </c>
      <c r="C164" s="284"/>
      <c r="D164" s="284"/>
      <c r="E164" s="284"/>
      <c r="F164" s="284"/>
      <c r="G164" s="284"/>
      <c r="H164" s="284"/>
      <c r="I164" s="284"/>
      <c r="J164" s="284"/>
      <c r="K164" s="284"/>
      <c r="L164" s="284"/>
      <c r="M164" s="284"/>
      <c r="N164" s="284"/>
      <c r="O164" s="284"/>
      <c r="P164" s="288"/>
    </row>
    <row r="165" spans="2:16" x14ac:dyDescent="0.25">
      <c r="C165" s="188"/>
      <c r="D165" s="188"/>
      <c r="E165" s="188"/>
      <c r="F165" s="188"/>
      <c r="G165" s="188"/>
      <c r="H165" s="188"/>
      <c r="I165" s="188"/>
      <c r="J165" s="188"/>
      <c r="K165" s="188"/>
      <c r="L165" s="188"/>
      <c r="M165" s="188"/>
      <c r="N165" s="188"/>
      <c r="O165" s="188"/>
      <c r="P165" s="188"/>
    </row>
    <row r="166" spans="2:16" x14ac:dyDescent="0.25">
      <c r="C166" s="188"/>
      <c r="D166" s="188"/>
      <c r="E166" s="188"/>
      <c r="F166" s="188"/>
      <c r="G166" s="188"/>
      <c r="H166" s="188"/>
      <c r="I166" s="188"/>
      <c r="J166" s="188"/>
      <c r="K166" s="188"/>
      <c r="L166" s="188"/>
      <c r="M166" s="188"/>
      <c r="N166" s="188"/>
      <c r="O166" s="188"/>
      <c r="P166" s="188"/>
    </row>
    <row r="167" spans="2:16" x14ac:dyDescent="0.25">
      <c r="C167" s="188"/>
      <c r="D167" s="188"/>
      <c r="E167" s="188"/>
      <c r="F167" s="188"/>
      <c r="G167" s="188"/>
      <c r="H167" s="188"/>
      <c r="I167" s="188"/>
      <c r="J167" s="188"/>
      <c r="K167" s="188"/>
      <c r="L167" s="188"/>
      <c r="M167" s="188"/>
      <c r="N167" s="188"/>
      <c r="O167" s="188"/>
      <c r="P167" s="188"/>
    </row>
    <row r="168" spans="2:16" x14ac:dyDescent="0.25">
      <c r="C168" s="188"/>
      <c r="D168" s="188"/>
      <c r="E168" s="188"/>
      <c r="F168" s="188"/>
      <c r="G168" s="188"/>
      <c r="H168" s="188"/>
      <c r="I168" s="188"/>
      <c r="J168" s="188"/>
      <c r="K168" s="188"/>
      <c r="L168" s="188"/>
      <c r="M168" s="188"/>
      <c r="N168" s="188"/>
      <c r="O168" s="188"/>
      <c r="P168" s="188"/>
    </row>
    <row r="169" spans="2:16" x14ac:dyDescent="0.25">
      <c r="C169" s="188"/>
      <c r="D169" s="188"/>
      <c r="E169" s="188"/>
      <c r="F169" s="188"/>
      <c r="G169" s="188"/>
      <c r="H169" s="188"/>
      <c r="I169" s="188"/>
      <c r="J169" s="188"/>
      <c r="K169" s="188"/>
      <c r="L169" s="188"/>
      <c r="M169" s="188"/>
      <c r="N169" s="188"/>
      <c r="O169" s="188"/>
      <c r="P169" s="188"/>
    </row>
    <row r="170" spans="2:16" x14ac:dyDescent="0.25">
      <c r="C170" s="188"/>
      <c r="D170" s="188"/>
      <c r="E170" s="188"/>
      <c r="F170" s="188"/>
      <c r="G170" s="188"/>
      <c r="H170" s="188"/>
      <c r="I170" s="188"/>
      <c r="J170" s="188"/>
      <c r="K170" s="188"/>
      <c r="L170" s="188"/>
      <c r="M170" s="188"/>
      <c r="N170" s="188"/>
      <c r="O170" s="188"/>
      <c r="P170" s="188"/>
    </row>
    <row r="171" spans="2:16" x14ac:dyDescent="0.25">
      <c r="C171" s="188"/>
      <c r="D171" s="188"/>
      <c r="E171" s="188"/>
      <c r="F171" s="188"/>
      <c r="G171" s="188"/>
      <c r="H171" s="188"/>
      <c r="I171" s="188"/>
      <c r="J171" s="188"/>
      <c r="K171" s="188"/>
      <c r="L171" s="188"/>
      <c r="M171" s="188"/>
      <c r="N171" s="188"/>
      <c r="O171" s="188"/>
      <c r="P171" s="188"/>
    </row>
    <row r="172" spans="2:16" x14ac:dyDescent="0.25">
      <c r="C172" s="188"/>
      <c r="D172" s="188"/>
      <c r="E172" s="188"/>
      <c r="F172" s="188"/>
      <c r="G172" s="188"/>
      <c r="H172" s="188"/>
      <c r="I172" s="188"/>
      <c r="J172" s="188"/>
      <c r="K172" s="188"/>
      <c r="L172" s="188"/>
      <c r="M172" s="188"/>
      <c r="N172" s="188"/>
      <c r="O172" s="188"/>
      <c r="P172" s="188"/>
    </row>
    <row r="173" spans="2:16" x14ac:dyDescent="0.25">
      <c r="C173" s="188"/>
      <c r="D173" s="188"/>
      <c r="E173" s="188"/>
      <c r="F173" s="188"/>
      <c r="G173" s="188"/>
      <c r="H173" s="188"/>
      <c r="I173" s="188"/>
      <c r="J173" s="188"/>
      <c r="K173" s="188"/>
      <c r="L173" s="188"/>
      <c r="M173" s="188"/>
      <c r="N173" s="188"/>
      <c r="O173" s="188"/>
      <c r="P173" s="188"/>
    </row>
  </sheetData>
  <mergeCells count="14">
    <mergeCell ref="B2:P2"/>
    <mergeCell ref="B3:B4"/>
    <mergeCell ref="C3:C4"/>
    <mergeCell ref="D3:D4"/>
    <mergeCell ref="G3:G4"/>
    <mergeCell ref="H3:H4"/>
    <mergeCell ref="I3:I4"/>
    <mergeCell ref="J3:J4"/>
    <mergeCell ref="K3:K4"/>
    <mergeCell ref="L3:L4"/>
    <mergeCell ref="M3:M4"/>
    <mergeCell ref="N3:N4"/>
    <mergeCell ref="O3:O4"/>
    <mergeCell ref="P3:P4"/>
  </mergeCells>
  <phoneticPr fontId="91" type="noConversion"/>
  <hyperlinks>
    <hyperlink ref="A1" location="Contents!A1" display="Back to contents" xr:uid="{65D4C44E-8543-49B5-9870-F44F55DD2153}"/>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7F15E-C048-43DB-AD6F-099DCBABFB36}">
  <sheetPr codeName="Sheet4">
    <tabColor theme="5"/>
    <pageSetUpPr fitToPage="1"/>
  </sheetPr>
  <dimension ref="A1:V169"/>
  <sheetViews>
    <sheetView showGridLines="0" zoomScaleNormal="100" zoomScaleSheetLayoutView="25" workbookViewId="0"/>
  </sheetViews>
  <sheetFormatPr defaultColWidth="8.77734375" defaultRowHeight="15.75" x14ac:dyDescent="0.25"/>
  <cols>
    <col min="1" max="1" width="9.21875" style="2" customWidth="1"/>
    <col min="2" max="2" width="10.21875" style="2" customWidth="1"/>
    <col min="3" max="9" width="15.77734375" style="2" customWidth="1"/>
    <col min="10" max="10" width="17.21875" style="2" customWidth="1"/>
    <col min="11" max="11" width="9.77734375" style="2" bestFit="1" customWidth="1"/>
    <col min="12" max="16384" width="8.77734375" style="2"/>
  </cols>
  <sheetData>
    <row r="1" spans="1:21" ht="35.1" customHeight="1" thickBot="1" x14ac:dyDescent="0.3">
      <c r="A1" s="9" t="s">
        <v>22</v>
      </c>
      <c r="B1" s="22"/>
      <c r="C1" s="478"/>
      <c r="D1" s="22"/>
      <c r="E1" s="22"/>
      <c r="F1" s="22"/>
      <c r="G1" s="22"/>
      <c r="H1" s="22"/>
      <c r="I1" s="22"/>
      <c r="J1" s="22"/>
      <c r="K1" s="7"/>
      <c r="L1" s="7"/>
      <c r="M1" s="7"/>
      <c r="N1" s="7"/>
    </row>
    <row r="2" spans="1:21" s="119" customFormat="1" ht="19.5" thickBot="1" x14ac:dyDescent="0.35">
      <c r="A2" s="117"/>
      <c r="B2" s="540" t="s">
        <v>191</v>
      </c>
      <c r="C2" s="541"/>
      <c r="D2" s="541"/>
      <c r="E2" s="541"/>
      <c r="F2" s="541"/>
      <c r="G2" s="541"/>
      <c r="H2" s="541"/>
      <c r="I2" s="547"/>
      <c r="J2" s="118"/>
      <c r="K2" s="117"/>
      <c r="L2" s="117"/>
      <c r="M2" s="117"/>
      <c r="N2" s="117"/>
    </row>
    <row r="3" spans="1:21" s="122" customFormat="1" ht="47.25" x14ac:dyDescent="0.25">
      <c r="A3" s="120"/>
      <c r="B3" s="121" t="s">
        <v>24</v>
      </c>
      <c r="C3" s="68" t="s">
        <v>192</v>
      </c>
      <c r="D3" s="68" t="s">
        <v>193</v>
      </c>
      <c r="E3" s="68" t="s">
        <v>194</v>
      </c>
      <c r="F3" s="68" t="s">
        <v>195</v>
      </c>
      <c r="G3" s="68" t="s">
        <v>196</v>
      </c>
      <c r="H3" s="107" t="s">
        <v>197</v>
      </c>
      <c r="I3" s="280" t="s">
        <v>177</v>
      </c>
      <c r="J3" s="120"/>
      <c r="K3" s="120"/>
      <c r="L3" s="120"/>
      <c r="M3" s="120"/>
      <c r="N3" s="120"/>
    </row>
    <row r="4" spans="1:21" x14ac:dyDescent="0.25">
      <c r="A4" s="7"/>
      <c r="B4" s="182" t="s">
        <v>43</v>
      </c>
      <c r="C4" s="116">
        <v>191.74600000000001</v>
      </c>
      <c r="D4" s="116">
        <v>61.085999999999999</v>
      </c>
      <c r="E4" s="124">
        <f>F4-C4-D4-H4</f>
        <v>103.53099999999999</v>
      </c>
      <c r="F4" s="124">
        <v>356.363</v>
      </c>
      <c r="G4" s="116">
        <v>43.353000000000002</v>
      </c>
      <c r="H4" s="116">
        <v>0</v>
      </c>
      <c r="I4" s="125">
        <v>399.71600000000001</v>
      </c>
      <c r="J4" s="336"/>
      <c r="K4" s="27"/>
      <c r="M4" s="335"/>
      <c r="N4" s="337"/>
      <c r="Q4" s="3"/>
      <c r="R4" s="3"/>
      <c r="S4" s="3"/>
      <c r="T4" s="3"/>
      <c r="U4" s="3"/>
    </row>
    <row r="5" spans="1:21" x14ac:dyDescent="0.25">
      <c r="A5" s="7"/>
      <c r="B5" s="182" t="s">
        <v>44</v>
      </c>
      <c r="C5" s="116">
        <v>190.83099999999999</v>
      </c>
      <c r="D5" s="116">
        <v>67.078999999999994</v>
      </c>
      <c r="E5" s="124">
        <f t="shared" ref="E5:E68" si="0">F5-C5-D5-H5</f>
        <v>100.41600000000004</v>
      </c>
      <c r="F5" s="124">
        <v>358.32600000000002</v>
      </c>
      <c r="G5" s="116">
        <v>44.360999999999997</v>
      </c>
      <c r="H5" s="116">
        <v>0</v>
      </c>
      <c r="I5" s="125">
        <v>402.68700000000001</v>
      </c>
      <c r="J5" s="336"/>
      <c r="K5" s="27"/>
      <c r="L5" s="334"/>
      <c r="M5" s="335"/>
      <c r="N5" s="337"/>
      <c r="Q5" s="3"/>
      <c r="R5" s="3"/>
      <c r="S5" s="3"/>
      <c r="T5" s="3"/>
      <c r="U5" s="3"/>
    </row>
    <row r="6" spans="1:21" x14ac:dyDescent="0.25">
      <c r="A6" s="7"/>
      <c r="B6" s="182" t="s">
        <v>45</v>
      </c>
      <c r="C6" s="116">
        <v>189.702</v>
      </c>
      <c r="D6" s="116">
        <v>68.516000000000005</v>
      </c>
      <c r="E6" s="124">
        <f t="shared" si="0"/>
        <v>102.04300000000002</v>
      </c>
      <c r="F6" s="124">
        <v>360.26100000000002</v>
      </c>
      <c r="G6" s="116">
        <v>41.875999999999998</v>
      </c>
      <c r="H6" s="116">
        <v>0</v>
      </c>
      <c r="I6" s="125">
        <v>402.137</v>
      </c>
      <c r="J6" s="336"/>
      <c r="K6" s="27"/>
      <c r="L6" s="334"/>
      <c r="M6" s="335"/>
      <c r="N6" s="337"/>
      <c r="Q6" s="3"/>
      <c r="R6" s="3"/>
      <c r="S6" s="3"/>
      <c r="T6" s="3"/>
      <c r="U6" s="3"/>
    </row>
    <row r="7" spans="1:21" x14ac:dyDescent="0.25">
      <c r="A7" s="7"/>
      <c r="B7" s="182" t="s">
        <v>46</v>
      </c>
      <c r="C7" s="116">
        <v>188.65600000000001</v>
      </c>
      <c r="D7" s="116">
        <v>63.414000000000001</v>
      </c>
      <c r="E7" s="124">
        <f t="shared" si="0"/>
        <v>105.77699999999997</v>
      </c>
      <c r="F7" s="124">
        <v>357.84699999999998</v>
      </c>
      <c r="G7" s="116">
        <v>39.83</v>
      </c>
      <c r="H7" s="116">
        <v>0</v>
      </c>
      <c r="I7" s="125">
        <v>397.67700000000002</v>
      </c>
      <c r="J7" s="336"/>
      <c r="K7" s="27"/>
      <c r="L7" s="334"/>
      <c r="M7" s="335"/>
      <c r="N7" s="337"/>
      <c r="Q7" s="3"/>
      <c r="R7" s="3"/>
      <c r="S7" s="3"/>
      <c r="T7" s="3"/>
      <c r="U7" s="3"/>
    </row>
    <row r="8" spans="1:21" x14ac:dyDescent="0.25">
      <c r="A8" s="7"/>
      <c r="B8" s="182" t="s">
        <v>47</v>
      </c>
      <c r="C8" s="116">
        <v>186.006</v>
      </c>
      <c r="D8" s="116">
        <v>59.158999999999999</v>
      </c>
      <c r="E8" s="124">
        <f t="shared" si="0"/>
        <v>106.994</v>
      </c>
      <c r="F8" s="124">
        <v>352.15899999999999</v>
      </c>
      <c r="G8" s="116">
        <v>37.616</v>
      </c>
      <c r="H8" s="116">
        <v>0</v>
      </c>
      <c r="I8" s="125">
        <v>389.77499999999998</v>
      </c>
      <c r="J8" s="336"/>
      <c r="K8" s="27"/>
      <c r="L8" s="334"/>
      <c r="M8" s="335"/>
      <c r="N8" s="337"/>
      <c r="Q8" s="3"/>
      <c r="R8" s="3"/>
      <c r="S8" s="3"/>
      <c r="T8" s="3"/>
      <c r="U8" s="3"/>
    </row>
    <row r="9" spans="1:21" x14ac:dyDescent="0.25">
      <c r="A9" s="7"/>
      <c r="B9" s="182" t="s">
        <v>48</v>
      </c>
      <c r="C9" s="116">
        <v>188.82400000000001</v>
      </c>
      <c r="D9" s="116">
        <v>56.744999999999997</v>
      </c>
      <c r="E9" s="124">
        <f t="shared" si="0"/>
        <v>104.85199999999998</v>
      </c>
      <c r="F9" s="124">
        <v>350.42099999999999</v>
      </c>
      <c r="G9" s="116">
        <v>38.729999999999997</v>
      </c>
      <c r="H9" s="116">
        <v>0</v>
      </c>
      <c r="I9" s="125">
        <v>389.15100000000001</v>
      </c>
      <c r="J9" s="336"/>
      <c r="K9" s="27"/>
      <c r="L9" s="334"/>
      <c r="M9" s="335"/>
      <c r="N9" s="337"/>
      <c r="Q9" s="3"/>
      <c r="R9" s="3"/>
      <c r="S9" s="3"/>
      <c r="T9" s="3"/>
      <c r="U9" s="3"/>
    </row>
    <row r="10" spans="1:21" x14ac:dyDescent="0.25">
      <c r="A10" s="7"/>
      <c r="B10" s="182" t="s">
        <v>49</v>
      </c>
      <c r="C10" s="116">
        <v>188.143</v>
      </c>
      <c r="D10" s="116">
        <v>64.034000000000006</v>
      </c>
      <c r="E10" s="124">
        <f t="shared" si="0"/>
        <v>98.625000000000014</v>
      </c>
      <c r="F10" s="124">
        <v>350.80200000000002</v>
      </c>
      <c r="G10" s="116">
        <v>40.377000000000002</v>
      </c>
      <c r="H10" s="116">
        <v>0</v>
      </c>
      <c r="I10" s="125">
        <v>391.17899999999997</v>
      </c>
      <c r="J10" s="336"/>
      <c r="K10" s="27"/>
      <c r="L10" s="334"/>
      <c r="M10" s="335"/>
      <c r="N10" s="337"/>
      <c r="Q10" s="3"/>
      <c r="R10" s="3"/>
      <c r="S10" s="3"/>
      <c r="T10" s="3"/>
      <c r="U10" s="3"/>
    </row>
    <row r="11" spans="1:21" x14ac:dyDescent="0.25">
      <c r="A11" s="7"/>
      <c r="B11" s="182" t="s">
        <v>50</v>
      </c>
      <c r="C11" s="116">
        <v>188.55699999999999</v>
      </c>
      <c r="D11" s="116">
        <v>52.774000000000001</v>
      </c>
      <c r="E11" s="124">
        <f t="shared" si="0"/>
        <v>107.01599999999999</v>
      </c>
      <c r="F11" s="124">
        <v>348.34699999999998</v>
      </c>
      <c r="G11" s="116">
        <v>40.953000000000003</v>
      </c>
      <c r="H11" s="116">
        <v>0</v>
      </c>
      <c r="I11" s="125">
        <v>389.3</v>
      </c>
      <c r="J11" s="336"/>
      <c r="K11" s="27"/>
      <c r="L11" s="334"/>
      <c r="M11" s="335"/>
      <c r="N11" s="337"/>
      <c r="Q11" s="3"/>
      <c r="R11" s="3"/>
      <c r="S11" s="3"/>
      <c r="T11" s="3"/>
      <c r="U11" s="3"/>
    </row>
    <row r="12" spans="1:21" x14ac:dyDescent="0.25">
      <c r="A12" s="7"/>
      <c r="B12" s="182" t="s">
        <v>51</v>
      </c>
      <c r="C12" s="116">
        <v>188.72800000000001</v>
      </c>
      <c r="D12" s="116">
        <v>57.753999999999998</v>
      </c>
      <c r="E12" s="124">
        <f t="shared" si="0"/>
        <v>107.25300000000001</v>
      </c>
      <c r="F12" s="124">
        <v>353.73500000000001</v>
      </c>
      <c r="G12" s="116">
        <v>44.390999999999998</v>
      </c>
      <c r="H12" s="116">
        <v>0</v>
      </c>
      <c r="I12" s="125">
        <v>398.12599999999998</v>
      </c>
      <c r="J12" s="336"/>
      <c r="K12" s="27"/>
      <c r="L12" s="334"/>
      <c r="M12" s="335"/>
      <c r="N12" s="337"/>
      <c r="Q12" s="3"/>
      <c r="R12" s="3"/>
      <c r="S12" s="3"/>
      <c r="T12" s="3"/>
      <c r="U12" s="3"/>
    </row>
    <row r="13" spans="1:21" x14ac:dyDescent="0.25">
      <c r="A13" s="7"/>
      <c r="B13" s="182" t="s">
        <v>52</v>
      </c>
      <c r="C13" s="116">
        <v>189.62</v>
      </c>
      <c r="D13" s="116">
        <v>59.338999999999999</v>
      </c>
      <c r="E13" s="124">
        <f t="shared" si="0"/>
        <v>105.209</v>
      </c>
      <c r="F13" s="124">
        <v>354.16800000000001</v>
      </c>
      <c r="G13" s="116">
        <v>48.768999999999998</v>
      </c>
      <c r="H13" s="116">
        <v>0</v>
      </c>
      <c r="I13" s="125">
        <v>402.93700000000001</v>
      </c>
      <c r="J13" s="336"/>
      <c r="K13" s="27"/>
      <c r="L13" s="334"/>
      <c r="M13" s="335"/>
      <c r="N13" s="337"/>
      <c r="Q13" s="3"/>
      <c r="R13" s="3"/>
      <c r="S13" s="3"/>
      <c r="T13" s="3"/>
      <c r="U13" s="3"/>
    </row>
    <row r="14" spans="1:21" x14ac:dyDescent="0.25">
      <c r="A14" s="7"/>
      <c r="B14" s="182" t="s">
        <v>53</v>
      </c>
      <c r="C14" s="116">
        <v>191.15299999999999</v>
      </c>
      <c r="D14" s="116">
        <v>62.308</v>
      </c>
      <c r="E14" s="124">
        <f t="shared" si="0"/>
        <v>107.58099999999999</v>
      </c>
      <c r="F14" s="124">
        <v>361.04199999999997</v>
      </c>
      <c r="G14" s="116">
        <v>45.134999999999998</v>
      </c>
      <c r="H14" s="116">
        <v>0</v>
      </c>
      <c r="I14" s="125">
        <v>406.17700000000002</v>
      </c>
      <c r="J14" s="336"/>
      <c r="K14" s="27"/>
      <c r="L14" s="334"/>
      <c r="M14" s="335"/>
      <c r="N14" s="337"/>
      <c r="Q14" s="3"/>
      <c r="R14" s="3"/>
      <c r="S14" s="3"/>
      <c r="T14" s="3"/>
      <c r="U14" s="3"/>
    </row>
    <row r="15" spans="1:21" x14ac:dyDescent="0.25">
      <c r="A15" s="7"/>
      <c r="B15" s="182" t="s">
        <v>54</v>
      </c>
      <c r="C15" s="116">
        <v>192.214</v>
      </c>
      <c r="D15" s="116">
        <v>65.584000000000003</v>
      </c>
      <c r="E15" s="124">
        <f t="shared" si="0"/>
        <v>105.38600000000002</v>
      </c>
      <c r="F15" s="124">
        <v>363.18400000000003</v>
      </c>
      <c r="G15" s="116">
        <v>45.414999999999999</v>
      </c>
      <c r="H15" s="116">
        <v>0</v>
      </c>
      <c r="I15" s="125">
        <v>408.59899999999999</v>
      </c>
      <c r="J15" s="336"/>
      <c r="K15" s="27"/>
      <c r="L15" s="334"/>
      <c r="M15" s="335"/>
      <c r="N15" s="337"/>
      <c r="Q15" s="3"/>
      <c r="R15" s="3"/>
      <c r="S15" s="3"/>
      <c r="T15" s="3"/>
      <c r="U15" s="3"/>
    </row>
    <row r="16" spans="1:21" x14ac:dyDescent="0.25">
      <c r="A16" s="7"/>
      <c r="B16" s="182" t="s">
        <v>55</v>
      </c>
      <c r="C16" s="116">
        <v>196.13200000000001</v>
      </c>
      <c r="D16" s="116">
        <v>64.099999999999994</v>
      </c>
      <c r="E16" s="124">
        <f t="shared" si="0"/>
        <v>106.43199999999999</v>
      </c>
      <c r="F16" s="124">
        <v>366.66399999999999</v>
      </c>
      <c r="G16" s="116">
        <v>49.856999999999999</v>
      </c>
      <c r="H16" s="116">
        <v>0</v>
      </c>
      <c r="I16" s="125">
        <v>416.52100000000002</v>
      </c>
      <c r="J16" s="336"/>
      <c r="K16" s="27"/>
      <c r="L16" s="334"/>
      <c r="M16" s="335"/>
      <c r="N16" s="337"/>
      <c r="Q16" s="3"/>
      <c r="R16" s="3"/>
      <c r="S16" s="3"/>
      <c r="T16" s="3"/>
      <c r="U16" s="3"/>
    </row>
    <row r="17" spans="1:21" x14ac:dyDescent="0.25">
      <c r="A17" s="7"/>
      <c r="B17" s="182" t="s">
        <v>56</v>
      </c>
      <c r="C17" s="116">
        <v>194.524</v>
      </c>
      <c r="D17" s="116">
        <v>61.957000000000001</v>
      </c>
      <c r="E17" s="124">
        <f t="shared" si="0"/>
        <v>108.315</v>
      </c>
      <c r="F17" s="124">
        <v>364.79599999999999</v>
      </c>
      <c r="G17" s="116">
        <v>49.244</v>
      </c>
      <c r="H17" s="116">
        <v>0</v>
      </c>
      <c r="I17" s="125">
        <v>414.04</v>
      </c>
      <c r="J17" s="336"/>
      <c r="K17" s="27"/>
      <c r="L17" s="334"/>
      <c r="M17" s="335"/>
      <c r="N17" s="337"/>
      <c r="Q17" s="3"/>
      <c r="R17" s="3"/>
      <c r="S17" s="3"/>
      <c r="T17" s="3"/>
      <c r="U17" s="3"/>
    </row>
    <row r="18" spans="1:21" x14ac:dyDescent="0.25">
      <c r="A18" s="7"/>
      <c r="B18" s="182" t="s">
        <v>57</v>
      </c>
      <c r="C18" s="116">
        <v>193.77699999999999</v>
      </c>
      <c r="D18" s="116">
        <v>62.642000000000003</v>
      </c>
      <c r="E18" s="124">
        <f t="shared" si="0"/>
        <v>110.45400000000001</v>
      </c>
      <c r="F18" s="124">
        <v>366.87299999999999</v>
      </c>
      <c r="G18" s="116">
        <v>51.246000000000002</v>
      </c>
      <c r="H18" s="116">
        <v>0</v>
      </c>
      <c r="I18" s="125">
        <v>418.11900000000003</v>
      </c>
      <c r="J18" s="336"/>
      <c r="K18" s="27"/>
      <c r="L18" s="334"/>
      <c r="M18" s="335"/>
      <c r="N18" s="337"/>
      <c r="Q18" s="3"/>
      <c r="R18" s="3"/>
      <c r="S18" s="3"/>
      <c r="T18" s="3"/>
      <c r="U18" s="3"/>
    </row>
    <row r="19" spans="1:21" x14ac:dyDescent="0.25">
      <c r="A19" s="7"/>
      <c r="B19" s="182" t="s">
        <v>58</v>
      </c>
      <c r="C19" s="116">
        <v>193.44900000000001</v>
      </c>
      <c r="D19" s="116">
        <v>65.596000000000004</v>
      </c>
      <c r="E19" s="124">
        <f t="shared" si="0"/>
        <v>111.95999999999998</v>
      </c>
      <c r="F19" s="124">
        <v>371.005</v>
      </c>
      <c r="G19" s="116">
        <v>50.26</v>
      </c>
      <c r="H19" s="116">
        <v>0</v>
      </c>
      <c r="I19" s="125">
        <v>421.26499999999999</v>
      </c>
      <c r="J19" s="336"/>
      <c r="K19" s="27"/>
      <c r="L19" s="334"/>
      <c r="M19" s="335"/>
      <c r="N19" s="337"/>
      <c r="Q19" s="3"/>
      <c r="R19" s="3"/>
      <c r="S19" s="3"/>
      <c r="T19" s="3"/>
      <c r="U19" s="3"/>
    </row>
    <row r="20" spans="1:21" x14ac:dyDescent="0.25">
      <c r="A20" s="7"/>
      <c r="B20" s="182" t="s">
        <v>59</v>
      </c>
      <c r="C20" s="116">
        <v>196.11199999999999</v>
      </c>
      <c r="D20" s="116">
        <v>65.069000000000003</v>
      </c>
      <c r="E20" s="124">
        <f t="shared" si="0"/>
        <v>113.694</v>
      </c>
      <c r="F20" s="124">
        <v>374.875</v>
      </c>
      <c r="G20" s="116">
        <v>51.777999999999999</v>
      </c>
      <c r="H20" s="116">
        <v>0</v>
      </c>
      <c r="I20" s="125">
        <v>426.65300000000002</v>
      </c>
      <c r="J20" s="336"/>
      <c r="K20" s="27"/>
      <c r="L20" s="334"/>
      <c r="M20" s="335"/>
      <c r="N20" s="337"/>
      <c r="Q20" s="3"/>
      <c r="R20" s="3"/>
      <c r="S20" s="3"/>
      <c r="T20" s="3"/>
      <c r="U20" s="3"/>
    </row>
    <row r="21" spans="1:21" x14ac:dyDescent="0.25">
      <c r="A21" s="7"/>
      <c r="B21" s="182" t="s">
        <v>60</v>
      </c>
      <c r="C21" s="116">
        <v>197.619</v>
      </c>
      <c r="D21" s="116">
        <v>64.194000000000003</v>
      </c>
      <c r="E21" s="124">
        <f t="shared" si="0"/>
        <v>114.562</v>
      </c>
      <c r="F21" s="124">
        <v>376.375</v>
      </c>
      <c r="G21" s="116">
        <v>50.323</v>
      </c>
      <c r="H21" s="116">
        <v>0</v>
      </c>
      <c r="I21" s="125">
        <v>426.69799999999998</v>
      </c>
      <c r="J21" s="336"/>
      <c r="K21" s="27"/>
      <c r="L21" s="334"/>
      <c r="M21" s="335"/>
      <c r="N21" s="337"/>
      <c r="Q21" s="3"/>
      <c r="R21" s="3"/>
      <c r="S21" s="3"/>
      <c r="T21" s="3"/>
      <c r="U21" s="3"/>
    </row>
    <row r="22" spans="1:21" x14ac:dyDescent="0.25">
      <c r="A22" s="7"/>
      <c r="B22" s="182" t="s">
        <v>61</v>
      </c>
      <c r="C22" s="116">
        <v>197.27500000000001</v>
      </c>
      <c r="D22" s="116">
        <v>69.120999999999995</v>
      </c>
      <c r="E22" s="124">
        <f t="shared" si="0"/>
        <v>115.23300000000002</v>
      </c>
      <c r="F22" s="124">
        <v>381.62900000000002</v>
      </c>
      <c r="G22" s="116">
        <v>51.658000000000001</v>
      </c>
      <c r="H22" s="116">
        <v>0</v>
      </c>
      <c r="I22" s="125">
        <v>433.28699999999998</v>
      </c>
      <c r="J22" s="336"/>
      <c r="K22" s="27"/>
      <c r="L22" s="334"/>
      <c r="M22" s="335"/>
      <c r="N22" s="337"/>
      <c r="Q22" s="3"/>
      <c r="R22" s="3"/>
      <c r="S22" s="3"/>
      <c r="T22" s="3"/>
      <c r="U22" s="3"/>
    </row>
    <row r="23" spans="1:21" x14ac:dyDescent="0.25">
      <c r="A23" s="7"/>
      <c r="B23" s="182" t="s">
        <v>62</v>
      </c>
      <c r="C23" s="116">
        <v>198.827</v>
      </c>
      <c r="D23" s="116">
        <v>70.134</v>
      </c>
      <c r="E23" s="124">
        <f t="shared" si="0"/>
        <v>113.265</v>
      </c>
      <c r="F23" s="124">
        <v>382.226</v>
      </c>
      <c r="G23" s="116">
        <v>52.844000000000001</v>
      </c>
      <c r="H23" s="116">
        <v>0</v>
      </c>
      <c r="I23" s="125">
        <v>435.07</v>
      </c>
      <c r="J23" s="336"/>
      <c r="K23" s="27"/>
      <c r="L23" s="334"/>
      <c r="M23" s="335"/>
      <c r="N23" s="337"/>
      <c r="Q23" s="3"/>
      <c r="R23" s="3"/>
      <c r="S23" s="3"/>
      <c r="T23" s="3"/>
      <c r="U23" s="3"/>
    </row>
    <row r="24" spans="1:21" x14ac:dyDescent="0.25">
      <c r="A24" s="7"/>
      <c r="B24" s="182" t="s">
        <v>63</v>
      </c>
      <c r="C24" s="116">
        <v>199.637</v>
      </c>
      <c r="D24" s="116">
        <v>73.265000000000001</v>
      </c>
      <c r="E24" s="124">
        <f t="shared" si="0"/>
        <v>113.81800000000003</v>
      </c>
      <c r="F24" s="124">
        <v>386.72</v>
      </c>
      <c r="G24" s="116">
        <v>53.317999999999998</v>
      </c>
      <c r="H24" s="116">
        <v>0</v>
      </c>
      <c r="I24" s="125">
        <v>440.03800000000001</v>
      </c>
      <c r="J24" s="336"/>
      <c r="K24" s="27"/>
      <c r="L24" s="334"/>
      <c r="M24" s="335"/>
      <c r="N24" s="337"/>
      <c r="Q24" s="3"/>
      <c r="R24" s="3"/>
      <c r="S24" s="3"/>
      <c r="T24" s="3"/>
      <c r="U24" s="3"/>
    </row>
    <row r="25" spans="1:21" x14ac:dyDescent="0.25">
      <c r="A25" s="7"/>
      <c r="B25" s="182" t="s">
        <v>64</v>
      </c>
      <c r="C25" s="116">
        <v>206.417</v>
      </c>
      <c r="D25" s="116">
        <v>66.706000000000003</v>
      </c>
      <c r="E25" s="124">
        <f t="shared" si="0"/>
        <v>117.35200000000002</v>
      </c>
      <c r="F25" s="124">
        <v>390.47500000000002</v>
      </c>
      <c r="G25" s="116">
        <v>53.151000000000003</v>
      </c>
      <c r="H25" s="116">
        <v>0</v>
      </c>
      <c r="I25" s="125">
        <v>443.62599999999998</v>
      </c>
      <c r="J25" s="336"/>
      <c r="K25" s="27"/>
      <c r="L25" s="334"/>
      <c r="M25" s="335"/>
      <c r="N25" s="337"/>
      <c r="Q25" s="3"/>
      <c r="R25" s="3"/>
      <c r="S25" s="3"/>
      <c r="T25" s="3"/>
      <c r="U25" s="3"/>
    </row>
    <row r="26" spans="1:21" x14ac:dyDescent="0.25">
      <c r="A26" s="7"/>
      <c r="B26" s="182" t="s">
        <v>65</v>
      </c>
      <c r="C26" s="116">
        <v>208.261</v>
      </c>
      <c r="D26" s="116">
        <v>70.143000000000001</v>
      </c>
      <c r="E26" s="124">
        <f t="shared" si="0"/>
        <v>116.65899999999999</v>
      </c>
      <c r="F26" s="124">
        <v>395.06299999999999</v>
      </c>
      <c r="G26" s="116">
        <v>55.661999999999999</v>
      </c>
      <c r="H26" s="116">
        <v>0</v>
      </c>
      <c r="I26" s="125">
        <v>450.72500000000002</v>
      </c>
      <c r="J26" s="336"/>
      <c r="K26" s="27"/>
      <c r="L26" s="334"/>
      <c r="M26" s="335"/>
      <c r="N26" s="337"/>
      <c r="Q26" s="3"/>
      <c r="R26" s="3"/>
      <c r="S26" s="3"/>
      <c r="T26" s="3"/>
      <c r="U26" s="3"/>
    </row>
    <row r="27" spans="1:21" x14ac:dyDescent="0.25">
      <c r="A27" s="7"/>
      <c r="B27" s="182" t="s">
        <v>66</v>
      </c>
      <c r="C27" s="116">
        <v>212.39099999999999</v>
      </c>
      <c r="D27" s="116">
        <v>71.441999999999993</v>
      </c>
      <c r="E27" s="124">
        <f t="shared" si="0"/>
        <v>115.35700000000001</v>
      </c>
      <c r="F27" s="124">
        <v>399.19</v>
      </c>
      <c r="G27" s="116">
        <v>55.493000000000002</v>
      </c>
      <c r="H27" s="116">
        <v>0</v>
      </c>
      <c r="I27" s="125">
        <v>454.68299999999999</v>
      </c>
      <c r="J27" s="336"/>
      <c r="K27" s="27"/>
      <c r="L27" s="334"/>
      <c r="M27" s="335"/>
      <c r="N27" s="337"/>
      <c r="Q27" s="3"/>
      <c r="R27" s="3"/>
      <c r="S27" s="3"/>
      <c r="T27" s="3"/>
      <c r="U27" s="3"/>
    </row>
    <row r="28" spans="1:21" x14ac:dyDescent="0.25">
      <c r="A28" s="7"/>
      <c r="B28" s="182" t="s">
        <v>67</v>
      </c>
      <c r="C28" s="116">
        <v>215.35599999999999</v>
      </c>
      <c r="D28" s="116">
        <v>73.046999999999997</v>
      </c>
      <c r="E28" s="124">
        <f t="shared" si="0"/>
        <v>115.119</v>
      </c>
      <c r="F28" s="124">
        <v>403.52199999999999</v>
      </c>
      <c r="G28" s="116">
        <v>57.16</v>
      </c>
      <c r="H28" s="116">
        <v>0</v>
      </c>
      <c r="I28" s="125">
        <v>460.68200000000002</v>
      </c>
      <c r="J28" s="336"/>
      <c r="K28" s="27"/>
      <c r="L28" s="334"/>
      <c r="M28" s="335"/>
      <c r="N28" s="337"/>
      <c r="Q28" s="3"/>
      <c r="R28" s="3"/>
      <c r="S28" s="3"/>
      <c r="T28" s="3"/>
      <c r="U28" s="3"/>
    </row>
    <row r="29" spans="1:21" x14ac:dyDescent="0.25">
      <c r="A29" s="7"/>
      <c r="B29" s="182" t="s">
        <v>68</v>
      </c>
      <c r="C29" s="116">
        <v>215.09</v>
      </c>
      <c r="D29" s="116">
        <v>77.272000000000006</v>
      </c>
      <c r="E29" s="124">
        <f t="shared" si="0"/>
        <v>116.09999999999998</v>
      </c>
      <c r="F29" s="124">
        <v>408.46199999999999</v>
      </c>
      <c r="G29" s="116">
        <v>56.204999999999998</v>
      </c>
      <c r="H29" s="116">
        <v>0</v>
      </c>
      <c r="I29" s="125">
        <v>464.66699999999997</v>
      </c>
      <c r="J29" s="336"/>
      <c r="K29" s="27"/>
      <c r="L29" s="334"/>
      <c r="M29" s="335"/>
      <c r="N29" s="337"/>
      <c r="Q29" s="3"/>
      <c r="R29" s="3"/>
      <c r="S29" s="3"/>
      <c r="T29" s="3"/>
      <c r="U29" s="3"/>
    </row>
    <row r="30" spans="1:21" x14ac:dyDescent="0.25">
      <c r="A30" s="7"/>
      <c r="B30" s="182" t="s">
        <v>69</v>
      </c>
      <c r="C30" s="116">
        <v>214.102</v>
      </c>
      <c r="D30" s="116">
        <v>84.221999999999994</v>
      </c>
      <c r="E30" s="124">
        <f t="shared" si="0"/>
        <v>118.63599999999998</v>
      </c>
      <c r="F30" s="124">
        <v>416.96</v>
      </c>
      <c r="G30" s="116">
        <v>57.155000000000001</v>
      </c>
      <c r="H30" s="116">
        <v>0</v>
      </c>
      <c r="I30" s="125">
        <v>474.11500000000001</v>
      </c>
      <c r="J30" s="336"/>
      <c r="K30" s="27"/>
      <c r="L30" s="334"/>
      <c r="M30" s="335"/>
      <c r="N30" s="337"/>
      <c r="Q30" s="3"/>
      <c r="R30" s="3"/>
      <c r="S30" s="3"/>
      <c r="T30" s="3"/>
      <c r="U30" s="3"/>
    </row>
    <row r="31" spans="1:21" x14ac:dyDescent="0.25">
      <c r="A31" s="7"/>
      <c r="B31" s="182" t="s">
        <v>70</v>
      </c>
      <c r="C31" s="116">
        <v>216.58199999999999</v>
      </c>
      <c r="D31" s="116">
        <v>80.558999999999997</v>
      </c>
      <c r="E31" s="124">
        <f t="shared" si="0"/>
        <v>120.79100000000003</v>
      </c>
      <c r="F31" s="124">
        <v>417.93200000000002</v>
      </c>
      <c r="G31" s="116">
        <v>57.67</v>
      </c>
      <c r="H31" s="116">
        <v>0</v>
      </c>
      <c r="I31" s="125">
        <v>475.60199999999998</v>
      </c>
      <c r="J31" s="336"/>
      <c r="K31" s="27"/>
      <c r="L31" s="334"/>
      <c r="M31" s="335"/>
      <c r="N31" s="337"/>
      <c r="Q31" s="3"/>
      <c r="R31" s="3"/>
      <c r="S31" s="3"/>
      <c r="T31" s="3"/>
      <c r="U31" s="3"/>
    </row>
    <row r="32" spans="1:21" x14ac:dyDescent="0.25">
      <c r="A32" s="7"/>
      <c r="B32" s="182" t="s">
        <v>71</v>
      </c>
      <c r="C32" s="116">
        <v>219.30699999999999</v>
      </c>
      <c r="D32" s="116">
        <v>82.611999999999995</v>
      </c>
      <c r="E32" s="124">
        <f t="shared" si="0"/>
        <v>118.22800000000001</v>
      </c>
      <c r="F32" s="124">
        <v>420.14699999999999</v>
      </c>
      <c r="G32" s="116">
        <v>57.869</v>
      </c>
      <c r="H32" s="116">
        <v>0</v>
      </c>
      <c r="I32" s="125">
        <v>478.01600000000002</v>
      </c>
      <c r="J32" s="336"/>
      <c r="K32" s="27"/>
      <c r="L32" s="334"/>
      <c r="M32" s="335"/>
      <c r="N32" s="337"/>
      <c r="Q32" s="3"/>
      <c r="R32" s="3"/>
      <c r="S32" s="3"/>
      <c r="T32" s="3"/>
      <c r="U32" s="3"/>
    </row>
    <row r="33" spans="1:21" x14ac:dyDescent="0.25">
      <c r="A33" s="7"/>
      <c r="B33" s="182" t="s">
        <v>72</v>
      </c>
      <c r="C33" s="116">
        <v>221.816</v>
      </c>
      <c r="D33" s="116">
        <v>80.81</v>
      </c>
      <c r="E33" s="124">
        <f t="shared" si="0"/>
        <v>119.345</v>
      </c>
      <c r="F33" s="124">
        <v>421.971</v>
      </c>
      <c r="G33" s="116">
        <v>57.411000000000001</v>
      </c>
      <c r="H33" s="116">
        <v>0</v>
      </c>
      <c r="I33" s="125">
        <v>479.38200000000001</v>
      </c>
      <c r="J33" s="336"/>
      <c r="K33" s="27"/>
      <c r="L33" s="334"/>
      <c r="M33" s="335"/>
      <c r="N33" s="337"/>
      <c r="Q33" s="3"/>
      <c r="R33" s="3"/>
      <c r="S33" s="3"/>
      <c r="T33" s="3"/>
      <c r="U33" s="3"/>
    </row>
    <row r="34" spans="1:21" x14ac:dyDescent="0.25">
      <c r="A34" s="7"/>
      <c r="B34" s="182" t="s">
        <v>73</v>
      </c>
      <c r="C34" s="116">
        <v>224.88399999999999</v>
      </c>
      <c r="D34" s="116">
        <v>79.203000000000003</v>
      </c>
      <c r="E34" s="124">
        <f t="shared" si="0"/>
        <v>119.28000000000003</v>
      </c>
      <c r="F34" s="124">
        <v>423.36700000000002</v>
      </c>
      <c r="G34" s="116">
        <v>59.323</v>
      </c>
      <c r="H34" s="116">
        <v>0</v>
      </c>
      <c r="I34" s="125">
        <v>482.69</v>
      </c>
      <c r="J34" s="336"/>
      <c r="K34" s="27"/>
      <c r="L34" s="334"/>
      <c r="M34" s="335"/>
      <c r="N34" s="337"/>
      <c r="Q34" s="3"/>
      <c r="R34" s="3"/>
      <c r="S34" s="3"/>
      <c r="T34" s="3"/>
      <c r="U34" s="3"/>
    </row>
    <row r="35" spans="1:21" x14ac:dyDescent="0.25">
      <c r="A35" s="7"/>
      <c r="B35" s="182" t="s">
        <v>74</v>
      </c>
      <c r="C35" s="116">
        <v>226.482</v>
      </c>
      <c r="D35" s="116">
        <v>83.075000000000003</v>
      </c>
      <c r="E35" s="124">
        <f t="shared" si="0"/>
        <v>119.30399999999999</v>
      </c>
      <c r="F35" s="124">
        <v>428.86099999999999</v>
      </c>
      <c r="G35" s="116">
        <v>59.067</v>
      </c>
      <c r="H35" s="116">
        <v>0</v>
      </c>
      <c r="I35" s="125">
        <v>487.928</v>
      </c>
      <c r="J35" s="336"/>
      <c r="K35" s="27"/>
      <c r="L35" s="334"/>
      <c r="M35" s="335"/>
      <c r="N35" s="337"/>
      <c r="Q35" s="3"/>
      <c r="R35" s="3"/>
      <c r="S35" s="3"/>
      <c r="T35" s="3"/>
      <c r="U35" s="3"/>
    </row>
    <row r="36" spans="1:21" x14ac:dyDescent="0.25">
      <c r="A36" s="7"/>
      <c r="B36" s="182" t="s">
        <v>75</v>
      </c>
      <c r="C36" s="116">
        <v>228.24299999999999</v>
      </c>
      <c r="D36" s="116">
        <v>82.843000000000004</v>
      </c>
      <c r="E36" s="124">
        <f t="shared" si="0"/>
        <v>121.21900000000001</v>
      </c>
      <c r="F36" s="124">
        <v>432.30500000000001</v>
      </c>
      <c r="G36" s="116">
        <v>60.338999999999999</v>
      </c>
      <c r="H36" s="116">
        <v>0</v>
      </c>
      <c r="I36" s="125">
        <v>492.64400000000001</v>
      </c>
      <c r="J36" s="336"/>
      <c r="K36" s="27"/>
      <c r="L36" s="334"/>
      <c r="M36" s="335"/>
      <c r="N36" s="337"/>
      <c r="Q36" s="3"/>
      <c r="R36" s="3"/>
      <c r="S36" s="3"/>
      <c r="T36" s="3"/>
      <c r="U36" s="3"/>
    </row>
    <row r="37" spans="1:21" x14ac:dyDescent="0.25">
      <c r="A37" s="7"/>
      <c r="B37" s="182" t="s">
        <v>76</v>
      </c>
      <c r="C37" s="116">
        <v>230.65100000000001</v>
      </c>
      <c r="D37" s="116">
        <v>84.930999999999997</v>
      </c>
      <c r="E37" s="124">
        <f t="shared" si="0"/>
        <v>122.06600000000002</v>
      </c>
      <c r="F37" s="124">
        <v>437.64800000000002</v>
      </c>
      <c r="G37" s="116">
        <v>59.408000000000001</v>
      </c>
      <c r="H37" s="116">
        <v>0</v>
      </c>
      <c r="I37" s="125">
        <v>497.05599999999998</v>
      </c>
      <c r="J37" s="336"/>
      <c r="K37" s="27"/>
      <c r="L37" s="334"/>
      <c r="M37" s="335"/>
      <c r="N37" s="337"/>
      <c r="Q37" s="3"/>
      <c r="R37" s="3"/>
      <c r="S37" s="3"/>
      <c r="T37" s="3"/>
      <c r="U37" s="3"/>
    </row>
    <row r="38" spans="1:21" x14ac:dyDescent="0.25">
      <c r="A38" s="7"/>
      <c r="B38" s="182" t="s">
        <v>77</v>
      </c>
      <c r="C38" s="116">
        <v>231.70099999999999</v>
      </c>
      <c r="D38" s="116">
        <v>84.245999999999995</v>
      </c>
      <c r="E38" s="124">
        <f t="shared" si="0"/>
        <v>127.77300000000004</v>
      </c>
      <c r="F38" s="124">
        <v>443.72</v>
      </c>
      <c r="G38" s="116">
        <v>60.652999999999999</v>
      </c>
      <c r="H38" s="116">
        <v>0</v>
      </c>
      <c r="I38" s="125">
        <v>504.37299999999999</v>
      </c>
      <c r="J38" s="336"/>
      <c r="K38" s="27"/>
      <c r="L38" s="334"/>
      <c r="M38" s="335"/>
      <c r="N38" s="337"/>
      <c r="Q38" s="3"/>
      <c r="R38" s="3"/>
      <c r="S38" s="3"/>
      <c r="T38" s="3"/>
      <c r="U38" s="3"/>
    </row>
    <row r="39" spans="1:21" x14ac:dyDescent="0.25">
      <c r="A39" s="7"/>
      <c r="B39" s="182" t="s">
        <v>78</v>
      </c>
      <c r="C39" s="116">
        <v>233.06800000000001</v>
      </c>
      <c r="D39" s="116">
        <v>85.302999999999997</v>
      </c>
      <c r="E39" s="124">
        <f t="shared" si="0"/>
        <v>130.70500000000001</v>
      </c>
      <c r="F39" s="124">
        <v>449.07600000000002</v>
      </c>
      <c r="G39" s="116">
        <v>61.606000000000002</v>
      </c>
      <c r="H39" s="116">
        <v>0</v>
      </c>
      <c r="I39" s="125">
        <v>510.68200000000002</v>
      </c>
      <c r="J39" s="336"/>
      <c r="K39" s="27"/>
      <c r="L39" s="334"/>
      <c r="M39" s="335"/>
      <c r="N39" s="337"/>
      <c r="Q39" s="3"/>
      <c r="R39" s="3"/>
      <c r="S39" s="3"/>
      <c r="T39" s="3"/>
      <c r="U39" s="3"/>
    </row>
    <row r="40" spans="1:21" x14ac:dyDescent="0.25">
      <c r="A40" s="7"/>
      <c r="B40" s="182" t="s">
        <v>79</v>
      </c>
      <c r="C40" s="116">
        <v>236.429</v>
      </c>
      <c r="D40" s="116">
        <v>87.325999999999993</v>
      </c>
      <c r="E40" s="124">
        <f t="shared" si="0"/>
        <v>131.26100000000002</v>
      </c>
      <c r="F40" s="124">
        <v>455.01600000000002</v>
      </c>
      <c r="G40" s="116">
        <v>62.29</v>
      </c>
      <c r="H40" s="116">
        <v>0</v>
      </c>
      <c r="I40" s="125">
        <v>517.30600000000004</v>
      </c>
      <c r="J40" s="336"/>
      <c r="K40" s="27"/>
      <c r="L40" s="334"/>
      <c r="M40" s="335"/>
      <c r="N40" s="337"/>
      <c r="Q40" s="3"/>
      <c r="R40" s="3"/>
      <c r="S40" s="3"/>
      <c r="T40" s="3"/>
      <c r="U40" s="3"/>
    </row>
    <row r="41" spans="1:21" x14ac:dyDescent="0.25">
      <c r="A41" s="7"/>
      <c r="B41" s="182" t="s">
        <v>80</v>
      </c>
      <c r="C41" s="116">
        <v>241.43600000000001</v>
      </c>
      <c r="D41" s="116">
        <v>86.472999999999999</v>
      </c>
      <c r="E41" s="124">
        <f t="shared" si="0"/>
        <v>131.62200000000001</v>
      </c>
      <c r="F41" s="124">
        <v>459.53100000000001</v>
      </c>
      <c r="G41" s="116">
        <v>62.085000000000001</v>
      </c>
      <c r="H41" s="116">
        <v>0</v>
      </c>
      <c r="I41" s="125">
        <v>521.61599999999999</v>
      </c>
      <c r="J41" s="336"/>
      <c r="K41" s="27"/>
      <c r="L41" s="334"/>
      <c r="M41" s="335"/>
      <c r="N41" s="337"/>
      <c r="Q41" s="3"/>
      <c r="R41" s="3"/>
      <c r="S41" s="3"/>
      <c r="T41" s="3"/>
      <c r="U41" s="3"/>
    </row>
    <row r="42" spans="1:21" x14ac:dyDescent="0.25">
      <c r="A42" s="7"/>
      <c r="B42" s="182" t="s">
        <v>81</v>
      </c>
      <c r="C42" s="116">
        <v>243.256</v>
      </c>
      <c r="D42" s="116">
        <v>87.185000000000002</v>
      </c>
      <c r="E42" s="124">
        <f t="shared" si="0"/>
        <v>130.49600000000001</v>
      </c>
      <c r="F42" s="124">
        <v>460.93700000000001</v>
      </c>
      <c r="G42" s="116">
        <v>64.224000000000004</v>
      </c>
      <c r="H42" s="116">
        <v>0</v>
      </c>
      <c r="I42" s="125">
        <v>525.16099999999994</v>
      </c>
      <c r="J42" s="336"/>
      <c r="K42" s="27"/>
      <c r="L42" s="334"/>
      <c r="M42" s="335"/>
      <c r="N42" s="337"/>
      <c r="Q42" s="3"/>
      <c r="R42" s="3"/>
      <c r="S42" s="3"/>
      <c r="T42" s="3"/>
      <c r="U42" s="3"/>
    </row>
    <row r="43" spans="1:21" x14ac:dyDescent="0.25">
      <c r="A43" s="7"/>
      <c r="B43" s="182" t="s">
        <v>82</v>
      </c>
      <c r="C43" s="116">
        <v>245.90899999999999</v>
      </c>
      <c r="D43" s="116">
        <v>93.334999999999994</v>
      </c>
      <c r="E43" s="124">
        <f t="shared" si="0"/>
        <v>130.02100000000002</v>
      </c>
      <c r="F43" s="124">
        <v>469.26499999999999</v>
      </c>
      <c r="G43" s="116">
        <v>63.874000000000002</v>
      </c>
      <c r="H43" s="116">
        <v>0</v>
      </c>
      <c r="I43" s="125">
        <v>533.13900000000001</v>
      </c>
      <c r="J43" s="336"/>
      <c r="K43" s="27"/>
      <c r="L43" s="334"/>
      <c r="M43" s="335"/>
      <c r="N43" s="337"/>
      <c r="Q43" s="3"/>
      <c r="R43" s="3"/>
      <c r="S43" s="3"/>
      <c r="T43" s="3"/>
      <c r="U43" s="3"/>
    </row>
    <row r="44" spans="1:21" x14ac:dyDescent="0.25">
      <c r="A44" s="7"/>
      <c r="B44" s="182" t="s">
        <v>83</v>
      </c>
      <c r="C44" s="116">
        <v>249.131</v>
      </c>
      <c r="D44" s="116">
        <v>89.432000000000002</v>
      </c>
      <c r="E44" s="124">
        <f t="shared" si="0"/>
        <v>133.46899999999999</v>
      </c>
      <c r="F44" s="124">
        <v>472.03199999999998</v>
      </c>
      <c r="G44" s="116">
        <v>63.131</v>
      </c>
      <c r="H44" s="116">
        <v>0</v>
      </c>
      <c r="I44" s="125">
        <v>535.16300000000001</v>
      </c>
      <c r="J44" s="336"/>
      <c r="K44" s="27"/>
      <c r="L44" s="334"/>
      <c r="M44" s="335"/>
      <c r="N44" s="337"/>
      <c r="Q44" s="3"/>
      <c r="R44" s="3"/>
      <c r="S44" s="3"/>
      <c r="T44" s="3"/>
      <c r="U44" s="3"/>
    </row>
    <row r="45" spans="1:21" x14ac:dyDescent="0.25">
      <c r="A45" s="7"/>
      <c r="B45" s="182" t="s">
        <v>84</v>
      </c>
      <c r="C45" s="116">
        <v>248.624</v>
      </c>
      <c r="D45" s="116">
        <v>93.003</v>
      </c>
      <c r="E45" s="124">
        <f t="shared" si="0"/>
        <v>133.86199999999997</v>
      </c>
      <c r="F45" s="124">
        <v>475.48899999999998</v>
      </c>
      <c r="G45" s="116">
        <v>65.23</v>
      </c>
      <c r="H45" s="116">
        <v>0</v>
      </c>
      <c r="I45" s="125">
        <v>540.71900000000005</v>
      </c>
      <c r="J45" s="336"/>
      <c r="K45" s="27"/>
      <c r="L45" s="334"/>
      <c r="M45" s="335"/>
      <c r="N45" s="337"/>
      <c r="Q45" s="3"/>
      <c r="R45" s="3"/>
      <c r="S45" s="3"/>
      <c r="T45" s="3"/>
      <c r="U45" s="3"/>
    </row>
    <row r="46" spans="1:21" x14ac:dyDescent="0.25">
      <c r="A46" s="7"/>
      <c r="B46" s="182" t="s">
        <v>85</v>
      </c>
      <c r="C46" s="116">
        <v>252.24799999999999</v>
      </c>
      <c r="D46" s="116">
        <v>92.445999999999998</v>
      </c>
      <c r="E46" s="124">
        <f t="shared" si="0"/>
        <v>135.24500000000003</v>
      </c>
      <c r="F46" s="124">
        <v>479.93900000000002</v>
      </c>
      <c r="G46" s="116">
        <v>65.221000000000004</v>
      </c>
      <c r="H46" s="116">
        <v>0</v>
      </c>
      <c r="I46" s="125">
        <v>545.16</v>
      </c>
      <c r="J46" s="336"/>
      <c r="K46" s="27"/>
      <c r="L46" s="334"/>
      <c r="M46" s="335"/>
      <c r="N46" s="337"/>
      <c r="Q46" s="3"/>
      <c r="R46" s="3"/>
      <c r="S46" s="3"/>
      <c r="T46" s="3"/>
      <c r="U46" s="3"/>
    </row>
    <row r="47" spans="1:21" x14ac:dyDescent="0.25">
      <c r="A47" s="7"/>
      <c r="B47" s="182" t="s">
        <v>86</v>
      </c>
      <c r="C47" s="116">
        <v>255.81800000000001</v>
      </c>
      <c r="D47" s="116">
        <v>92.15</v>
      </c>
      <c r="E47" s="124">
        <f t="shared" si="0"/>
        <v>136.95099999999996</v>
      </c>
      <c r="F47" s="124">
        <v>484.91899999999998</v>
      </c>
      <c r="G47" s="116">
        <v>65.597999999999999</v>
      </c>
      <c r="H47" s="116">
        <v>0</v>
      </c>
      <c r="I47" s="125">
        <v>550.51700000000005</v>
      </c>
      <c r="J47" s="336"/>
      <c r="K47" s="27"/>
      <c r="L47" s="334"/>
      <c r="M47" s="335"/>
      <c r="N47" s="337"/>
      <c r="Q47" s="3"/>
      <c r="R47" s="3"/>
      <c r="S47" s="3"/>
      <c r="T47" s="3"/>
      <c r="U47" s="3"/>
    </row>
    <row r="48" spans="1:21" x14ac:dyDescent="0.25">
      <c r="A48" s="7"/>
      <c r="B48" s="182" t="s">
        <v>87</v>
      </c>
      <c r="C48" s="116">
        <v>257.452</v>
      </c>
      <c r="D48" s="116">
        <v>89.79</v>
      </c>
      <c r="E48" s="124">
        <f t="shared" si="0"/>
        <v>140.57999999999998</v>
      </c>
      <c r="F48" s="124">
        <v>487.822</v>
      </c>
      <c r="G48" s="116">
        <v>66.162000000000006</v>
      </c>
      <c r="H48" s="116">
        <v>0</v>
      </c>
      <c r="I48" s="125">
        <v>553.98400000000004</v>
      </c>
      <c r="J48" s="336"/>
      <c r="K48" s="27"/>
      <c r="L48" s="334"/>
      <c r="M48" s="335"/>
      <c r="N48" s="337"/>
      <c r="Q48" s="3"/>
      <c r="R48" s="3"/>
      <c r="S48" s="3"/>
      <c r="T48" s="3"/>
      <c r="U48" s="3"/>
    </row>
    <row r="49" spans="1:21" x14ac:dyDescent="0.25">
      <c r="A49" s="7"/>
      <c r="B49" s="182" t="s">
        <v>88</v>
      </c>
      <c r="C49" s="116">
        <v>262.315</v>
      </c>
      <c r="D49" s="116">
        <v>95.248000000000005</v>
      </c>
      <c r="E49" s="124">
        <f t="shared" si="0"/>
        <v>137.274</v>
      </c>
      <c r="F49" s="124">
        <v>494.83699999999999</v>
      </c>
      <c r="G49" s="116">
        <v>66.158000000000001</v>
      </c>
      <c r="H49" s="116">
        <v>0</v>
      </c>
      <c r="I49" s="125">
        <v>560.995</v>
      </c>
      <c r="J49" s="336"/>
      <c r="K49" s="27"/>
      <c r="L49" s="334"/>
      <c r="M49" s="335"/>
      <c r="N49" s="337"/>
      <c r="Q49" s="3"/>
      <c r="R49" s="3"/>
      <c r="S49" s="3"/>
      <c r="T49" s="3"/>
      <c r="U49" s="3"/>
    </row>
    <row r="50" spans="1:21" x14ac:dyDescent="0.25">
      <c r="A50" s="7"/>
      <c r="B50" s="182" t="s">
        <v>89</v>
      </c>
      <c r="C50" s="116">
        <v>262.61900000000003</v>
      </c>
      <c r="D50" s="116">
        <v>97.233000000000004</v>
      </c>
      <c r="E50" s="124">
        <f t="shared" si="0"/>
        <v>140.65199999999999</v>
      </c>
      <c r="F50" s="124">
        <v>500.50400000000002</v>
      </c>
      <c r="G50" s="116">
        <v>66.947000000000003</v>
      </c>
      <c r="H50" s="116">
        <v>0</v>
      </c>
      <c r="I50" s="125">
        <v>567.45100000000002</v>
      </c>
      <c r="J50" s="336"/>
      <c r="K50" s="27"/>
      <c r="L50" s="334"/>
      <c r="M50" s="335"/>
      <c r="N50" s="337"/>
      <c r="Q50" s="3"/>
      <c r="R50" s="3"/>
      <c r="S50" s="3"/>
      <c r="T50" s="3"/>
      <c r="U50" s="3"/>
    </row>
    <row r="51" spans="1:21" x14ac:dyDescent="0.25">
      <c r="A51" s="7"/>
      <c r="B51" s="182" t="s">
        <v>90</v>
      </c>
      <c r="C51" s="116">
        <v>264.22500000000002</v>
      </c>
      <c r="D51" s="116">
        <v>95.385999999999996</v>
      </c>
      <c r="E51" s="124">
        <f t="shared" si="0"/>
        <v>144.68899999999999</v>
      </c>
      <c r="F51" s="124">
        <v>504.3</v>
      </c>
      <c r="G51" s="116">
        <v>66.230999999999995</v>
      </c>
      <c r="H51" s="116">
        <v>0</v>
      </c>
      <c r="I51" s="125">
        <v>570.53099999999995</v>
      </c>
      <c r="J51" s="336"/>
      <c r="K51" s="27"/>
      <c r="L51" s="334"/>
      <c r="M51" s="335"/>
      <c r="N51" s="337"/>
      <c r="Q51" s="3"/>
      <c r="R51" s="3"/>
      <c r="S51" s="3"/>
      <c r="T51" s="3"/>
      <c r="U51" s="3"/>
    </row>
    <row r="52" spans="1:21" x14ac:dyDescent="0.25">
      <c r="A52" s="7"/>
      <c r="B52" s="152" t="s">
        <v>91</v>
      </c>
      <c r="C52" s="116">
        <v>262.02</v>
      </c>
      <c r="D52" s="116">
        <v>91.578999999999994</v>
      </c>
      <c r="E52" s="124">
        <f t="shared" si="0"/>
        <v>143.12299999999999</v>
      </c>
      <c r="F52" s="124">
        <v>496.72199999999998</v>
      </c>
      <c r="G52" s="116">
        <v>62.643000000000001</v>
      </c>
      <c r="H52" s="116">
        <v>0</v>
      </c>
      <c r="I52" s="125">
        <v>559.36500000000001</v>
      </c>
      <c r="J52" s="336"/>
      <c r="K52" s="27"/>
      <c r="L52" s="334"/>
      <c r="M52" s="335"/>
      <c r="N52" s="337"/>
      <c r="Q52" s="3"/>
      <c r="R52" s="3"/>
      <c r="S52" s="3"/>
      <c r="T52" s="3"/>
      <c r="U52" s="3"/>
    </row>
    <row r="53" spans="1:21" x14ac:dyDescent="0.25">
      <c r="A53" s="7"/>
      <c r="B53" s="152" t="s">
        <v>92</v>
      </c>
      <c r="C53" s="116">
        <v>255.68899999999999</v>
      </c>
      <c r="D53" s="116">
        <v>88.600999999999999</v>
      </c>
      <c r="E53" s="124">
        <f t="shared" si="0"/>
        <v>141.011</v>
      </c>
      <c r="F53" s="124">
        <v>485.30099999999999</v>
      </c>
      <c r="G53" s="116">
        <v>-4.0739999999999998</v>
      </c>
      <c r="H53" s="116">
        <v>0</v>
      </c>
      <c r="I53" s="125">
        <v>481.22699999999998</v>
      </c>
      <c r="J53" s="336"/>
      <c r="K53" s="27"/>
      <c r="L53" s="334"/>
      <c r="M53" s="335"/>
      <c r="N53" s="337"/>
      <c r="Q53" s="3"/>
      <c r="R53" s="3"/>
      <c r="S53" s="3"/>
      <c r="T53" s="3"/>
      <c r="U53" s="3"/>
    </row>
    <row r="54" spans="1:21" x14ac:dyDescent="0.25">
      <c r="A54" s="7"/>
      <c r="B54" s="152" t="s">
        <v>93</v>
      </c>
      <c r="C54" s="116">
        <v>260.54399999999998</v>
      </c>
      <c r="D54" s="116">
        <v>106.673</v>
      </c>
      <c r="E54" s="124">
        <f t="shared" si="0"/>
        <v>138.14600000000002</v>
      </c>
      <c r="F54" s="124">
        <v>505.363</v>
      </c>
      <c r="G54" s="116">
        <v>34.956000000000003</v>
      </c>
      <c r="H54" s="116">
        <v>0</v>
      </c>
      <c r="I54" s="125">
        <v>540.31899999999996</v>
      </c>
      <c r="J54" s="336"/>
      <c r="K54" s="27"/>
      <c r="L54" s="334"/>
      <c r="M54" s="335"/>
      <c r="N54" s="337"/>
      <c r="Q54" s="3"/>
      <c r="R54" s="3"/>
      <c r="S54" s="3"/>
      <c r="T54" s="3"/>
      <c r="U54" s="3"/>
    </row>
    <row r="55" spans="1:21" x14ac:dyDescent="0.25">
      <c r="A55" s="7"/>
      <c r="B55" s="152" t="s">
        <v>94</v>
      </c>
      <c r="C55" s="116">
        <v>267.30200000000002</v>
      </c>
      <c r="D55" s="116">
        <v>94.691999999999993</v>
      </c>
      <c r="E55" s="124">
        <f t="shared" si="0"/>
        <v>142.11399999999998</v>
      </c>
      <c r="F55" s="124">
        <v>504.108</v>
      </c>
      <c r="G55" s="116">
        <v>39.701000000000001</v>
      </c>
      <c r="H55" s="116">
        <v>0</v>
      </c>
      <c r="I55" s="125">
        <v>543.80899999999997</v>
      </c>
      <c r="J55" s="336"/>
      <c r="K55" s="27"/>
      <c r="L55" s="334"/>
      <c r="M55" s="335"/>
      <c r="N55" s="337"/>
      <c r="Q55" s="3"/>
      <c r="R55" s="3"/>
      <c r="S55" s="3"/>
      <c r="T55" s="3"/>
      <c r="U55" s="3"/>
    </row>
    <row r="56" spans="1:21" x14ac:dyDescent="0.25">
      <c r="A56" s="7"/>
      <c r="B56" s="152" t="s">
        <v>95</v>
      </c>
      <c r="C56" s="116">
        <v>269.26299999999998</v>
      </c>
      <c r="D56" s="116">
        <v>95.884</v>
      </c>
      <c r="E56" s="124">
        <f t="shared" si="0"/>
        <v>143.81400000000002</v>
      </c>
      <c r="F56" s="124">
        <v>508.96100000000001</v>
      </c>
      <c r="G56" s="116">
        <v>36.155000000000001</v>
      </c>
      <c r="H56" s="116">
        <v>0</v>
      </c>
      <c r="I56" s="125">
        <v>545.11599999999999</v>
      </c>
      <c r="J56" s="336"/>
      <c r="K56" s="27"/>
      <c r="L56" s="334"/>
      <c r="M56" s="335"/>
      <c r="N56" s="337"/>
      <c r="Q56" s="3"/>
      <c r="R56" s="3"/>
      <c r="S56" s="3"/>
      <c r="T56" s="3"/>
      <c r="U56" s="3"/>
    </row>
    <row r="57" spans="1:21" x14ac:dyDescent="0.25">
      <c r="A57" s="7"/>
      <c r="B57" s="152" t="s">
        <v>96</v>
      </c>
      <c r="C57" s="116">
        <v>277.94900000000001</v>
      </c>
      <c r="D57" s="116">
        <v>103.82599999999999</v>
      </c>
      <c r="E57" s="124">
        <f t="shared" si="0"/>
        <v>147.792</v>
      </c>
      <c r="F57" s="124">
        <v>529.56700000000001</v>
      </c>
      <c r="G57" s="116">
        <v>46.957999999999998</v>
      </c>
      <c r="H57" s="116">
        <v>0</v>
      </c>
      <c r="I57" s="125">
        <v>576.52499999999998</v>
      </c>
      <c r="J57" s="336"/>
      <c r="K57" s="27"/>
      <c r="L57" s="334"/>
      <c r="M57" s="335"/>
      <c r="N57" s="337"/>
      <c r="Q57" s="3"/>
      <c r="R57" s="3"/>
      <c r="S57" s="3"/>
      <c r="T57" s="3"/>
      <c r="U57" s="3"/>
    </row>
    <row r="58" spans="1:21" x14ac:dyDescent="0.25">
      <c r="A58" s="7"/>
      <c r="B58" s="152" t="s">
        <v>97</v>
      </c>
      <c r="C58" s="116">
        <v>281.01100000000002</v>
      </c>
      <c r="D58" s="116">
        <v>104.764</v>
      </c>
      <c r="E58" s="124">
        <f t="shared" si="0"/>
        <v>147.863</v>
      </c>
      <c r="F58" s="124">
        <v>533.63800000000003</v>
      </c>
      <c r="G58" s="116">
        <v>59.069000000000003</v>
      </c>
      <c r="H58" s="116">
        <v>0</v>
      </c>
      <c r="I58" s="125">
        <v>592.70699999999999</v>
      </c>
      <c r="J58" s="336"/>
      <c r="K58" s="27"/>
      <c r="L58" s="334"/>
      <c r="M58" s="335"/>
      <c r="N58" s="337"/>
      <c r="Q58" s="3"/>
      <c r="R58" s="3"/>
      <c r="S58" s="3"/>
      <c r="T58" s="3"/>
      <c r="U58" s="3"/>
    </row>
    <row r="59" spans="1:21" x14ac:dyDescent="0.25">
      <c r="A59" s="7"/>
      <c r="B59" s="152" t="s">
        <v>98</v>
      </c>
      <c r="C59" s="116">
        <v>283.88499999999999</v>
      </c>
      <c r="D59" s="116">
        <v>105.20399999999999</v>
      </c>
      <c r="E59" s="124">
        <f t="shared" si="0"/>
        <v>151.21300000000002</v>
      </c>
      <c r="F59" s="124">
        <v>540.30200000000002</v>
      </c>
      <c r="G59" s="116">
        <v>68.001999999999995</v>
      </c>
      <c r="H59" s="116">
        <v>0</v>
      </c>
      <c r="I59" s="125">
        <v>608.30399999999997</v>
      </c>
      <c r="J59" s="336"/>
      <c r="K59" s="27"/>
      <c r="L59" s="334"/>
      <c r="M59" s="335"/>
      <c r="N59" s="337"/>
      <c r="Q59" s="3"/>
      <c r="R59" s="3"/>
      <c r="S59" s="3"/>
      <c r="T59" s="3"/>
      <c r="U59" s="3"/>
    </row>
    <row r="60" spans="1:21" x14ac:dyDescent="0.25">
      <c r="A60" s="7"/>
      <c r="B60" s="152" t="s">
        <v>99</v>
      </c>
      <c r="C60" s="116">
        <v>290.86799999999999</v>
      </c>
      <c r="D60" s="116">
        <v>105.923</v>
      </c>
      <c r="E60" s="124">
        <f t="shared" si="0"/>
        <v>156.59099999999995</v>
      </c>
      <c r="F60" s="124">
        <v>553.38199999999995</v>
      </c>
      <c r="G60" s="116">
        <v>69.632000000000005</v>
      </c>
      <c r="H60" s="116">
        <v>0</v>
      </c>
      <c r="I60" s="125">
        <v>623.01400000000001</v>
      </c>
      <c r="J60" s="336"/>
      <c r="K60" s="27"/>
      <c r="L60" s="334"/>
      <c r="M60" s="335"/>
      <c r="N60" s="337"/>
      <c r="Q60" s="3"/>
      <c r="R60" s="3"/>
      <c r="S60" s="3"/>
      <c r="T60" s="3"/>
      <c r="U60" s="3"/>
    </row>
    <row r="61" spans="1:21" x14ac:dyDescent="0.25">
      <c r="A61" s="7"/>
      <c r="B61" s="152" t="s">
        <v>100</v>
      </c>
      <c r="C61" s="116">
        <v>294.375</v>
      </c>
      <c r="D61" s="116">
        <v>117.351</v>
      </c>
      <c r="E61" s="124">
        <f t="shared" si="0"/>
        <v>155.61599999999999</v>
      </c>
      <c r="F61" s="124">
        <v>567.34199999999998</v>
      </c>
      <c r="G61" s="116">
        <v>71.950999999999993</v>
      </c>
      <c r="H61" s="116">
        <v>0</v>
      </c>
      <c r="I61" s="125">
        <v>639.29300000000001</v>
      </c>
      <c r="J61" s="336"/>
      <c r="K61" s="27"/>
      <c r="L61" s="334"/>
      <c r="M61" s="335"/>
      <c r="N61" s="337"/>
      <c r="Q61" s="3"/>
      <c r="R61" s="3"/>
      <c r="S61" s="3"/>
      <c r="T61" s="3"/>
      <c r="U61" s="3"/>
    </row>
    <row r="62" spans="1:21" x14ac:dyDescent="0.25">
      <c r="A62" s="7"/>
      <c r="B62" s="152" t="s">
        <v>101</v>
      </c>
      <c r="C62" s="116">
        <v>298.39600000000002</v>
      </c>
      <c r="D62" s="116">
        <v>102.021</v>
      </c>
      <c r="E62" s="124">
        <f t="shared" si="0"/>
        <v>175.31399999999996</v>
      </c>
      <c r="F62" s="124">
        <v>575.73099999999999</v>
      </c>
      <c r="G62" s="116">
        <v>74.501999999999995</v>
      </c>
      <c r="H62" s="116">
        <v>0</v>
      </c>
      <c r="I62" s="125">
        <v>650.23299999999995</v>
      </c>
      <c r="J62" s="336"/>
      <c r="K62" s="27"/>
      <c r="L62" s="334"/>
      <c r="M62" s="335"/>
      <c r="N62" s="337"/>
      <c r="Q62" s="3"/>
      <c r="R62" s="3"/>
      <c r="S62" s="3"/>
      <c r="T62" s="3"/>
      <c r="U62" s="3"/>
    </row>
    <row r="63" spans="1:21" x14ac:dyDescent="0.25">
      <c r="A63" s="7"/>
      <c r="B63" s="152" t="s">
        <v>102</v>
      </c>
      <c r="C63" s="116">
        <v>306.976</v>
      </c>
      <c r="D63" s="116">
        <v>116.467</v>
      </c>
      <c r="E63" s="124">
        <f t="shared" si="0"/>
        <v>179.81299999999999</v>
      </c>
      <c r="F63" s="124">
        <v>603.25599999999997</v>
      </c>
      <c r="G63" s="116">
        <v>65.153000000000006</v>
      </c>
      <c r="H63" s="116">
        <v>0</v>
      </c>
      <c r="I63" s="125">
        <v>668.40899999999999</v>
      </c>
      <c r="J63" s="336"/>
      <c r="K63" s="27"/>
      <c r="L63" s="334"/>
      <c r="M63" s="335"/>
      <c r="N63" s="337"/>
      <c r="Q63" s="3"/>
      <c r="R63" s="3"/>
      <c r="S63" s="3"/>
      <c r="T63" s="3"/>
      <c r="U63" s="3"/>
    </row>
    <row r="64" spans="1:21" x14ac:dyDescent="0.25">
      <c r="A64" s="7"/>
      <c r="B64" s="47" t="s">
        <v>103</v>
      </c>
      <c r="C64" s="116">
        <v>311.46100000000001</v>
      </c>
      <c r="D64" s="116">
        <v>128.804</v>
      </c>
      <c r="E64" s="124">
        <f t="shared" si="0"/>
        <v>181.61499999999998</v>
      </c>
      <c r="F64" s="124">
        <v>621.88</v>
      </c>
      <c r="G64" s="116">
        <v>57.314</v>
      </c>
      <c r="H64" s="116">
        <v>0</v>
      </c>
      <c r="I64" s="125">
        <v>679.19399999999996</v>
      </c>
      <c r="J64" s="336"/>
      <c r="K64" s="27"/>
      <c r="L64" s="334"/>
      <c r="M64" s="335"/>
      <c r="N64" s="337"/>
      <c r="Q64" s="3"/>
      <c r="R64" s="3"/>
      <c r="S64" s="3"/>
      <c r="T64" s="3"/>
      <c r="U64" s="3"/>
    </row>
    <row r="65" spans="1:22" x14ac:dyDescent="0.25">
      <c r="A65" s="7"/>
      <c r="B65" s="47" t="s">
        <v>104</v>
      </c>
      <c r="C65" s="116">
        <v>315.15100000000001</v>
      </c>
      <c r="D65" s="116">
        <v>119.46599999999999</v>
      </c>
      <c r="E65" s="124">
        <f t="shared" si="0"/>
        <v>183.00799999999998</v>
      </c>
      <c r="F65" s="124">
        <v>617.625</v>
      </c>
      <c r="G65" s="116">
        <v>71.992999999999995</v>
      </c>
      <c r="H65" s="116">
        <v>0</v>
      </c>
      <c r="I65" s="125">
        <v>689.61800000000005</v>
      </c>
      <c r="J65" s="336"/>
      <c r="K65" s="27"/>
      <c r="L65" s="334"/>
      <c r="M65" s="335"/>
      <c r="N65" s="337"/>
      <c r="Q65" s="3"/>
      <c r="R65" s="3"/>
      <c r="S65" s="3"/>
      <c r="T65" s="3"/>
      <c r="U65" s="3"/>
    </row>
    <row r="66" spans="1:22" x14ac:dyDescent="0.25">
      <c r="A66" s="7"/>
      <c r="B66" s="47" t="s">
        <v>105</v>
      </c>
      <c r="C66" s="116">
        <v>320.21899999999999</v>
      </c>
      <c r="D66" s="116">
        <v>118.95399999999999</v>
      </c>
      <c r="E66" s="124">
        <f t="shared" si="0"/>
        <v>178.07799999999997</v>
      </c>
      <c r="F66" s="124">
        <v>617.25099999999998</v>
      </c>
      <c r="G66" s="116">
        <v>75.730999999999995</v>
      </c>
      <c r="H66" s="116">
        <v>0</v>
      </c>
      <c r="I66" s="125">
        <v>692.98199999999997</v>
      </c>
      <c r="J66" s="336"/>
      <c r="K66" s="27"/>
      <c r="L66" s="334"/>
      <c r="M66" s="335"/>
      <c r="N66" s="337"/>
      <c r="Q66" s="3"/>
      <c r="R66" s="3"/>
      <c r="S66" s="3"/>
      <c r="T66" s="3"/>
      <c r="U66" s="3"/>
    </row>
    <row r="67" spans="1:22" x14ac:dyDescent="0.25">
      <c r="A67" s="7"/>
      <c r="B67" s="47" t="s">
        <v>106</v>
      </c>
      <c r="C67" s="116">
        <v>318.26100000000002</v>
      </c>
      <c r="D67" s="116">
        <v>115.986</v>
      </c>
      <c r="E67" s="124">
        <f t="shared" si="0"/>
        <v>180.15899999999993</v>
      </c>
      <c r="F67" s="124">
        <v>614.40599999999995</v>
      </c>
      <c r="G67" s="116">
        <v>75.963999999999999</v>
      </c>
      <c r="H67" s="116">
        <v>0</v>
      </c>
      <c r="I67" s="125">
        <v>690.37</v>
      </c>
      <c r="J67" s="336"/>
      <c r="K67" s="27"/>
      <c r="L67" s="334"/>
      <c r="M67" s="335"/>
      <c r="N67" s="337"/>
      <c r="Q67" s="3"/>
      <c r="R67" s="3"/>
      <c r="S67" s="3"/>
      <c r="T67" s="3"/>
      <c r="U67" s="3"/>
    </row>
    <row r="68" spans="1:22" x14ac:dyDescent="0.25">
      <c r="A68" s="7"/>
      <c r="B68" s="47" t="s">
        <v>107</v>
      </c>
      <c r="C68" s="116">
        <v>325.99900000000002</v>
      </c>
      <c r="D68" s="116">
        <v>113.652</v>
      </c>
      <c r="E68" s="124">
        <f t="shared" si="0"/>
        <v>189.64400000000003</v>
      </c>
      <c r="F68" s="124">
        <v>629.33900000000006</v>
      </c>
      <c r="G68" s="116">
        <v>75.700999999999993</v>
      </c>
      <c r="H68" s="116">
        <v>4.3999999999999997E-2</v>
      </c>
      <c r="I68" s="125">
        <v>705.04</v>
      </c>
      <c r="J68" s="336"/>
      <c r="K68" s="27"/>
      <c r="L68" s="334"/>
      <c r="M68" s="335"/>
      <c r="N68" s="337"/>
      <c r="Q68" s="3"/>
      <c r="R68" s="3"/>
      <c r="S68" s="3"/>
      <c r="T68" s="3"/>
      <c r="U68" s="3"/>
    </row>
    <row r="69" spans="1:22" x14ac:dyDescent="0.25">
      <c r="A69" s="7"/>
      <c r="B69" s="47" t="s">
        <v>108</v>
      </c>
      <c r="C69" s="116">
        <v>330.12700000000001</v>
      </c>
      <c r="D69" s="116">
        <v>124.09399999999999</v>
      </c>
      <c r="E69" s="124">
        <f t="shared" ref="E69:E91" si="1">F69-C69-D69-H69</f>
        <v>186.321</v>
      </c>
      <c r="F69" s="124">
        <v>640.23099999999999</v>
      </c>
      <c r="G69" s="116">
        <v>77.613</v>
      </c>
      <c r="H69" s="116">
        <v>-0.311</v>
      </c>
      <c r="I69" s="125">
        <v>717.84400000000005</v>
      </c>
      <c r="J69" s="336"/>
      <c r="K69" s="27"/>
      <c r="L69" s="334"/>
      <c r="M69" s="335"/>
      <c r="N69" s="337"/>
      <c r="Q69" s="3"/>
      <c r="R69" s="3"/>
      <c r="S69" s="3"/>
      <c r="T69" s="3"/>
      <c r="U69" s="3"/>
    </row>
    <row r="70" spans="1:22" x14ac:dyDescent="0.25">
      <c r="A70" s="7"/>
      <c r="B70" s="47" t="s">
        <v>109</v>
      </c>
      <c r="C70" s="116">
        <v>337.625</v>
      </c>
      <c r="D70" s="116">
        <v>122.44499999999999</v>
      </c>
      <c r="E70" s="124">
        <f t="shared" si="1"/>
        <v>192.82799999999997</v>
      </c>
      <c r="F70" s="124">
        <v>652.32799999999997</v>
      </c>
      <c r="G70" s="116">
        <v>77.733999999999995</v>
      </c>
      <c r="H70" s="116">
        <v>-0.56999999999999995</v>
      </c>
      <c r="I70" s="125">
        <v>730.06200000000001</v>
      </c>
      <c r="J70" s="336"/>
      <c r="K70" s="27"/>
      <c r="L70" s="334"/>
      <c r="M70" s="335"/>
      <c r="N70" s="337"/>
      <c r="Q70" s="3"/>
      <c r="R70" s="3"/>
      <c r="S70" s="3"/>
      <c r="T70" s="3"/>
      <c r="U70" s="3"/>
    </row>
    <row r="71" spans="1:22" x14ac:dyDescent="0.25">
      <c r="A71" s="7"/>
      <c r="B71" s="47" t="s">
        <v>110</v>
      </c>
      <c r="C71" s="116">
        <v>344.77</v>
      </c>
      <c r="D71" s="116">
        <v>121.361</v>
      </c>
      <c r="E71" s="124">
        <f t="shared" si="1"/>
        <v>193.77200000000002</v>
      </c>
      <c r="F71" s="124">
        <v>659.154</v>
      </c>
      <c r="G71" s="116">
        <v>78.153999999999996</v>
      </c>
      <c r="H71" s="116">
        <v>-0.749</v>
      </c>
      <c r="I71" s="125">
        <v>737.30799999999999</v>
      </c>
      <c r="J71" s="336"/>
      <c r="K71" s="27"/>
      <c r="L71" s="334"/>
      <c r="M71" s="335"/>
      <c r="N71" s="337"/>
      <c r="Q71" s="3"/>
      <c r="R71" s="3"/>
      <c r="S71" s="3"/>
      <c r="T71" s="3"/>
      <c r="U71" s="3"/>
    </row>
    <row r="72" spans="1:22" x14ac:dyDescent="0.25">
      <c r="A72" s="7"/>
      <c r="B72" s="47" t="s">
        <v>111</v>
      </c>
      <c r="C72" s="116">
        <v>348.68599999999998</v>
      </c>
      <c r="D72" s="116">
        <v>119.68899999999999</v>
      </c>
      <c r="E72" s="124">
        <f t="shared" si="1"/>
        <v>199.57000000000002</v>
      </c>
      <c r="F72" s="124">
        <v>666.572</v>
      </c>
      <c r="G72" s="116">
        <v>81.037000000000006</v>
      </c>
      <c r="H72" s="116">
        <v>-1.373</v>
      </c>
      <c r="I72" s="125">
        <v>747.60900000000004</v>
      </c>
      <c r="J72" s="336"/>
      <c r="K72" s="27"/>
      <c r="L72" s="334"/>
      <c r="M72" s="335"/>
      <c r="N72" s="337"/>
      <c r="Q72" s="3"/>
      <c r="R72" s="3"/>
      <c r="S72" s="3"/>
      <c r="T72" s="3"/>
      <c r="U72" s="3"/>
    </row>
    <row r="73" spans="1:22" x14ac:dyDescent="0.25">
      <c r="A73" s="7"/>
      <c r="B73" s="47" t="s">
        <v>112</v>
      </c>
      <c r="C73" s="116">
        <v>349.15699999999998</v>
      </c>
      <c r="D73" s="116">
        <v>128.292</v>
      </c>
      <c r="E73" s="124">
        <f t="shared" si="1"/>
        <v>201.56000000000006</v>
      </c>
      <c r="F73" s="124">
        <v>676.99300000000005</v>
      </c>
      <c r="G73" s="116">
        <v>78.953999999999994</v>
      </c>
      <c r="H73" s="116">
        <v>-2.016</v>
      </c>
      <c r="I73" s="125">
        <v>755.947</v>
      </c>
      <c r="J73" s="336"/>
      <c r="K73" s="27"/>
      <c r="L73" s="334"/>
      <c r="M73" s="335"/>
      <c r="N73" s="337"/>
      <c r="Q73" s="3"/>
      <c r="R73" s="3"/>
      <c r="S73" s="3"/>
      <c r="T73" s="3"/>
      <c r="U73" s="3"/>
    </row>
    <row r="74" spans="1:22" x14ac:dyDescent="0.25">
      <c r="A74" s="7"/>
      <c r="B74" s="47" t="s">
        <v>113</v>
      </c>
      <c r="C74" s="116">
        <v>353.91300000000001</v>
      </c>
      <c r="D74" s="116">
        <v>127.46599999999999</v>
      </c>
      <c r="E74" s="124">
        <f t="shared" si="1"/>
        <v>203.08800000000002</v>
      </c>
      <c r="F74" s="124">
        <v>682.05100000000004</v>
      </c>
      <c r="G74" s="116">
        <v>80.781000000000006</v>
      </c>
      <c r="H74" s="116">
        <v>-2.4159999999999999</v>
      </c>
      <c r="I74" s="125">
        <v>762.83199999999999</v>
      </c>
      <c r="J74" s="336"/>
      <c r="K74" s="27"/>
      <c r="L74" s="334"/>
      <c r="M74" s="335"/>
      <c r="N74" s="337"/>
      <c r="Q74" s="3"/>
      <c r="R74" s="3"/>
      <c r="S74" s="3"/>
      <c r="T74" s="3"/>
      <c r="U74" s="3"/>
    </row>
    <row r="75" spans="1:22" x14ac:dyDescent="0.25">
      <c r="A75" s="7"/>
      <c r="B75" s="47" t="s">
        <v>114</v>
      </c>
      <c r="C75" s="116">
        <v>356.44799999999998</v>
      </c>
      <c r="D75" s="116">
        <v>122.57</v>
      </c>
      <c r="E75" s="124">
        <f t="shared" si="1"/>
        <v>208.285</v>
      </c>
      <c r="F75" s="124">
        <v>684.87199999999996</v>
      </c>
      <c r="G75" s="116">
        <v>82.605999999999995</v>
      </c>
      <c r="H75" s="116">
        <v>-2.431</v>
      </c>
      <c r="I75" s="125">
        <v>767.47799999999995</v>
      </c>
      <c r="J75" s="336"/>
      <c r="K75" s="27"/>
      <c r="L75" s="334"/>
      <c r="M75" s="335"/>
      <c r="N75" s="337"/>
      <c r="Q75" s="3"/>
      <c r="R75" s="3"/>
      <c r="S75" s="3"/>
      <c r="T75" s="3"/>
      <c r="U75" s="3"/>
    </row>
    <row r="76" spans="1:22" x14ac:dyDescent="0.25">
      <c r="A76" s="7"/>
      <c r="B76" s="47" t="s">
        <v>115</v>
      </c>
      <c r="C76" s="116">
        <v>363.06599999999997</v>
      </c>
      <c r="D76" s="116">
        <v>129.26900000000001</v>
      </c>
      <c r="E76" s="124">
        <f t="shared" si="1"/>
        <v>207.11599999999999</v>
      </c>
      <c r="F76" s="124">
        <v>696.97699999999998</v>
      </c>
      <c r="G76" s="116">
        <v>83.617000000000004</v>
      </c>
      <c r="H76" s="116">
        <v>-2.4740000000000002</v>
      </c>
      <c r="I76" s="125">
        <v>780.59400000000005</v>
      </c>
      <c r="J76" s="336"/>
      <c r="K76" s="27"/>
      <c r="L76" s="334"/>
      <c r="M76" s="335"/>
      <c r="N76" s="337"/>
      <c r="Q76" s="3"/>
      <c r="R76" s="3"/>
      <c r="S76" s="3"/>
      <c r="T76" s="3"/>
      <c r="U76" s="3"/>
    </row>
    <row r="77" spans="1:22" x14ac:dyDescent="0.25">
      <c r="A77" s="7"/>
      <c r="B77" s="47" t="s">
        <v>116</v>
      </c>
      <c r="C77" s="116">
        <v>364.83275220000002</v>
      </c>
      <c r="D77" s="116">
        <v>130.38941481302098</v>
      </c>
      <c r="E77" s="124">
        <f t="shared" si="1"/>
        <v>211.79083298697901</v>
      </c>
      <c r="F77" s="124">
        <v>704.51900000000001</v>
      </c>
      <c r="G77" s="116">
        <v>82.11</v>
      </c>
      <c r="H77" s="116">
        <v>-2.4940000000000002</v>
      </c>
      <c r="I77" s="125">
        <v>786.62900000000002</v>
      </c>
      <c r="J77" s="336"/>
      <c r="K77" s="27"/>
      <c r="L77" s="334"/>
      <c r="M77" s="335"/>
      <c r="N77" s="337"/>
      <c r="Q77" s="3"/>
      <c r="R77" s="3"/>
      <c r="S77" s="3"/>
      <c r="T77" s="3"/>
      <c r="U77" s="3"/>
    </row>
    <row r="78" spans="1:22" x14ac:dyDescent="0.25">
      <c r="A78" s="7"/>
      <c r="B78" s="47" t="s">
        <v>117</v>
      </c>
      <c r="C78" s="116">
        <v>367.60471649999999</v>
      </c>
      <c r="D78" s="116">
        <v>131.80785522582559</v>
      </c>
      <c r="E78" s="124">
        <f t="shared" si="1"/>
        <v>216.45804833417435</v>
      </c>
      <c r="F78" s="124">
        <v>713.37662005999994</v>
      </c>
      <c r="G78" s="116">
        <v>80.533574640000012</v>
      </c>
      <c r="H78" s="116">
        <v>-2.4940000000000002</v>
      </c>
      <c r="I78" s="125">
        <v>793.91019400000005</v>
      </c>
      <c r="J78" s="336"/>
      <c r="K78" s="27"/>
      <c r="L78" s="334"/>
      <c r="M78" s="335"/>
      <c r="N78" s="337"/>
      <c r="Q78" s="3"/>
      <c r="R78" s="3"/>
      <c r="S78" s="3"/>
      <c r="T78" s="3"/>
      <c r="U78" s="3"/>
    </row>
    <row r="79" spans="1:22" x14ac:dyDescent="0.25">
      <c r="A79" s="7"/>
      <c r="B79" s="47" t="s">
        <v>118</v>
      </c>
      <c r="C79" s="116">
        <v>370.49103729999996</v>
      </c>
      <c r="D79" s="116">
        <v>132.87642541478897</v>
      </c>
      <c r="E79" s="124">
        <f t="shared" si="1"/>
        <v>219.15336065521106</v>
      </c>
      <c r="F79" s="124">
        <v>720.02682336999999</v>
      </c>
      <c r="G79" s="116">
        <v>80.298944030000015</v>
      </c>
      <c r="H79" s="116">
        <v>-2.4940000000000002</v>
      </c>
      <c r="I79" s="125">
        <v>800.32576700000004</v>
      </c>
      <c r="J79" s="336"/>
      <c r="K79" s="27"/>
      <c r="L79" s="334"/>
      <c r="M79" s="335"/>
      <c r="N79" s="337"/>
      <c r="Q79" s="3"/>
      <c r="R79" s="3"/>
      <c r="S79" s="3"/>
      <c r="T79" s="3"/>
      <c r="U79" s="3"/>
    </row>
    <row r="80" spans="1:22" x14ac:dyDescent="0.25">
      <c r="A80" s="7"/>
      <c r="B80" s="47" t="s">
        <v>119</v>
      </c>
      <c r="C80" s="116">
        <v>374.08093789999998</v>
      </c>
      <c r="D80" s="116">
        <v>134.34246780791796</v>
      </c>
      <c r="E80" s="124">
        <f t="shared" si="1"/>
        <v>217.47926213208208</v>
      </c>
      <c r="F80" s="124">
        <v>723.40866784000002</v>
      </c>
      <c r="G80" s="116">
        <v>82.815080260000002</v>
      </c>
      <c r="H80" s="116">
        <v>-2.4940000000000002</v>
      </c>
      <c r="I80" s="125">
        <v>806.223748</v>
      </c>
      <c r="J80" s="336"/>
      <c r="K80" s="27"/>
      <c r="L80" s="334"/>
      <c r="M80" s="335"/>
      <c r="N80" s="337"/>
      <c r="Q80" s="116"/>
      <c r="R80" s="116"/>
      <c r="U80" s="27"/>
      <c r="V80" s="27"/>
    </row>
    <row r="81" spans="1:22" x14ac:dyDescent="0.25">
      <c r="A81" s="7"/>
      <c r="B81" s="47" t="s">
        <v>120</v>
      </c>
      <c r="C81" s="116">
        <v>376.71873139999997</v>
      </c>
      <c r="D81" s="116">
        <v>135.89443566680364</v>
      </c>
      <c r="E81" s="124">
        <f t="shared" si="1"/>
        <v>218.93085308319641</v>
      </c>
      <c r="F81" s="124">
        <v>729.05002015000002</v>
      </c>
      <c r="G81" s="116">
        <v>83.938374750000008</v>
      </c>
      <c r="H81" s="116">
        <v>-2.4940000000000002</v>
      </c>
      <c r="I81" s="125">
        <v>812.98839499999997</v>
      </c>
      <c r="J81" s="336"/>
      <c r="K81" s="27"/>
      <c r="L81" s="334"/>
      <c r="M81" s="335"/>
      <c r="N81" s="337"/>
      <c r="Q81" s="116"/>
      <c r="R81" s="116"/>
      <c r="U81" s="27"/>
      <c r="V81" s="27"/>
    </row>
    <row r="82" spans="1:22" x14ac:dyDescent="0.25">
      <c r="A82" s="7"/>
      <c r="B82" s="47" t="s">
        <v>121</v>
      </c>
      <c r="C82" s="116">
        <v>379.19265009999998</v>
      </c>
      <c r="D82" s="116">
        <v>137.39236050320687</v>
      </c>
      <c r="E82" s="124">
        <f t="shared" si="1"/>
        <v>219.46964372679307</v>
      </c>
      <c r="F82" s="124">
        <v>733.56065432999992</v>
      </c>
      <c r="G82" s="116">
        <v>85.230443469999997</v>
      </c>
      <c r="H82" s="116">
        <v>-2.4940000000000002</v>
      </c>
      <c r="I82" s="125">
        <v>818.79109800000003</v>
      </c>
      <c r="J82" s="336"/>
      <c r="K82" s="27"/>
      <c r="L82" s="334"/>
      <c r="M82" s="335"/>
      <c r="N82" s="337"/>
      <c r="Q82" s="116"/>
      <c r="R82" s="116"/>
      <c r="U82" s="27"/>
      <c r="V82" s="27"/>
    </row>
    <row r="83" spans="1:22" x14ac:dyDescent="0.25">
      <c r="A83" s="7"/>
      <c r="B83" s="47" t="s">
        <v>122</v>
      </c>
      <c r="C83" s="116">
        <v>381.60676460000002</v>
      </c>
      <c r="D83" s="116">
        <v>139.26283660735595</v>
      </c>
      <c r="E83" s="124">
        <f t="shared" si="1"/>
        <v>220.99539237264403</v>
      </c>
      <c r="F83" s="124">
        <v>739.37099358</v>
      </c>
      <c r="G83" s="116">
        <v>86.442518219999997</v>
      </c>
      <c r="H83" s="116">
        <v>-2.4940000000000002</v>
      </c>
      <c r="I83" s="125">
        <v>825.81351199999995</v>
      </c>
      <c r="J83" s="336"/>
      <c r="K83" s="27"/>
      <c r="L83" s="334"/>
      <c r="M83" s="335"/>
      <c r="N83" s="337"/>
      <c r="Q83" s="116"/>
      <c r="R83" s="116"/>
      <c r="U83" s="27"/>
      <c r="V83" s="27"/>
    </row>
    <row r="84" spans="1:22" x14ac:dyDescent="0.25">
      <c r="A84" s="7"/>
      <c r="B84" s="47" t="s">
        <v>123</v>
      </c>
      <c r="C84" s="116">
        <v>384.07697740000003</v>
      </c>
      <c r="D84" s="116">
        <v>141.23745648416374</v>
      </c>
      <c r="E84" s="124">
        <f t="shared" si="1"/>
        <v>223.07236996583629</v>
      </c>
      <c r="F84" s="124">
        <v>745.89280385000006</v>
      </c>
      <c r="G84" s="116">
        <v>87.535778550000003</v>
      </c>
      <c r="H84" s="116">
        <v>-2.4940000000000002</v>
      </c>
      <c r="I84" s="125">
        <v>833.42858200000001</v>
      </c>
      <c r="J84" s="336"/>
      <c r="K84" s="27"/>
      <c r="L84" s="334"/>
      <c r="M84" s="335"/>
      <c r="N84" s="337"/>
      <c r="Q84" s="3"/>
      <c r="R84" s="3"/>
      <c r="S84" s="3"/>
      <c r="T84" s="3"/>
      <c r="U84" s="3"/>
    </row>
    <row r="85" spans="1:22" x14ac:dyDescent="0.25">
      <c r="A85" s="7"/>
      <c r="B85" s="47" t="s">
        <v>124</v>
      </c>
      <c r="C85" s="116">
        <v>386.5953495</v>
      </c>
      <c r="D85" s="116">
        <v>143.11180624818195</v>
      </c>
      <c r="E85" s="124">
        <f t="shared" si="1"/>
        <v>225.55731836181795</v>
      </c>
      <c r="F85" s="124">
        <v>752.7704741099999</v>
      </c>
      <c r="G85" s="116">
        <v>88.54084829</v>
      </c>
      <c r="H85" s="116">
        <v>-2.4940000000000002</v>
      </c>
      <c r="I85" s="125">
        <v>841.31132200000002</v>
      </c>
      <c r="J85" s="336"/>
      <c r="K85" s="27"/>
      <c r="L85" s="334"/>
      <c r="M85" s="335"/>
      <c r="N85" s="337"/>
    </row>
    <row r="86" spans="1:22" x14ac:dyDescent="0.25">
      <c r="A86" s="7"/>
      <c r="B86" s="47" t="s">
        <v>125</v>
      </c>
      <c r="C86" s="116">
        <v>389.35286259999998</v>
      </c>
      <c r="D86" s="116">
        <v>144.81175716862055</v>
      </c>
      <c r="E86" s="124">
        <f t="shared" si="1"/>
        <v>228.27424141137934</v>
      </c>
      <c r="F86" s="124">
        <v>759.94486117999986</v>
      </c>
      <c r="G86" s="116">
        <v>89.526773619999986</v>
      </c>
      <c r="H86" s="116">
        <v>-2.4940000000000002</v>
      </c>
      <c r="I86" s="125">
        <v>849.47163499999999</v>
      </c>
      <c r="J86" s="336"/>
      <c r="K86" s="27"/>
      <c r="L86" s="334"/>
      <c r="M86" s="335"/>
      <c r="N86" s="337"/>
    </row>
    <row r="87" spans="1:22" x14ac:dyDescent="0.25">
      <c r="A87" s="7"/>
      <c r="B87" s="47" t="s">
        <v>126</v>
      </c>
      <c r="C87" s="116">
        <v>392.20959720000002</v>
      </c>
      <c r="D87" s="116">
        <v>146.33617334807454</v>
      </c>
      <c r="E87" s="124">
        <f t="shared" si="1"/>
        <v>230.93609038192545</v>
      </c>
      <c r="F87" s="124">
        <v>766.98786093000001</v>
      </c>
      <c r="G87" s="116">
        <v>90.585350569999989</v>
      </c>
      <c r="H87" s="116">
        <v>-2.4940000000000002</v>
      </c>
      <c r="I87" s="125">
        <v>857.57321200000001</v>
      </c>
      <c r="J87" s="336"/>
      <c r="K87" s="27"/>
      <c r="L87" s="334"/>
      <c r="M87" s="335"/>
      <c r="N87" s="337"/>
    </row>
    <row r="88" spans="1:22" x14ac:dyDescent="0.25">
      <c r="A88" s="7"/>
      <c r="B88" s="47" t="s">
        <v>127</v>
      </c>
      <c r="C88" s="116">
        <v>395.0799116</v>
      </c>
      <c r="D88" s="116">
        <v>147.8739775319016</v>
      </c>
      <c r="E88" s="124">
        <f t="shared" si="1"/>
        <v>233.57226725809846</v>
      </c>
      <c r="F88" s="124">
        <v>774.03215639000007</v>
      </c>
      <c r="G88" s="116">
        <v>91.710396910000014</v>
      </c>
      <c r="H88" s="116">
        <v>-2.4940000000000002</v>
      </c>
      <c r="I88" s="125">
        <v>865.74255299999993</v>
      </c>
      <c r="J88" s="336"/>
      <c r="K88" s="27"/>
      <c r="L88" s="334"/>
      <c r="M88" s="335"/>
      <c r="N88" s="337"/>
    </row>
    <row r="89" spans="1:22" x14ac:dyDescent="0.25">
      <c r="A89" s="7"/>
      <c r="B89" s="47" t="s">
        <v>128</v>
      </c>
      <c r="C89" s="116">
        <v>398.04904440000001</v>
      </c>
      <c r="D89" s="116">
        <v>149.40389531042615</v>
      </c>
      <c r="E89" s="124">
        <f t="shared" si="1"/>
        <v>235.97276761957383</v>
      </c>
      <c r="F89" s="124">
        <v>780.93170732999999</v>
      </c>
      <c r="G89" s="116">
        <v>92.860618370000012</v>
      </c>
      <c r="H89" s="116">
        <v>-2.4940000000000002</v>
      </c>
      <c r="I89" s="125">
        <v>873.792326</v>
      </c>
      <c r="J89" s="336"/>
      <c r="K89" s="27"/>
      <c r="L89" s="334"/>
      <c r="M89" s="335"/>
      <c r="N89" s="337"/>
    </row>
    <row r="90" spans="1:22" x14ac:dyDescent="0.25">
      <c r="A90" s="7"/>
      <c r="B90" s="47" t="s">
        <v>129</v>
      </c>
      <c r="C90" s="116">
        <v>401.16376429999997</v>
      </c>
      <c r="D90" s="116">
        <v>150.91129380808138</v>
      </c>
      <c r="E90" s="124">
        <f t="shared" si="1"/>
        <v>238.20087735191876</v>
      </c>
      <c r="F90" s="124">
        <v>787.78193546000011</v>
      </c>
      <c r="G90" s="116">
        <v>93.926860539999993</v>
      </c>
      <c r="H90" s="116">
        <v>-2.4940000000000002</v>
      </c>
      <c r="I90" s="125">
        <v>881.70879600000001</v>
      </c>
      <c r="J90" s="336"/>
      <c r="K90" s="27"/>
      <c r="L90" s="334"/>
      <c r="M90" s="335"/>
      <c r="N90" s="337"/>
    </row>
    <row r="91" spans="1:22" x14ac:dyDescent="0.25">
      <c r="A91" s="7"/>
      <c r="B91" s="47" t="s">
        <v>130</v>
      </c>
      <c r="C91" s="116">
        <v>404.27921320000002</v>
      </c>
      <c r="D91" s="116">
        <v>152.42063366235288</v>
      </c>
      <c r="E91" s="124">
        <f t="shared" si="1"/>
        <v>240.54658253764708</v>
      </c>
      <c r="F91" s="124">
        <v>794.75242939999998</v>
      </c>
      <c r="G91" s="116">
        <v>94.882365399999998</v>
      </c>
      <c r="H91" s="116">
        <v>-2.4940000000000002</v>
      </c>
      <c r="I91" s="125">
        <v>889.63479500000005</v>
      </c>
      <c r="J91" s="336"/>
      <c r="K91" s="27"/>
      <c r="L91" s="334"/>
      <c r="M91" s="335"/>
      <c r="N91" s="337"/>
    </row>
    <row r="92" spans="1:22" x14ac:dyDescent="0.25">
      <c r="A92" s="7"/>
      <c r="B92" s="47" t="s">
        <v>131</v>
      </c>
      <c r="C92" s="116">
        <v>407.6133992</v>
      </c>
      <c r="D92" s="116">
        <v>153.9736001556619</v>
      </c>
      <c r="E92" s="124">
        <f t="shared" ref="E92:E96" si="2">F92-C92-D92-H92</f>
        <v>242.99831094433813</v>
      </c>
      <c r="F92" s="124">
        <v>802.09131030000003</v>
      </c>
      <c r="G92" s="116">
        <v>95.722320199999999</v>
      </c>
      <c r="H92" s="116">
        <v>-2.4940000000000002</v>
      </c>
      <c r="I92" s="125">
        <v>897.81362999999999</v>
      </c>
      <c r="J92" s="336"/>
      <c r="K92" s="27"/>
      <c r="L92" s="334"/>
      <c r="M92" s="335"/>
      <c r="N92" s="337"/>
    </row>
    <row r="93" spans="1:22" x14ac:dyDescent="0.25">
      <c r="A93" s="7"/>
      <c r="B93" s="47" t="s">
        <v>132</v>
      </c>
      <c r="C93" s="116">
        <v>410.97783019999997</v>
      </c>
      <c r="D93" s="116">
        <v>155.52629418651202</v>
      </c>
      <c r="E93" s="124">
        <f t="shared" si="2"/>
        <v>245.48326221348802</v>
      </c>
      <c r="F93" s="124">
        <v>809.49338660000001</v>
      </c>
      <c r="G93" s="116">
        <v>96.469531799999984</v>
      </c>
      <c r="H93" s="116">
        <v>-2.4940000000000002</v>
      </c>
      <c r="I93" s="125">
        <v>905.96291799999995</v>
      </c>
      <c r="J93" s="336"/>
      <c r="K93" s="27"/>
      <c r="L93" s="334"/>
      <c r="M93" s="335"/>
      <c r="N93" s="337"/>
    </row>
    <row r="94" spans="1:22" x14ac:dyDescent="0.25">
      <c r="A94" s="7"/>
      <c r="B94" s="47" t="s">
        <v>133</v>
      </c>
      <c r="C94" s="116">
        <v>414.43514099999999</v>
      </c>
      <c r="D94" s="116">
        <v>157.09255301003475</v>
      </c>
      <c r="E94" s="124">
        <f t="shared" si="2"/>
        <v>247.95205518996536</v>
      </c>
      <c r="F94" s="124">
        <v>816.9857492000001</v>
      </c>
      <c r="G94" s="116">
        <v>97.182363800000005</v>
      </c>
      <c r="H94" s="116">
        <v>-2.4940000000000002</v>
      </c>
      <c r="I94" s="125">
        <v>914.16811399999995</v>
      </c>
      <c r="J94" s="336"/>
      <c r="K94" s="27"/>
      <c r="L94" s="334"/>
      <c r="M94" s="335"/>
      <c r="N94" s="337"/>
    </row>
    <row r="95" spans="1:22" x14ac:dyDescent="0.25">
      <c r="A95" s="7"/>
      <c r="B95" s="47" t="s">
        <v>134</v>
      </c>
      <c r="C95" s="116">
        <v>417.84867949999995</v>
      </c>
      <c r="D95" s="116">
        <v>158.65452398642518</v>
      </c>
      <c r="E95" s="124">
        <f t="shared" si="2"/>
        <v>250.43706071357485</v>
      </c>
      <c r="F95" s="124">
        <v>824.44626419999997</v>
      </c>
      <c r="G95" s="116">
        <v>97.89320579999999</v>
      </c>
      <c r="H95" s="116">
        <v>-2.4940000000000002</v>
      </c>
      <c r="I95" s="125">
        <v>922.33947000000001</v>
      </c>
      <c r="J95" s="336"/>
      <c r="K95" s="27"/>
      <c r="L95" s="334"/>
      <c r="M95" s="335"/>
      <c r="N95" s="337"/>
    </row>
    <row r="96" spans="1:22" x14ac:dyDescent="0.25">
      <c r="A96" s="7"/>
      <c r="B96" s="47" t="s">
        <v>135</v>
      </c>
      <c r="C96" s="116">
        <v>421.15476940000002</v>
      </c>
      <c r="D96" s="116">
        <v>160.21718862673018</v>
      </c>
      <c r="E96" s="124">
        <f t="shared" si="2"/>
        <v>253.01373847326988</v>
      </c>
      <c r="F96" s="124">
        <v>831.89169650000008</v>
      </c>
      <c r="G96" s="116">
        <v>98.615595999999996</v>
      </c>
      <c r="H96" s="116">
        <v>-2.4940000000000002</v>
      </c>
      <c r="I96" s="125">
        <v>930.50729299999989</v>
      </c>
      <c r="J96" s="336"/>
      <c r="K96" s="27"/>
      <c r="L96" s="334"/>
      <c r="M96" s="335"/>
      <c r="N96" s="337"/>
    </row>
    <row r="97" spans="1:14" x14ac:dyDescent="0.25">
      <c r="A97" s="7"/>
      <c r="B97" s="47" t="s">
        <v>645</v>
      </c>
      <c r="C97" s="116">
        <v>424.44407890000002</v>
      </c>
      <c r="D97" s="116">
        <v>161.79436618991951</v>
      </c>
      <c r="E97" s="124">
        <f t="shared" ref="E97:E100" si="3">F97-C97-D97-H97</f>
        <v>255.6278491100804</v>
      </c>
      <c r="F97" s="124">
        <v>839.37229419999994</v>
      </c>
      <c r="G97" s="116">
        <v>99.351788299999996</v>
      </c>
      <c r="H97" s="116">
        <v>-2.4940000000000002</v>
      </c>
      <c r="I97" s="125">
        <v>938.72408299999995</v>
      </c>
      <c r="J97" s="336"/>
      <c r="K97" s="27"/>
      <c r="L97" s="334"/>
      <c r="M97" s="335"/>
      <c r="N97" s="337"/>
    </row>
    <row r="98" spans="1:14" x14ac:dyDescent="0.25">
      <c r="A98" s="7"/>
      <c r="B98" s="47" t="s">
        <v>646</v>
      </c>
      <c r="C98" s="116">
        <v>427.65476330000001</v>
      </c>
      <c r="D98" s="116">
        <v>163.30377062737736</v>
      </c>
      <c r="E98" s="124">
        <f t="shared" si="3"/>
        <v>257.96026457262269</v>
      </c>
      <c r="F98" s="124">
        <v>846.42479850000007</v>
      </c>
      <c r="G98" s="116">
        <v>100.09627330000001</v>
      </c>
      <c r="H98" s="116">
        <v>-2.4940000000000002</v>
      </c>
      <c r="I98" s="125">
        <v>946.521072</v>
      </c>
      <c r="J98" s="336"/>
      <c r="K98" s="27"/>
      <c r="L98" s="334"/>
      <c r="M98" s="335"/>
      <c r="N98" s="337"/>
    </row>
    <row r="99" spans="1:14" x14ac:dyDescent="0.25">
      <c r="A99" s="7"/>
      <c r="B99" s="47" t="s">
        <v>647</v>
      </c>
      <c r="C99" s="116">
        <v>430.91459620000001</v>
      </c>
      <c r="D99" s="116">
        <v>164.82098640824239</v>
      </c>
      <c r="E99" s="124">
        <f t="shared" si="3"/>
        <v>260.26699009175769</v>
      </c>
      <c r="F99" s="124">
        <v>853.50857270000006</v>
      </c>
      <c r="G99" s="116">
        <v>100.84406130000001</v>
      </c>
      <c r="H99" s="116">
        <v>-2.4940000000000002</v>
      </c>
      <c r="I99" s="125">
        <v>954.35263399999997</v>
      </c>
      <c r="J99" s="336"/>
      <c r="K99" s="27"/>
      <c r="L99" s="334"/>
      <c r="M99" s="335"/>
      <c r="N99" s="337"/>
    </row>
    <row r="100" spans="1:14" x14ac:dyDescent="0.25">
      <c r="A100" s="7"/>
      <c r="B100" s="300" t="s">
        <v>648</v>
      </c>
      <c r="C100" s="366">
        <v>434.11094209999999</v>
      </c>
      <c r="D100" s="366">
        <v>166.34065695988312</v>
      </c>
      <c r="E100" s="369">
        <f t="shared" si="3"/>
        <v>262.65024594011692</v>
      </c>
      <c r="F100" s="369">
        <v>860.607845</v>
      </c>
      <c r="G100" s="366">
        <v>101.5917025</v>
      </c>
      <c r="H100" s="366">
        <v>-2.4940000000000002</v>
      </c>
      <c r="I100" s="368">
        <v>962.19954799999994</v>
      </c>
      <c r="J100" s="336"/>
      <c r="K100" s="27"/>
      <c r="L100" s="334"/>
      <c r="M100" s="335"/>
      <c r="N100" s="337"/>
    </row>
    <row r="101" spans="1:14" x14ac:dyDescent="0.25">
      <c r="A101" s="7"/>
      <c r="B101" s="47">
        <v>2008</v>
      </c>
      <c r="C101" s="116">
        <v>760.93499999999995</v>
      </c>
      <c r="D101" s="116">
        <v>260.09500000000003</v>
      </c>
      <c r="E101" s="127">
        <f>F101-C101-D101-H101</f>
        <v>411.76700000000005</v>
      </c>
      <c r="F101" s="116">
        <v>1432.797</v>
      </c>
      <c r="G101" s="116">
        <v>169.42</v>
      </c>
      <c r="H101" s="116">
        <v>0</v>
      </c>
      <c r="I101" s="125">
        <v>1602.2170000000001</v>
      </c>
      <c r="J101" s="336"/>
      <c r="K101" s="27"/>
      <c r="L101" s="338"/>
      <c r="M101" s="339"/>
      <c r="N101" s="337"/>
    </row>
    <row r="102" spans="1:14" x14ac:dyDescent="0.25">
      <c r="A102" s="7"/>
      <c r="B102" s="47">
        <v>2009</v>
      </c>
      <c r="C102" s="116">
        <v>751.53</v>
      </c>
      <c r="D102" s="116">
        <v>232.71199999999999</v>
      </c>
      <c r="E102" s="127">
        <f t="shared" ref="E102:E125" si="4">F102-C102-D102-H102</f>
        <v>417.48700000000008</v>
      </c>
      <c r="F102" s="116">
        <v>1401.729</v>
      </c>
      <c r="G102" s="116">
        <v>157.67599999999999</v>
      </c>
      <c r="H102" s="116">
        <v>0</v>
      </c>
      <c r="I102" s="125">
        <v>1559.405</v>
      </c>
      <c r="J102" s="336"/>
      <c r="K102" s="27"/>
      <c r="L102" s="334"/>
      <c r="M102" s="335"/>
      <c r="N102" s="337"/>
    </row>
    <row r="103" spans="1:14" x14ac:dyDescent="0.25">
      <c r="A103" s="7"/>
      <c r="B103" s="47">
        <v>2010</v>
      </c>
      <c r="C103" s="116">
        <v>761.71500000000003</v>
      </c>
      <c r="D103" s="116">
        <v>244.98500000000001</v>
      </c>
      <c r="E103" s="127">
        <f t="shared" si="4"/>
        <v>425.42899999999986</v>
      </c>
      <c r="F103" s="116">
        <v>1432.1289999999999</v>
      </c>
      <c r="G103" s="116">
        <v>183.71</v>
      </c>
      <c r="H103" s="116">
        <v>0</v>
      </c>
      <c r="I103" s="125">
        <v>1615.8389999999999</v>
      </c>
      <c r="J103" s="336"/>
      <c r="K103" s="27"/>
      <c r="L103" s="334"/>
      <c r="M103" s="335"/>
      <c r="N103" s="337"/>
    </row>
    <row r="104" spans="1:14" x14ac:dyDescent="0.25">
      <c r="A104" s="7"/>
      <c r="B104" s="47">
        <v>2011</v>
      </c>
      <c r="C104" s="116">
        <v>777.88199999999995</v>
      </c>
      <c r="D104" s="116">
        <v>254.29499999999999</v>
      </c>
      <c r="E104" s="127">
        <f t="shared" si="4"/>
        <v>437.16100000000006</v>
      </c>
      <c r="F104" s="116">
        <v>1469.338</v>
      </c>
      <c r="G104" s="116">
        <v>200.607</v>
      </c>
      <c r="H104" s="116">
        <v>0</v>
      </c>
      <c r="I104" s="125">
        <v>1669.9449999999999</v>
      </c>
      <c r="J104" s="336"/>
      <c r="K104" s="27"/>
      <c r="L104" s="334"/>
      <c r="M104" s="335"/>
      <c r="N104" s="337"/>
    </row>
    <row r="105" spans="1:14" x14ac:dyDescent="0.25">
      <c r="B105" s="47">
        <v>2012</v>
      </c>
      <c r="C105" s="116">
        <v>789.83299999999997</v>
      </c>
      <c r="D105" s="116">
        <v>268.51799999999997</v>
      </c>
      <c r="E105" s="127">
        <f t="shared" si="4"/>
        <v>456.75400000000008</v>
      </c>
      <c r="F105" s="116">
        <v>1515.105</v>
      </c>
      <c r="G105" s="116">
        <v>206.60300000000001</v>
      </c>
      <c r="H105" s="116">
        <v>0</v>
      </c>
      <c r="I105" s="125">
        <v>1721.7080000000001</v>
      </c>
      <c r="J105" s="336"/>
      <c r="K105" s="27"/>
      <c r="L105" s="334"/>
      <c r="M105" s="335"/>
      <c r="N105" s="337"/>
    </row>
    <row r="106" spans="1:14" x14ac:dyDescent="0.25">
      <c r="B106" s="47">
        <v>2013</v>
      </c>
      <c r="C106" s="116">
        <v>826.70600000000002</v>
      </c>
      <c r="D106" s="116">
        <v>281.55599999999998</v>
      </c>
      <c r="E106" s="127">
        <f t="shared" si="4"/>
        <v>463.18600000000009</v>
      </c>
      <c r="F106" s="116">
        <v>1571.4480000000001</v>
      </c>
      <c r="G106" s="116">
        <v>217.624</v>
      </c>
      <c r="H106" s="116">
        <v>0</v>
      </c>
      <c r="I106" s="125">
        <v>1789.0719999999999</v>
      </c>
      <c r="J106" s="336"/>
      <c r="K106" s="27"/>
      <c r="L106" s="334"/>
      <c r="M106" s="335"/>
      <c r="N106" s="337"/>
    </row>
    <row r="107" spans="1:14" x14ac:dyDescent="0.25">
      <c r="B107" s="47">
        <v>2014</v>
      </c>
      <c r="C107" s="116">
        <v>861.13</v>
      </c>
      <c r="D107" s="116">
        <v>315.10000000000002</v>
      </c>
      <c r="E107" s="127">
        <f t="shared" si="4"/>
        <v>470.64599999999996</v>
      </c>
      <c r="F107" s="116">
        <v>1646.876</v>
      </c>
      <c r="G107" s="116">
        <v>228.19</v>
      </c>
      <c r="H107" s="116">
        <v>0</v>
      </c>
      <c r="I107" s="125">
        <v>1875.066</v>
      </c>
      <c r="J107" s="336"/>
      <c r="K107" s="27"/>
      <c r="L107" s="334"/>
      <c r="M107" s="335"/>
      <c r="N107" s="337"/>
    </row>
    <row r="108" spans="1:14" x14ac:dyDescent="0.25">
      <c r="B108" s="47">
        <v>2015</v>
      </c>
      <c r="C108" s="116">
        <v>892.48900000000003</v>
      </c>
      <c r="D108" s="116">
        <v>325.7</v>
      </c>
      <c r="E108" s="127">
        <f t="shared" si="4"/>
        <v>476.15699999999998</v>
      </c>
      <c r="F108" s="116">
        <v>1694.346</v>
      </c>
      <c r="G108" s="116">
        <v>233.67</v>
      </c>
      <c r="H108" s="116">
        <v>0</v>
      </c>
      <c r="I108" s="125">
        <v>1928.0160000000001</v>
      </c>
      <c r="J108" s="336"/>
      <c r="K108" s="27"/>
      <c r="L108" s="334"/>
      <c r="M108" s="335"/>
      <c r="N108" s="337"/>
    </row>
    <row r="109" spans="1:14" x14ac:dyDescent="0.25">
      <c r="B109" s="47">
        <v>2016</v>
      </c>
      <c r="C109" s="116">
        <v>923.66300000000001</v>
      </c>
      <c r="D109" s="116">
        <v>337.32299999999998</v>
      </c>
      <c r="E109" s="127">
        <f t="shared" si="4"/>
        <v>501.76300000000003</v>
      </c>
      <c r="F109" s="116">
        <v>1762.749</v>
      </c>
      <c r="G109" s="116">
        <v>242.006</v>
      </c>
      <c r="H109" s="116">
        <v>0</v>
      </c>
      <c r="I109" s="125">
        <v>2004.7550000000001</v>
      </c>
      <c r="J109" s="336"/>
      <c r="K109" s="27"/>
      <c r="L109" s="334"/>
      <c r="M109" s="335"/>
      <c r="N109" s="337"/>
    </row>
    <row r="110" spans="1:14" x14ac:dyDescent="0.25">
      <c r="B110" s="47">
        <v>2017</v>
      </c>
      <c r="C110" s="116">
        <v>967.03</v>
      </c>
      <c r="D110" s="116">
        <v>354.31900000000002</v>
      </c>
      <c r="E110" s="127">
        <f t="shared" si="4"/>
        <v>523.40000000000009</v>
      </c>
      <c r="F110" s="116">
        <v>1844.749</v>
      </c>
      <c r="G110" s="116">
        <v>252.47300000000001</v>
      </c>
      <c r="H110" s="116">
        <v>0</v>
      </c>
      <c r="I110" s="125">
        <v>2097.2220000000002</v>
      </c>
      <c r="J110" s="336"/>
      <c r="K110" s="27"/>
      <c r="L110" s="334"/>
      <c r="M110" s="335"/>
      <c r="N110" s="337"/>
    </row>
    <row r="111" spans="1:14" x14ac:dyDescent="0.25">
      <c r="B111" s="47">
        <v>2018</v>
      </c>
      <c r="C111" s="116">
        <v>1005.821</v>
      </c>
      <c r="D111" s="116">
        <v>367.03100000000001</v>
      </c>
      <c r="E111" s="127">
        <f t="shared" si="4"/>
        <v>539.52699999999982</v>
      </c>
      <c r="F111" s="116">
        <v>1912.3789999999999</v>
      </c>
      <c r="G111" s="116">
        <v>259.18</v>
      </c>
      <c r="H111" s="116">
        <v>0</v>
      </c>
      <c r="I111" s="125">
        <v>2171.5590000000002</v>
      </c>
      <c r="J111" s="336"/>
      <c r="K111" s="27"/>
      <c r="L111" s="334"/>
      <c r="M111" s="335"/>
      <c r="N111" s="337"/>
    </row>
    <row r="112" spans="1:14" x14ac:dyDescent="0.25">
      <c r="B112" s="47">
        <v>2019</v>
      </c>
      <c r="C112" s="116">
        <v>1046.6110000000001</v>
      </c>
      <c r="D112" s="116">
        <v>377.65699999999998</v>
      </c>
      <c r="E112" s="127">
        <f t="shared" si="4"/>
        <v>563.19499999999994</v>
      </c>
      <c r="F112" s="116">
        <v>1987.463</v>
      </c>
      <c r="G112" s="116">
        <v>265.49799999999999</v>
      </c>
      <c r="H112" s="116">
        <v>0</v>
      </c>
      <c r="I112" s="125">
        <v>2252.9609999999998</v>
      </c>
      <c r="J112" s="336"/>
      <c r="K112" s="27"/>
      <c r="L112" s="334"/>
      <c r="M112" s="335"/>
      <c r="N112" s="337"/>
    </row>
    <row r="113" spans="2:14" x14ac:dyDescent="0.25">
      <c r="B113" s="47">
        <v>2020</v>
      </c>
      <c r="C113" s="116">
        <v>1045.5550000000001</v>
      </c>
      <c r="D113" s="116">
        <v>381.54500000000002</v>
      </c>
      <c r="E113" s="127">
        <f t="shared" si="4"/>
        <v>564.39399999999978</v>
      </c>
      <c r="F113" s="116">
        <v>1991.4939999999999</v>
      </c>
      <c r="G113" s="116">
        <v>133.226</v>
      </c>
      <c r="H113" s="116">
        <v>0</v>
      </c>
      <c r="I113" s="125">
        <v>2124.7199999999998</v>
      </c>
      <c r="J113" s="336"/>
      <c r="K113" s="27"/>
      <c r="L113" s="334"/>
      <c r="M113" s="335"/>
      <c r="N113" s="337"/>
    </row>
    <row r="114" spans="2:14" x14ac:dyDescent="0.25">
      <c r="B114" s="47">
        <v>2021</v>
      </c>
      <c r="C114" s="116">
        <v>1112.1079999999999</v>
      </c>
      <c r="D114" s="116">
        <v>409.678</v>
      </c>
      <c r="E114" s="127">
        <f t="shared" si="4"/>
        <v>590.6819999999999</v>
      </c>
      <c r="F114" s="116">
        <v>2112.4679999999998</v>
      </c>
      <c r="G114" s="116">
        <v>210.184</v>
      </c>
      <c r="H114" s="116">
        <v>0</v>
      </c>
      <c r="I114" s="125">
        <v>2322.652</v>
      </c>
      <c r="J114" s="336"/>
      <c r="K114" s="27"/>
      <c r="L114" s="334"/>
      <c r="M114" s="335"/>
      <c r="N114" s="337"/>
    </row>
    <row r="115" spans="2:14" x14ac:dyDescent="0.25">
      <c r="B115" s="47">
        <v>2022</v>
      </c>
      <c r="C115" s="116">
        <v>1190.615</v>
      </c>
      <c r="D115" s="116">
        <v>441.762</v>
      </c>
      <c r="E115" s="127">
        <f t="shared" si="4"/>
        <v>667.33399999999983</v>
      </c>
      <c r="F115" s="116">
        <v>2299.7109999999998</v>
      </c>
      <c r="G115" s="116">
        <v>281.238</v>
      </c>
      <c r="H115" s="116">
        <v>0</v>
      </c>
      <c r="I115" s="14">
        <v>2580.9490000000001</v>
      </c>
      <c r="J115" s="336"/>
      <c r="K115" s="27"/>
      <c r="L115" s="334"/>
      <c r="M115" s="335"/>
      <c r="N115" s="337"/>
    </row>
    <row r="116" spans="2:14" x14ac:dyDescent="0.25">
      <c r="B116" s="47">
        <v>2023</v>
      </c>
      <c r="C116" s="116">
        <v>1265.0920000000001</v>
      </c>
      <c r="D116" s="116">
        <v>483.21</v>
      </c>
      <c r="E116" s="127">
        <f t="shared" si="4"/>
        <v>722.85999999999967</v>
      </c>
      <c r="F116" s="116">
        <v>2471.1619999999998</v>
      </c>
      <c r="G116" s="116">
        <v>281.00200000000001</v>
      </c>
      <c r="H116" s="116">
        <v>0</v>
      </c>
      <c r="I116" s="14">
        <v>2752.1640000000002</v>
      </c>
      <c r="J116" s="336"/>
      <c r="K116" s="27"/>
      <c r="L116" s="334"/>
      <c r="M116" s="335"/>
      <c r="N116" s="337"/>
    </row>
    <row r="117" spans="2:14" x14ac:dyDescent="0.25">
      <c r="B117" s="47">
        <v>2024</v>
      </c>
      <c r="C117" s="116">
        <v>1338.521</v>
      </c>
      <c r="D117" s="116">
        <v>481.55200000000002</v>
      </c>
      <c r="E117" s="127">
        <f t="shared" si="4"/>
        <v>762.56500000000017</v>
      </c>
      <c r="F117" s="116">
        <v>2581.0520000000001</v>
      </c>
      <c r="G117" s="116">
        <v>309.202</v>
      </c>
      <c r="H117" s="116">
        <v>-1.5860000000000001</v>
      </c>
      <c r="I117" s="14">
        <v>2890.2539999999999</v>
      </c>
      <c r="J117" s="336"/>
      <c r="K117" s="27"/>
      <c r="L117" s="334"/>
      <c r="M117" s="335"/>
      <c r="N117" s="337"/>
    </row>
    <row r="118" spans="2:14" x14ac:dyDescent="0.25">
      <c r="B118" s="47">
        <v>2025</v>
      </c>
      <c r="C118" s="116">
        <v>1408.204</v>
      </c>
      <c r="D118" s="116">
        <v>498.017</v>
      </c>
      <c r="E118" s="127">
        <f t="shared" si="4"/>
        <v>812.50299999999982</v>
      </c>
      <c r="F118" s="116">
        <v>2710.4879999999998</v>
      </c>
      <c r="G118" s="116">
        <v>323.37799999999999</v>
      </c>
      <c r="H118" s="116">
        <v>-8.2360000000000007</v>
      </c>
      <c r="I118" s="14">
        <v>3033.866</v>
      </c>
      <c r="J118" s="336"/>
      <c r="K118" s="27"/>
      <c r="L118" s="334"/>
      <c r="M118" s="335"/>
      <c r="N118" s="337"/>
    </row>
    <row r="119" spans="2:14" x14ac:dyDescent="0.25">
      <c r="B119" s="47">
        <v>2026</v>
      </c>
      <c r="C119" s="116">
        <v>1465.994506</v>
      </c>
      <c r="D119" s="116">
        <v>524.34269545363554</v>
      </c>
      <c r="E119" s="127">
        <f t="shared" si="4"/>
        <v>854.51824197636427</v>
      </c>
      <c r="F119" s="116">
        <v>2834.8994434299998</v>
      </c>
      <c r="G119" s="116">
        <v>326.55951867000005</v>
      </c>
      <c r="H119" s="116">
        <v>-9.9559999999999995</v>
      </c>
      <c r="I119" s="14">
        <v>3161.4589610000003</v>
      </c>
      <c r="J119" s="336"/>
      <c r="K119" s="27"/>
      <c r="L119" s="334"/>
      <c r="M119" s="335"/>
      <c r="N119" s="337"/>
    </row>
    <row r="120" spans="2:14" x14ac:dyDescent="0.25">
      <c r="B120" s="47">
        <v>2027</v>
      </c>
      <c r="C120" s="116">
        <v>1511.5990839999997</v>
      </c>
      <c r="D120" s="116">
        <v>546.89210058528442</v>
      </c>
      <c r="E120" s="127">
        <f t="shared" si="4"/>
        <v>876.87515131471548</v>
      </c>
      <c r="F120" s="116">
        <v>2925.3903358999996</v>
      </c>
      <c r="G120" s="116">
        <v>338.4264167</v>
      </c>
      <c r="H120" s="116">
        <v>-9.9760000000000009</v>
      </c>
      <c r="I120" s="14">
        <v>3263.8167530000005</v>
      </c>
      <c r="J120" s="336"/>
      <c r="K120" s="27"/>
      <c r="L120" s="334"/>
      <c r="M120" s="335"/>
      <c r="N120" s="337"/>
    </row>
    <row r="121" spans="2:14" x14ac:dyDescent="0.25">
      <c r="B121" s="47">
        <v>2028</v>
      </c>
      <c r="C121" s="116">
        <v>1552.2347867000001</v>
      </c>
      <c r="D121" s="116">
        <v>575.49719324904072</v>
      </c>
      <c r="E121" s="127">
        <f t="shared" si="4"/>
        <v>907.84002012095937</v>
      </c>
      <c r="F121" s="116">
        <v>3025.5960000700002</v>
      </c>
      <c r="G121" s="116">
        <v>356.18875102999999</v>
      </c>
      <c r="H121" s="116">
        <v>-9.9760000000000009</v>
      </c>
      <c r="I121" s="14">
        <v>3381.7847510000001</v>
      </c>
      <c r="J121" s="336"/>
      <c r="K121" s="27"/>
      <c r="L121" s="334"/>
      <c r="M121" s="335"/>
      <c r="N121" s="337"/>
    </row>
    <row r="122" spans="2:14" x14ac:dyDescent="0.25">
      <c r="B122" s="47">
        <v>2029</v>
      </c>
      <c r="C122" s="116">
        <v>1598.5719335000001</v>
      </c>
      <c r="D122" s="116">
        <v>600.60980031276199</v>
      </c>
      <c r="E122" s="127">
        <f t="shared" ref="E122:E123" si="5">F122-C122-D122-H122</f>
        <v>948.29249476723805</v>
      </c>
      <c r="F122" s="116">
        <v>3137.4982285800002</v>
      </c>
      <c r="G122" s="116">
        <v>373.38024121999996</v>
      </c>
      <c r="H122" s="116">
        <v>-9.9760000000000009</v>
      </c>
      <c r="I122" s="14">
        <v>3510.8784699999997</v>
      </c>
      <c r="J122" s="336"/>
      <c r="K122" s="27"/>
      <c r="L122" s="334"/>
      <c r="M122" s="335"/>
      <c r="N122" s="337"/>
    </row>
    <row r="123" spans="2:14" x14ac:dyDescent="0.25">
      <c r="B123" s="47">
        <v>2030</v>
      </c>
      <c r="C123" s="116">
        <v>1650.8750498999998</v>
      </c>
      <c r="D123" s="116">
        <v>625.24697133863378</v>
      </c>
      <c r="E123" s="127">
        <f t="shared" si="5"/>
        <v>986.87068906136585</v>
      </c>
      <c r="F123" s="116">
        <v>3253.0167102999994</v>
      </c>
      <c r="G123" s="116">
        <v>387.26742159999992</v>
      </c>
      <c r="H123" s="116">
        <v>-9.9760000000000009</v>
      </c>
      <c r="I123" s="14">
        <v>3640.2841320000002</v>
      </c>
      <c r="J123" s="336"/>
      <c r="K123" s="27"/>
      <c r="L123" s="334"/>
      <c r="M123" s="335"/>
      <c r="N123" s="337"/>
    </row>
    <row r="124" spans="2:14" x14ac:dyDescent="0.25">
      <c r="B124" s="300">
        <v>2031</v>
      </c>
      <c r="C124" s="366">
        <v>1704.1682077999999</v>
      </c>
      <c r="D124" s="366">
        <v>650.1363118522695</v>
      </c>
      <c r="E124" s="370">
        <f t="shared" ref="E124" si="6">F124-C124-D124-H124</f>
        <v>1026.8688422477308</v>
      </c>
      <c r="F124" s="366">
        <v>3371.1973619</v>
      </c>
      <c r="G124" s="366">
        <v>398.90771889999996</v>
      </c>
      <c r="H124" s="366">
        <v>-9.9760000000000009</v>
      </c>
      <c r="I124" s="367">
        <v>3770.105082</v>
      </c>
      <c r="J124" s="336"/>
      <c r="K124" s="27"/>
      <c r="L124" s="334"/>
      <c r="M124" s="335"/>
      <c r="N124" s="337"/>
    </row>
    <row r="125" spans="2:14" x14ac:dyDescent="0.25">
      <c r="B125" s="47" t="s">
        <v>136</v>
      </c>
      <c r="C125" s="116">
        <v>755.19500000000005</v>
      </c>
      <c r="D125" s="116">
        <v>258.16800000000001</v>
      </c>
      <c r="E125" s="127">
        <f t="shared" si="4"/>
        <v>415.23</v>
      </c>
      <c r="F125" s="116">
        <v>1428.5930000000001</v>
      </c>
      <c r="G125" s="116">
        <v>163.68299999999999</v>
      </c>
      <c r="H125" s="116">
        <v>0</v>
      </c>
      <c r="I125" s="125">
        <v>1592.2760000000001</v>
      </c>
      <c r="J125" s="336"/>
      <c r="K125" s="27"/>
      <c r="L125" s="334"/>
      <c r="M125" s="335"/>
      <c r="N125" s="337"/>
    </row>
    <row r="126" spans="2:14" x14ac:dyDescent="0.25">
      <c r="B126" s="47" t="s">
        <v>137</v>
      </c>
      <c r="C126" s="116">
        <v>754.25199999999995</v>
      </c>
      <c r="D126" s="116">
        <v>231.30699999999999</v>
      </c>
      <c r="E126" s="127">
        <f t="shared" ref="E126" si="7">F126-C126-D126-H126</f>
        <v>417.74600000000009</v>
      </c>
      <c r="F126" s="116">
        <v>1403.3050000000001</v>
      </c>
      <c r="G126" s="116">
        <v>164.45099999999999</v>
      </c>
      <c r="H126" s="116">
        <v>0</v>
      </c>
      <c r="I126" s="125">
        <v>1567.7560000000001</v>
      </c>
      <c r="J126" s="336"/>
      <c r="K126" s="27"/>
      <c r="L126" s="338"/>
      <c r="M126" s="339"/>
      <c r="N126" s="337"/>
    </row>
    <row r="127" spans="2:14" x14ac:dyDescent="0.25">
      <c r="B127" s="47" t="s">
        <v>138</v>
      </c>
      <c r="C127" s="116">
        <v>769.11900000000003</v>
      </c>
      <c r="D127" s="116">
        <v>251.33099999999999</v>
      </c>
      <c r="E127" s="116">
        <f t="shared" ref="E127:E145" si="8">F127-C127-D127-H127</f>
        <v>424.60799999999995</v>
      </c>
      <c r="F127" s="116">
        <v>1445.058</v>
      </c>
      <c r="G127" s="116">
        <v>189.17599999999999</v>
      </c>
      <c r="H127" s="116">
        <v>0</v>
      </c>
      <c r="I127" s="125">
        <v>1634.2339999999999</v>
      </c>
      <c r="J127" s="336"/>
      <c r="K127" s="27"/>
      <c r="L127" s="334"/>
      <c r="M127" s="335"/>
      <c r="N127" s="337"/>
    </row>
    <row r="128" spans="2:14" x14ac:dyDescent="0.25">
      <c r="B128" s="47" t="s">
        <v>139</v>
      </c>
      <c r="C128" s="116">
        <v>777.86199999999997</v>
      </c>
      <c r="D128" s="116">
        <v>255.26400000000001</v>
      </c>
      <c r="E128" s="116">
        <f t="shared" si="8"/>
        <v>444.423</v>
      </c>
      <c r="F128" s="116">
        <v>1477.549</v>
      </c>
      <c r="G128" s="116">
        <v>202.52799999999999</v>
      </c>
      <c r="H128" s="116">
        <v>0</v>
      </c>
      <c r="I128" s="125">
        <v>1680.077</v>
      </c>
      <c r="J128" s="336"/>
      <c r="K128" s="27"/>
      <c r="L128" s="334"/>
      <c r="M128" s="335"/>
      <c r="N128" s="337"/>
    </row>
    <row r="129" spans="2:14" x14ac:dyDescent="0.25">
      <c r="B129" s="152" t="s">
        <v>140</v>
      </c>
      <c r="C129" s="116">
        <v>793.35799999999995</v>
      </c>
      <c r="D129" s="116">
        <v>276.714</v>
      </c>
      <c r="E129" s="116">
        <f t="shared" si="8"/>
        <v>456.8780000000001</v>
      </c>
      <c r="F129" s="116">
        <v>1526.95</v>
      </c>
      <c r="G129" s="116">
        <v>208.143</v>
      </c>
      <c r="H129" s="116">
        <v>0</v>
      </c>
      <c r="I129" s="125">
        <v>1735.0930000000001</v>
      </c>
      <c r="J129" s="336"/>
      <c r="K129" s="27"/>
      <c r="L129" s="334"/>
      <c r="M129" s="335"/>
      <c r="N129" s="337"/>
    </row>
    <row r="130" spans="2:14" x14ac:dyDescent="0.25">
      <c r="B130" s="152" t="s">
        <v>141</v>
      </c>
      <c r="C130" s="116">
        <v>842.42499999999995</v>
      </c>
      <c r="D130" s="116">
        <v>281.33800000000002</v>
      </c>
      <c r="E130" s="127">
        <f t="shared" si="8"/>
        <v>464.48700000000002</v>
      </c>
      <c r="F130" s="116">
        <v>1588.25</v>
      </c>
      <c r="G130" s="116">
        <v>221.46600000000001</v>
      </c>
      <c r="H130" s="116">
        <v>0</v>
      </c>
      <c r="I130" s="125">
        <v>1809.7159999999999</v>
      </c>
      <c r="J130" s="336"/>
      <c r="K130" s="27"/>
      <c r="L130" s="334"/>
      <c r="M130" s="335"/>
      <c r="N130" s="337"/>
    </row>
    <row r="131" spans="2:14" x14ac:dyDescent="0.25">
      <c r="B131" s="152" t="s">
        <v>142</v>
      </c>
      <c r="C131" s="116">
        <v>865.08100000000002</v>
      </c>
      <c r="D131" s="116">
        <v>324.66500000000002</v>
      </c>
      <c r="E131" s="127">
        <f t="shared" si="8"/>
        <v>473.75499999999994</v>
      </c>
      <c r="F131" s="116">
        <v>1663.501</v>
      </c>
      <c r="G131" s="116">
        <v>228.899</v>
      </c>
      <c r="H131" s="116">
        <v>0</v>
      </c>
      <c r="I131" s="125">
        <v>1892.4</v>
      </c>
      <c r="J131" s="336"/>
      <c r="K131" s="27"/>
      <c r="L131" s="334"/>
      <c r="M131" s="335"/>
      <c r="N131" s="337"/>
    </row>
    <row r="132" spans="2:14" ht="17.25" customHeight="1" x14ac:dyDescent="0.25">
      <c r="B132" s="152" t="s">
        <v>143</v>
      </c>
      <c r="C132" s="116">
        <v>901.42499999999995</v>
      </c>
      <c r="D132" s="116">
        <v>325.93099999999998</v>
      </c>
      <c r="E132" s="127">
        <f t="shared" si="8"/>
        <v>479.14799999999997</v>
      </c>
      <c r="F132" s="116">
        <v>1706.5039999999999</v>
      </c>
      <c r="G132" s="116">
        <v>236.14</v>
      </c>
      <c r="H132" s="116">
        <v>0</v>
      </c>
      <c r="I132" s="125">
        <v>1942.644</v>
      </c>
      <c r="J132" s="336"/>
      <c r="K132" s="27"/>
      <c r="L132" s="334"/>
      <c r="M132" s="335"/>
      <c r="N132" s="337"/>
    </row>
    <row r="133" spans="2:14" x14ac:dyDescent="0.25">
      <c r="B133" s="152" t="s">
        <v>144</v>
      </c>
      <c r="C133" s="116">
        <v>931.84900000000005</v>
      </c>
      <c r="D133" s="116">
        <v>341.80599999999998</v>
      </c>
      <c r="E133" s="127">
        <f t="shared" si="8"/>
        <v>511.80500000000001</v>
      </c>
      <c r="F133" s="116">
        <v>1785.46</v>
      </c>
      <c r="G133" s="116">
        <v>243.95699999999999</v>
      </c>
      <c r="H133" s="116">
        <v>0</v>
      </c>
      <c r="I133" s="125">
        <v>2029.4169999999999</v>
      </c>
      <c r="J133" s="336"/>
      <c r="K133" s="27"/>
      <c r="L133" s="334"/>
      <c r="M133" s="335"/>
      <c r="N133" s="337"/>
    </row>
    <row r="134" spans="2:14" x14ac:dyDescent="0.25">
      <c r="B134" s="152" t="s">
        <v>145</v>
      </c>
      <c r="C134" s="116">
        <v>979.73199999999997</v>
      </c>
      <c r="D134" s="116">
        <v>356.42500000000001</v>
      </c>
      <c r="E134" s="127">
        <f t="shared" si="8"/>
        <v>525.60800000000017</v>
      </c>
      <c r="F134" s="116">
        <v>1861.7650000000001</v>
      </c>
      <c r="G134" s="116">
        <v>253.31399999999999</v>
      </c>
      <c r="H134" s="116">
        <v>0</v>
      </c>
      <c r="I134" s="125">
        <v>2115.0790000000002</v>
      </c>
      <c r="J134" s="336"/>
      <c r="K134" s="27"/>
      <c r="L134" s="334"/>
      <c r="M134" s="335"/>
      <c r="N134" s="337"/>
    </row>
    <row r="135" spans="2:14" x14ac:dyDescent="0.25">
      <c r="B135" s="152" t="s">
        <v>146</v>
      </c>
      <c r="C135" s="116">
        <v>1014.1420000000001</v>
      </c>
      <c r="D135" s="116">
        <v>367.38900000000001</v>
      </c>
      <c r="E135" s="127">
        <f t="shared" si="8"/>
        <v>546.63800000000003</v>
      </c>
      <c r="F135" s="116">
        <v>1928.1690000000001</v>
      </c>
      <c r="G135" s="116">
        <v>262.21100000000001</v>
      </c>
      <c r="H135" s="116">
        <v>0</v>
      </c>
      <c r="I135" s="125">
        <v>2190.38</v>
      </c>
      <c r="J135" s="336"/>
      <c r="K135" s="27"/>
      <c r="L135" s="334"/>
      <c r="M135" s="335"/>
      <c r="N135" s="337"/>
    </row>
    <row r="136" spans="2:14" x14ac:dyDescent="0.25">
      <c r="B136" s="152" t="s">
        <v>147</v>
      </c>
      <c r="C136" s="116">
        <v>1051.1790000000001</v>
      </c>
      <c r="D136" s="116">
        <v>379.44600000000003</v>
      </c>
      <c r="E136" s="127">
        <f t="shared" si="8"/>
        <v>565.73799999999994</v>
      </c>
      <c r="F136" s="116">
        <v>1996.3630000000001</v>
      </c>
      <c r="G136" s="116">
        <v>261.97899999999998</v>
      </c>
      <c r="H136" s="116">
        <v>0</v>
      </c>
      <c r="I136" s="125">
        <v>2258.3420000000001</v>
      </c>
      <c r="J136" s="336"/>
      <c r="K136" s="27"/>
      <c r="L136" s="334"/>
      <c r="M136" s="335"/>
      <c r="N136" s="337"/>
    </row>
    <row r="137" spans="2:14" x14ac:dyDescent="0.25">
      <c r="B137" s="152" t="s">
        <v>148</v>
      </c>
      <c r="C137" s="116">
        <v>1052.798</v>
      </c>
      <c r="D137" s="116">
        <v>385.85</v>
      </c>
      <c r="E137" s="127">
        <f t="shared" si="8"/>
        <v>565.08499999999992</v>
      </c>
      <c r="F137" s="116">
        <v>2003.7329999999999</v>
      </c>
      <c r="G137" s="116">
        <v>106.738</v>
      </c>
      <c r="H137" s="116">
        <v>0</v>
      </c>
      <c r="I137" s="125">
        <v>2110.471</v>
      </c>
      <c r="J137" s="336"/>
      <c r="K137" s="27"/>
      <c r="L137" s="334"/>
      <c r="M137" s="335"/>
      <c r="N137" s="337"/>
    </row>
    <row r="138" spans="2:14" x14ac:dyDescent="0.25">
      <c r="B138" s="152" t="s">
        <v>149</v>
      </c>
      <c r="C138" s="116">
        <v>1133.713</v>
      </c>
      <c r="D138" s="116">
        <v>419.71699999999998</v>
      </c>
      <c r="E138" s="127">
        <f t="shared" si="8"/>
        <v>603.45900000000017</v>
      </c>
      <c r="F138" s="116">
        <v>2156.8890000000001</v>
      </c>
      <c r="G138" s="116">
        <v>243.661</v>
      </c>
      <c r="H138" s="116">
        <v>0</v>
      </c>
      <c r="I138" s="125">
        <v>2400.5500000000002</v>
      </c>
      <c r="J138" s="336"/>
      <c r="K138" s="27"/>
      <c r="L138" s="334"/>
      <c r="M138" s="335"/>
      <c r="N138" s="337"/>
    </row>
    <row r="139" spans="2:14" x14ac:dyDescent="0.25">
      <c r="B139" s="152" t="s">
        <v>150</v>
      </c>
      <c r="C139" s="116">
        <v>1211.2080000000001</v>
      </c>
      <c r="D139" s="116">
        <v>464.64299999999997</v>
      </c>
      <c r="E139" s="127">
        <f t="shared" si="8"/>
        <v>692.35799999999972</v>
      </c>
      <c r="F139" s="116">
        <v>2368.2089999999998</v>
      </c>
      <c r="G139" s="116">
        <v>268.92</v>
      </c>
      <c r="H139" s="116">
        <v>0</v>
      </c>
      <c r="I139" s="125">
        <v>2637.1289999999999</v>
      </c>
      <c r="J139" s="336"/>
      <c r="K139" s="27"/>
      <c r="L139" s="334"/>
      <c r="M139" s="335"/>
      <c r="N139" s="337"/>
    </row>
    <row r="140" spans="2:14" x14ac:dyDescent="0.25">
      <c r="B140" s="152" t="s">
        <v>151</v>
      </c>
      <c r="C140" s="116">
        <v>1279.6300000000001</v>
      </c>
      <c r="D140" s="116">
        <v>468.05799999999999</v>
      </c>
      <c r="E140" s="127">
        <f t="shared" si="8"/>
        <v>730.88900000000001</v>
      </c>
      <c r="F140" s="116">
        <v>2478.6210000000001</v>
      </c>
      <c r="G140" s="116">
        <v>299.38900000000001</v>
      </c>
      <c r="H140" s="116">
        <v>4.3999999999999997E-2</v>
      </c>
      <c r="I140" s="125">
        <v>2778.01</v>
      </c>
      <c r="J140" s="336"/>
      <c r="K140" s="27"/>
      <c r="L140" s="334"/>
      <c r="M140" s="335"/>
      <c r="N140" s="337"/>
    </row>
    <row r="141" spans="2:14" x14ac:dyDescent="0.25">
      <c r="B141" s="152" t="s">
        <v>152</v>
      </c>
      <c r="C141" s="116">
        <v>1361.2080000000001</v>
      </c>
      <c r="D141" s="116">
        <v>487.589</v>
      </c>
      <c r="E141" s="127">
        <f t="shared" si="8"/>
        <v>772.49099999999987</v>
      </c>
      <c r="F141" s="116">
        <v>2618.2849999999999</v>
      </c>
      <c r="G141" s="116">
        <v>314.53800000000001</v>
      </c>
      <c r="H141" s="116">
        <v>-3.0030000000000001</v>
      </c>
      <c r="I141" s="125">
        <v>2932.8229999999999</v>
      </c>
      <c r="J141" s="336"/>
      <c r="K141" s="27"/>
      <c r="L141" s="334"/>
      <c r="M141" s="335"/>
      <c r="N141" s="337"/>
    </row>
    <row r="142" spans="2:14" ht="17.25" customHeight="1" x14ac:dyDescent="0.25">
      <c r="B142" s="152" t="s">
        <v>153</v>
      </c>
      <c r="C142" s="116">
        <v>1422.5840000000001</v>
      </c>
      <c r="D142" s="116">
        <v>507.59699999999998</v>
      </c>
      <c r="E142" s="127">
        <f t="shared" si="8"/>
        <v>820.04899999999998</v>
      </c>
      <c r="F142" s="116">
        <v>2740.893</v>
      </c>
      <c r="G142" s="116">
        <v>325.95800000000003</v>
      </c>
      <c r="H142" s="116">
        <v>-9.3369999999999997</v>
      </c>
      <c r="I142" s="125">
        <v>3066.8510000000001</v>
      </c>
      <c r="J142" s="336"/>
      <c r="K142" s="27"/>
      <c r="L142" s="334"/>
      <c r="M142" s="335"/>
      <c r="N142" s="337"/>
    </row>
    <row r="143" spans="2:14" ht="15" customHeight="1" x14ac:dyDescent="0.25">
      <c r="B143" s="152" t="s">
        <v>154</v>
      </c>
      <c r="C143" s="116">
        <v>1477.0094439</v>
      </c>
      <c r="D143" s="116">
        <v>529.41616326155349</v>
      </c>
      <c r="E143" s="127">
        <f t="shared" si="8"/>
        <v>864.88150410844685</v>
      </c>
      <c r="F143" s="116">
        <v>2861.3311112700003</v>
      </c>
      <c r="G143" s="116">
        <v>325.75759892999997</v>
      </c>
      <c r="H143" s="116">
        <v>-9.9760000000000009</v>
      </c>
      <c r="I143" s="125">
        <v>3187.0887090000001</v>
      </c>
      <c r="J143" s="336"/>
      <c r="K143" s="27"/>
      <c r="L143" s="334"/>
      <c r="M143" s="335"/>
      <c r="N143" s="337"/>
    </row>
    <row r="144" spans="2:14" x14ac:dyDescent="0.25">
      <c r="B144" s="152" t="s">
        <v>155</v>
      </c>
      <c r="C144" s="116">
        <v>1521.5951235000002</v>
      </c>
      <c r="D144" s="116">
        <v>553.78708926153024</v>
      </c>
      <c r="E144" s="127">
        <f t="shared" si="8"/>
        <v>882.46825914846909</v>
      </c>
      <c r="F144" s="116">
        <v>2947.8744719099996</v>
      </c>
      <c r="G144" s="116">
        <v>343.14711499000003</v>
      </c>
      <c r="H144" s="116">
        <v>-9.9760000000000009</v>
      </c>
      <c r="I144" s="125">
        <v>3291.0215869999997</v>
      </c>
      <c r="J144" s="336"/>
      <c r="K144" s="27"/>
      <c r="L144" s="334"/>
      <c r="M144" s="335"/>
      <c r="N144" s="337"/>
    </row>
    <row r="145" spans="2:14" x14ac:dyDescent="0.25">
      <c r="B145" s="152" t="s">
        <v>156</v>
      </c>
      <c r="C145" s="116">
        <v>1563.2377209000001</v>
      </c>
      <c r="D145" s="116">
        <v>582.13371429677852</v>
      </c>
      <c r="E145" s="127">
        <f t="shared" si="8"/>
        <v>918.33991741322143</v>
      </c>
      <c r="F145" s="116">
        <v>3053.7353526100001</v>
      </c>
      <c r="G145" s="116">
        <v>360.36336939</v>
      </c>
      <c r="H145" s="116">
        <v>-9.9760000000000009</v>
      </c>
      <c r="I145" s="125">
        <v>3414.0987219999997</v>
      </c>
      <c r="J145" s="336"/>
      <c r="K145" s="27"/>
      <c r="L145" s="334"/>
      <c r="M145" s="335"/>
      <c r="N145" s="337"/>
    </row>
    <row r="146" spans="2:14" x14ac:dyDescent="0.25">
      <c r="B146" s="152" t="s">
        <v>157</v>
      </c>
      <c r="C146" s="116">
        <v>1611.1054210999998</v>
      </c>
      <c r="D146" s="116">
        <v>606.7094229365224</v>
      </c>
      <c r="E146" s="127">
        <f t="shared" ref="E146:E147" si="9">F146-C146-D146-H146</f>
        <v>957.718538453478</v>
      </c>
      <c r="F146" s="116">
        <v>3165.5573824900002</v>
      </c>
      <c r="G146" s="116">
        <v>377.39216450999999</v>
      </c>
      <c r="H146" s="116">
        <v>-9.9760000000000009</v>
      </c>
      <c r="I146" s="125">
        <v>3542.9495469999997</v>
      </c>
      <c r="J146" s="336"/>
      <c r="K146" s="27"/>
      <c r="L146" s="334"/>
      <c r="M146" s="335"/>
      <c r="N146" s="337"/>
    </row>
    <row r="147" spans="2:14" x14ac:dyDescent="0.25">
      <c r="B147" s="152" t="s">
        <v>158</v>
      </c>
      <c r="C147" s="116">
        <v>1664.4164201000003</v>
      </c>
      <c r="D147" s="116">
        <v>631.49055980970195</v>
      </c>
      <c r="E147" s="127">
        <f t="shared" si="9"/>
        <v>996.88611659029766</v>
      </c>
      <c r="F147" s="116">
        <v>3282.8170964999999</v>
      </c>
      <c r="G147" s="116">
        <v>390.1606974</v>
      </c>
      <c r="H147" s="116">
        <v>-9.9760000000000009</v>
      </c>
      <c r="I147" s="125">
        <v>3672.9777949999998</v>
      </c>
      <c r="J147" s="336"/>
      <c r="K147" s="27"/>
      <c r="L147" s="334"/>
      <c r="M147" s="335"/>
      <c r="N147" s="337"/>
    </row>
    <row r="148" spans="2:14" ht="16.5" thickBot="1" x14ac:dyDescent="0.3">
      <c r="B148" s="371" t="s">
        <v>649</v>
      </c>
      <c r="C148" s="372">
        <v>1717.1243804999999</v>
      </c>
      <c r="D148" s="372">
        <v>656.25978018542241</v>
      </c>
      <c r="E148" s="373">
        <f t="shared" ref="E148" si="10">F148-C148-D148-H148</f>
        <v>1036.5053497145775</v>
      </c>
      <c r="F148" s="372">
        <v>3399.9135103999997</v>
      </c>
      <c r="G148" s="372">
        <v>401.88382540000003</v>
      </c>
      <c r="H148" s="372">
        <v>-9.9760000000000009</v>
      </c>
      <c r="I148" s="374">
        <v>3801.797337</v>
      </c>
      <c r="J148" s="336"/>
      <c r="K148" s="27"/>
      <c r="L148" s="334"/>
      <c r="M148" s="335"/>
      <c r="N148" s="337"/>
    </row>
    <row r="149" spans="2:14" x14ac:dyDescent="0.25">
      <c r="B149" s="279" t="s">
        <v>159</v>
      </c>
      <c r="C149" s="281"/>
      <c r="D149" s="281"/>
      <c r="E149" s="281"/>
      <c r="F149" s="281"/>
      <c r="G149" s="281"/>
      <c r="H149" s="281"/>
      <c r="I149" s="287"/>
      <c r="K149" s="334"/>
      <c r="L149" s="334"/>
      <c r="M149" s="335"/>
    </row>
    <row r="150" spans="2:14" ht="15.75" customHeight="1" x14ac:dyDescent="0.25">
      <c r="B150" s="279" t="s">
        <v>659</v>
      </c>
      <c r="C150" s="281"/>
      <c r="D150" s="281"/>
      <c r="E150" s="281"/>
      <c r="F150" s="281"/>
      <c r="G150" s="281"/>
      <c r="H150" s="281"/>
      <c r="I150" s="287"/>
      <c r="K150" s="334"/>
      <c r="L150" s="334"/>
      <c r="M150" s="335"/>
    </row>
    <row r="151" spans="2:14" ht="15.75" customHeight="1" x14ac:dyDescent="0.25">
      <c r="B151" s="279" t="s">
        <v>198</v>
      </c>
      <c r="C151" s="281"/>
      <c r="D151" s="281"/>
      <c r="E151" s="281"/>
      <c r="F151" s="281"/>
      <c r="G151" s="281"/>
      <c r="H151" s="281"/>
      <c r="I151" s="287"/>
      <c r="K151" s="334"/>
      <c r="L151" s="334"/>
      <c r="M151" s="335"/>
    </row>
    <row r="152" spans="2:14" ht="31.15" customHeight="1" x14ac:dyDescent="0.25">
      <c r="B152" s="549" t="s">
        <v>199</v>
      </c>
      <c r="C152" s="550"/>
      <c r="D152" s="550"/>
      <c r="E152" s="550"/>
      <c r="F152" s="550"/>
      <c r="G152" s="550"/>
      <c r="H152" s="550"/>
      <c r="I152" s="551"/>
      <c r="K152" s="334"/>
      <c r="L152" s="334"/>
      <c r="M152" s="335"/>
    </row>
    <row r="153" spans="2:14" ht="15.75" customHeight="1" x14ac:dyDescent="0.25">
      <c r="B153" s="279" t="s">
        <v>200</v>
      </c>
      <c r="C153" s="281"/>
      <c r="D153" s="281"/>
      <c r="E153" s="281"/>
      <c r="F153" s="281"/>
      <c r="G153" s="281"/>
      <c r="H153" s="281"/>
      <c r="I153" s="287"/>
      <c r="K153" s="334"/>
      <c r="L153" s="334"/>
      <c r="M153" s="335"/>
    </row>
    <row r="154" spans="2:14" ht="15.75" customHeight="1" x14ac:dyDescent="0.25">
      <c r="B154" s="279" t="s">
        <v>201</v>
      </c>
      <c r="C154" s="281"/>
      <c r="D154" s="281"/>
      <c r="E154" s="281"/>
      <c r="F154" s="281"/>
      <c r="G154" s="281"/>
      <c r="H154" s="281"/>
      <c r="I154" s="287"/>
      <c r="K154" s="334"/>
      <c r="L154" s="334"/>
      <c r="M154" s="335"/>
    </row>
    <row r="155" spans="2:14" ht="15.75" customHeight="1" x14ac:dyDescent="0.25">
      <c r="B155" s="279" t="s">
        <v>202</v>
      </c>
      <c r="C155" s="281"/>
      <c r="D155" s="281"/>
      <c r="E155" s="281"/>
      <c r="F155" s="281"/>
      <c r="G155" s="281"/>
      <c r="H155" s="281"/>
      <c r="I155" s="287"/>
      <c r="K155" s="334"/>
      <c r="L155" s="334"/>
      <c r="M155" s="335"/>
    </row>
    <row r="156" spans="2:14" ht="15.75" customHeight="1" thickBot="1" x14ac:dyDescent="0.3">
      <c r="B156" s="289" t="s">
        <v>203</v>
      </c>
      <c r="C156" s="290"/>
      <c r="D156" s="290"/>
      <c r="E156" s="290"/>
      <c r="F156" s="290"/>
      <c r="G156" s="290"/>
      <c r="H156" s="290"/>
      <c r="I156" s="291"/>
      <c r="K156" s="334"/>
      <c r="L156" s="334"/>
      <c r="M156" s="335"/>
    </row>
    <row r="157" spans="2:14" x14ac:dyDescent="0.25">
      <c r="B157" s="130"/>
      <c r="C157" s="129"/>
      <c r="D157" s="129"/>
      <c r="E157" s="129"/>
      <c r="F157" s="129"/>
      <c r="G157" s="129"/>
      <c r="H157" s="129"/>
      <c r="I157" s="129"/>
    </row>
    <row r="158" spans="2:14" ht="18.75" customHeight="1" x14ac:dyDescent="0.25">
      <c r="B158" s="548"/>
      <c r="C158" s="548"/>
      <c r="D158" s="548"/>
      <c r="E158" s="548"/>
      <c r="F158" s="548"/>
      <c r="G158" s="548"/>
      <c r="H158" s="548"/>
      <c r="I158" s="548"/>
    </row>
    <row r="159" spans="2:14" ht="18.75" customHeight="1" x14ac:dyDescent="0.25">
      <c r="B159" s="548"/>
      <c r="C159" s="548"/>
      <c r="D159" s="548"/>
      <c r="E159" s="548"/>
      <c r="F159" s="548"/>
      <c r="G159" s="548"/>
      <c r="H159" s="548"/>
      <c r="I159" s="548"/>
    </row>
    <row r="160" spans="2:14" ht="18.75" customHeight="1" x14ac:dyDescent="0.25">
      <c r="B160" s="548"/>
      <c r="C160" s="548"/>
      <c r="D160" s="548"/>
      <c r="E160" s="548"/>
      <c r="F160" s="548"/>
      <c r="G160" s="548"/>
      <c r="H160" s="548"/>
      <c r="I160" s="548"/>
    </row>
    <row r="161" spans="2:9" ht="18.75" customHeight="1" x14ac:dyDescent="0.25">
      <c r="B161" s="548"/>
      <c r="C161" s="548"/>
      <c r="D161" s="548"/>
      <c r="E161" s="548"/>
      <c r="F161" s="548"/>
      <c r="G161" s="548"/>
      <c r="H161" s="548"/>
      <c r="I161" s="548"/>
    </row>
    <row r="162" spans="2:9" ht="18.75" customHeight="1" x14ac:dyDescent="0.25">
      <c r="B162" s="548"/>
      <c r="C162" s="548"/>
      <c r="D162" s="548"/>
      <c r="E162" s="548"/>
      <c r="F162" s="548"/>
      <c r="G162" s="548"/>
      <c r="H162" s="548"/>
      <c r="I162" s="548"/>
    </row>
    <row r="163" spans="2:9" ht="18.75" customHeight="1" x14ac:dyDescent="0.25">
      <c r="B163" s="548"/>
      <c r="C163" s="548"/>
      <c r="D163" s="548"/>
      <c r="E163" s="548"/>
      <c r="F163" s="548"/>
      <c r="G163" s="548"/>
      <c r="H163" s="548"/>
      <c r="I163" s="548"/>
    </row>
    <row r="164" spans="2:9" ht="18.75" customHeight="1" x14ac:dyDescent="0.25">
      <c r="B164" s="548"/>
      <c r="C164" s="548"/>
      <c r="D164" s="548"/>
      <c r="E164" s="548"/>
      <c r="F164" s="548"/>
      <c r="G164" s="548"/>
      <c r="H164" s="548"/>
      <c r="I164" s="548"/>
    </row>
    <row r="165" spans="2:9" x14ac:dyDescent="0.25">
      <c r="C165" s="129"/>
      <c r="D165" s="129"/>
      <c r="E165" s="129"/>
      <c r="F165" s="129"/>
      <c r="G165" s="129"/>
      <c r="H165" s="129"/>
      <c r="I165" s="129"/>
    </row>
    <row r="166" spans="2:9" x14ac:dyDescent="0.25">
      <c r="C166" s="129"/>
      <c r="D166" s="129"/>
      <c r="E166" s="129"/>
      <c r="F166" s="129"/>
      <c r="G166" s="129"/>
      <c r="H166" s="129"/>
      <c r="I166" s="129"/>
    </row>
    <row r="167" spans="2:9" x14ac:dyDescent="0.25">
      <c r="C167" s="129"/>
      <c r="D167" s="129"/>
      <c r="E167" s="129"/>
      <c r="F167" s="129"/>
      <c r="G167" s="129"/>
      <c r="H167" s="129"/>
      <c r="I167" s="129"/>
    </row>
    <row r="168" spans="2:9" x14ac:dyDescent="0.25">
      <c r="C168" s="129"/>
      <c r="D168" s="129"/>
      <c r="E168" s="129"/>
      <c r="F168" s="129"/>
      <c r="G168" s="129"/>
      <c r="H168" s="129"/>
      <c r="I168" s="129"/>
    </row>
    <row r="169" spans="2:9" x14ac:dyDescent="0.25">
      <c r="C169" s="129"/>
      <c r="D169" s="129"/>
      <c r="E169" s="129"/>
      <c r="F169" s="129"/>
      <c r="G169" s="129"/>
      <c r="H169" s="129"/>
      <c r="I169" s="129"/>
    </row>
  </sheetData>
  <mergeCells count="9">
    <mergeCell ref="B2:I2"/>
    <mergeCell ref="B164:I164"/>
    <mergeCell ref="B163:I163"/>
    <mergeCell ref="B162:I162"/>
    <mergeCell ref="B161:I161"/>
    <mergeCell ref="B160:I160"/>
    <mergeCell ref="B159:I159"/>
    <mergeCell ref="B158:I158"/>
    <mergeCell ref="B152:I152"/>
  </mergeCells>
  <phoneticPr fontId="91" type="noConversion"/>
  <hyperlinks>
    <hyperlink ref="A1" location="Contents!A1" display="Back to contents" xr:uid="{5DCB07F4-21E5-405E-99A2-97EF933C3352}"/>
  </hyperlinks>
  <pageMargins left="0.70866141732283472" right="0.70866141732283472" top="0.74803149606299213" bottom="0.74803149606299213" header="0.31496062992125984" footer="0.31496062992125984"/>
  <pageSetup paperSize="9" scale="37" orientation="portrait" r:id="rId1"/>
  <headerFooter>
    <oddHeader>&amp;C&amp;8March 2018 Economic and fiscal outlook: Supplementary economy tables</oddHeader>
  </headerFooter>
  <rowBreaks count="1" manualBreakCount="1">
    <brk id="84" max="8" man="1"/>
  </rowBreaks>
  <colBreaks count="1" manualBreakCount="1">
    <brk id="9"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3BCDF-8171-46B9-893F-91ACDAC6E800}">
  <sheetPr codeName="Sheet5">
    <tabColor theme="5"/>
    <pageSetUpPr fitToPage="1"/>
  </sheetPr>
  <dimension ref="A1:V151"/>
  <sheetViews>
    <sheetView zoomScaleNormal="100" zoomScaleSheetLayoutView="100" workbookViewId="0"/>
  </sheetViews>
  <sheetFormatPr defaultColWidth="8.77734375" defaultRowHeight="15" x14ac:dyDescent="0.25"/>
  <cols>
    <col min="1" max="1" width="9.21875" style="204" customWidth="1"/>
    <col min="2" max="3" width="15" style="204" customWidth="1"/>
    <col min="4" max="16384" width="8.77734375" style="204"/>
  </cols>
  <sheetData>
    <row r="1" spans="1:14" ht="35.1" customHeight="1" thickBot="1" x14ac:dyDescent="0.3">
      <c r="A1" s="19" t="s">
        <v>22</v>
      </c>
      <c r="B1" s="131"/>
      <c r="C1" s="478"/>
      <c r="D1" s="17"/>
      <c r="E1" s="17"/>
      <c r="F1" s="17"/>
      <c r="G1" s="17"/>
      <c r="H1" s="17"/>
      <c r="I1" s="17"/>
      <c r="J1" s="17"/>
      <c r="K1" s="17"/>
      <c r="L1" s="17"/>
      <c r="M1" s="17"/>
      <c r="N1" s="17"/>
    </row>
    <row r="2" spans="1:14" ht="40.5" customHeight="1" thickBot="1" x14ac:dyDescent="0.3">
      <c r="A2" s="18"/>
      <c r="B2" s="554" t="s">
        <v>204</v>
      </c>
      <c r="C2" s="555"/>
      <c r="D2" s="17"/>
      <c r="E2" s="17"/>
      <c r="F2" s="17"/>
      <c r="G2" s="17"/>
      <c r="H2" s="17"/>
      <c r="I2" s="17"/>
      <c r="J2" s="17"/>
      <c r="K2" s="17"/>
      <c r="L2" s="17"/>
      <c r="M2" s="17"/>
      <c r="N2" s="17"/>
    </row>
    <row r="3" spans="1:14" ht="15.75" customHeight="1" x14ac:dyDescent="0.25">
      <c r="A3" s="17"/>
      <c r="B3" s="6" t="s">
        <v>43</v>
      </c>
      <c r="C3" s="114">
        <v>397.26499999999999</v>
      </c>
      <c r="D3" s="17"/>
      <c r="E3" s="17"/>
      <c r="F3" s="17"/>
      <c r="G3" s="17"/>
      <c r="H3" s="17"/>
      <c r="I3" s="17"/>
      <c r="J3" s="17"/>
      <c r="K3" s="17"/>
      <c r="L3" s="17"/>
      <c r="M3" s="17"/>
      <c r="N3" s="17"/>
    </row>
    <row r="4" spans="1:14" ht="15.75" customHeight="1" x14ac:dyDescent="0.25">
      <c r="A4" s="17"/>
      <c r="B4" s="6" t="s">
        <v>44</v>
      </c>
      <c r="C4" s="114">
        <v>397.113</v>
      </c>
      <c r="E4" s="17"/>
      <c r="F4" s="17"/>
      <c r="G4" s="17"/>
      <c r="H4" s="17"/>
      <c r="I4" s="17"/>
      <c r="J4" s="17"/>
      <c r="K4" s="17"/>
      <c r="L4" s="17"/>
      <c r="M4" s="17"/>
      <c r="N4" s="17"/>
    </row>
    <row r="5" spans="1:14" ht="15.75" customHeight="1" x14ac:dyDescent="0.25">
      <c r="A5" s="17"/>
      <c r="B5" s="6" t="s">
        <v>45</v>
      </c>
      <c r="C5" s="114">
        <v>404.26499999999999</v>
      </c>
      <c r="E5" s="17"/>
      <c r="F5" s="17"/>
      <c r="G5" s="17"/>
      <c r="H5" s="17"/>
      <c r="I5" s="17"/>
      <c r="J5" s="17"/>
      <c r="K5" s="17"/>
      <c r="L5" s="17"/>
      <c r="M5" s="17"/>
      <c r="N5" s="17"/>
    </row>
    <row r="6" spans="1:14" ht="15.75" customHeight="1" x14ac:dyDescent="0.25">
      <c r="A6" s="17"/>
      <c r="B6" s="6" t="s">
        <v>46</v>
      </c>
      <c r="C6" s="114">
        <v>403.57400000000001</v>
      </c>
      <c r="D6" s="20"/>
      <c r="E6" s="17"/>
      <c r="F6" s="17"/>
      <c r="G6" s="17"/>
      <c r="H6" s="17"/>
      <c r="I6" s="17"/>
      <c r="J6" s="17"/>
      <c r="K6" s="17"/>
      <c r="L6" s="17"/>
      <c r="M6" s="17"/>
      <c r="N6" s="17"/>
    </row>
    <row r="7" spans="1:14" x14ac:dyDescent="0.25">
      <c r="A7" s="17"/>
      <c r="B7" s="6" t="s">
        <v>47</v>
      </c>
      <c r="C7" s="114">
        <v>388.315</v>
      </c>
      <c r="D7" s="20"/>
      <c r="E7" s="17"/>
      <c r="F7" s="17"/>
      <c r="G7" s="17"/>
      <c r="H7" s="17"/>
      <c r="I7" s="17"/>
      <c r="J7" s="17"/>
      <c r="K7" s="17"/>
      <c r="L7" s="17"/>
      <c r="M7" s="17"/>
      <c r="N7" s="17"/>
    </row>
    <row r="8" spans="1:14" x14ac:dyDescent="0.25">
      <c r="A8" s="17"/>
      <c r="B8" s="6" t="s">
        <v>48</v>
      </c>
      <c r="C8" s="114">
        <v>380.351</v>
      </c>
      <c r="D8" s="17"/>
      <c r="E8" s="17"/>
      <c r="F8" s="17"/>
      <c r="G8" s="17"/>
      <c r="H8" s="17"/>
      <c r="I8" s="17"/>
      <c r="J8" s="17"/>
      <c r="K8" s="17"/>
      <c r="L8" s="17"/>
      <c r="M8" s="17"/>
      <c r="N8" s="17"/>
    </row>
    <row r="9" spans="1:14" x14ac:dyDescent="0.25">
      <c r="A9" s="17"/>
      <c r="B9" s="6" t="s">
        <v>49</v>
      </c>
      <c r="C9" s="114">
        <v>394.53</v>
      </c>
      <c r="D9" s="17"/>
      <c r="E9" s="17"/>
      <c r="F9" s="17"/>
      <c r="G9" s="17"/>
      <c r="H9" s="17"/>
      <c r="I9" s="17"/>
      <c r="J9" s="17"/>
      <c r="K9" s="17"/>
      <c r="L9" s="17"/>
      <c r="M9" s="17"/>
      <c r="N9" s="17"/>
    </row>
    <row r="10" spans="1:14" x14ac:dyDescent="0.25">
      <c r="A10" s="17"/>
      <c r="B10" s="6" t="s">
        <v>50</v>
      </c>
      <c r="C10" s="114">
        <v>396.209</v>
      </c>
      <c r="D10" s="20"/>
      <c r="E10" s="17"/>
      <c r="F10" s="17"/>
      <c r="G10" s="17"/>
      <c r="H10" s="17"/>
      <c r="I10" s="17"/>
      <c r="J10" s="17"/>
      <c r="K10" s="17"/>
      <c r="L10" s="17"/>
      <c r="M10" s="17"/>
      <c r="N10" s="17"/>
    </row>
    <row r="11" spans="1:14" x14ac:dyDescent="0.25">
      <c r="A11" s="17"/>
      <c r="B11" s="6" t="s">
        <v>51</v>
      </c>
      <c r="C11" s="114">
        <v>395.98</v>
      </c>
      <c r="D11" s="17"/>
      <c r="E11" s="17"/>
      <c r="F11" s="17"/>
      <c r="G11" s="17"/>
      <c r="H11" s="17"/>
      <c r="I11" s="17"/>
      <c r="J11" s="17"/>
      <c r="K11" s="17"/>
      <c r="L11" s="17"/>
      <c r="M11" s="17"/>
      <c r="N11" s="17"/>
    </row>
    <row r="12" spans="1:14" x14ac:dyDescent="0.25">
      <c r="A12" s="17"/>
      <c r="B12" s="6" t="s">
        <v>52</v>
      </c>
      <c r="C12" s="114">
        <v>394.99700000000001</v>
      </c>
      <c r="D12" s="17"/>
      <c r="E12" s="17"/>
      <c r="F12" s="17"/>
      <c r="G12" s="17"/>
      <c r="H12" s="17"/>
      <c r="I12" s="17"/>
      <c r="J12" s="17"/>
      <c r="K12" s="17"/>
      <c r="L12" s="17"/>
      <c r="M12" s="17"/>
      <c r="N12" s="17"/>
    </row>
    <row r="13" spans="1:14" x14ac:dyDescent="0.25">
      <c r="A13" s="17"/>
      <c r="B13" s="6" t="s">
        <v>53</v>
      </c>
      <c r="C13" s="114">
        <v>409.29199999999997</v>
      </c>
      <c r="D13" s="17"/>
      <c r="E13" s="17"/>
      <c r="F13" s="17"/>
      <c r="G13" s="17"/>
      <c r="H13" s="17"/>
      <c r="I13" s="17"/>
      <c r="J13" s="17"/>
      <c r="K13" s="17"/>
      <c r="L13" s="17"/>
      <c r="M13" s="17"/>
      <c r="N13" s="17"/>
    </row>
    <row r="14" spans="1:14" x14ac:dyDescent="0.25">
      <c r="A14" s="17"/>
      <c r="B14" s="6" t="s">
        <v>54</v>
      </c>
      <c r="C14" s="114">
        <v>415.57</v>
      </c>
      <c r="D14" s="20"/>
      <c r="E14" s="17"/>
      <c r="F14" s="17"/>
      <c r="G14" s="17"/>
      <c r="H14" s="17"/>
      <c r="I14" s="17"/>
      <c r="J14" s="17"/>
      <c r="K14" s="17"/>
      <c r="L14" s="17"/>
      <c r="M14" s="17"/>
      <c r="N14" s="17"/>
    </row>
    <row r="15" spans="1:14" x14ac:dyDescent="0.25">
      <c r="A15" s="17"/>
      <c r="B15" s="6" t="s">
        <v>55</v>
      </c>
      <c r="C15" s="114">
        <v>413.06700000000001</v>
      </c>
      <c r="D15" s="17"/>
      <c r="E15" s="17"/>
      <c r="F15" s="17"/>
      <c r="G15" s="17"/>
      <c r="H15" s="17"/>
      <c r="I15" s="17"/>
      <c r="J15" s="17"/>
      <c r="K15" s="17"/>
      <c r="L15" s="17"/>
      <c r="M15" s="17"/>
      <c r="N15" s="17"/>
    </row>
    <row r="16" spans="1:14" x14ac:dyDescent="0.25">
      <c r="A16" s="17"/>
      <c r="B16" s="6" t="s">
        <v>56</v>
      </c>
      <c r="C16" s="114">
        <v>407.02600000000001</v>
      </c>
      <c r="D16" s="17"/>
      <c r="E16" s="17"/>
      <c r="F16" s="17"/>
      <c r="G16" s="17"/>
      <c r="H16" s="17"/>
      <c r="I16" s="17"/>
      <c r="J16" s="17"/>
      <c r="K16" s="17"/>
      <c r="L16" s="17"/>
      <c r="M16" s="17"/>
      <c r="N16" s="17"/>
    </row>
    <row r="17" spans="1:14" x14ac:dyDescent="0.25">
      <c r="A17" s="17"/>
      <c r="B17" s="6" t="s">
        <v>57</v>
      </c>
      <c r="C17" s="114">
        <v>419.18299999999999</v>
      </c>
      <c r="D17" s="17"/>
      <c r="E17" s="17"/>
      <c r="F17" s="17"/>
      <c r="G17" s="17"/>
      <c r="H17" s="17"/>
      <c r="I17" s="17"/>
      <c r="J17" s="17"/>
      <c r="K17" s="17"/>
      <c r="L17" s="17"/>
      <c r="M17" s="17"/>
      <c r="N17" s="17"/>
    </row>
    <row r="18" spans="1:14" x14ac:dyDescent="0.25">
      <c r="A18" s="17"/>
      <c r="B18" s="6" t="s">
        <v>58</v>
      </c>
      <c r="C18" s="114">
        <v>430.66899999999998</v>
      </c>
      <c r="D18" s="17"/>
      <c r="E18" s="17"/>
      <c r="F18" s="17"/>
      <c r="G18" s="17"/>
      <c r="H18" s="17"/>
      <c r="I18" s="17"/>
      <c r="J18" s="17"/>
      <c r="K18" s="17"/>
      <c r="L18" s="17"/>
      <c r="M18" s="17"/>
      <c r="N18" s="17"/>
    </row>
    <row r="19" spans="1:14" x14ac:dyDescent="0.25">
      <c r="A19" s="17"/>
      <c r="B19" s="6" t="s">
        <v>59</v>
      </c>
      <c r="C19" s="114">
        <v>424.05900000000003</v>
      </c>
      <c r="D19" s="17"/>
      <c r="E19" s="17"/>
      <c r="F19" s="17"/>
      <c r="G19" s="17"/>
      <c r="H19" s="17"/>
      <c r="I19" s="17"/>
      <c r="J19" s="17"/>
      <c r="K19" s="17"/>
      <c r="L19" s="17"/>
      <c r="M19" s="17"/>
      <c r="N19" s="17"/>
    </row>
    <row r="20" spans="1:14" x14ac:dyDescent="0.25">
      <c r="A20" s="17"/>
      <c r="B20" s="6" t="s">
        <v>60</v>
      </c>
      <c r="C20" s="114">
        <v>419.952</v>
      </c>
      <c r="D20" s="17"/>
      <c r="E20" s="17"/>
      <c r="F20" s="17"/>
      <c r="G20" s="17"/>
      <c r="H20" s="17"/>
      <c r="I20" s="17"/>
      <c r="J20" s="17"/>
      <c r="K20" s="17"/>
      <c r="L20" s="17"/>
      <c r="M20" s="17"/>
      <c r="N20" s="17"/>
    </row>
    <row r="21" spans="1:14" x14ac:dyDescent="0.25">
      <c r="A21" s="17"/>
      <c r="B21" s="6" t="s">
        <v>61</v>
      </c>
      <c r="C21" s="114">
        <v>432.26900000000001</v>
      </c>
      <c r="D21" s="17"/>
      <c r="E21" s="17"/>
      <c r="F21" s="17"/>
      <c r="G21" s="17"/>
      <c r="H21" s="17"/>
      <c r="I21" s="17"/>
      <c r="J21" s="17"/>
      <c r="K21" s="17"/>
      <c r="L21" s="17"/>
      <c r="M21" s="17"/>
      <c r="N21" s="17"/>
    </row>
    <row r="22" spans="1:14" x14ac:dyDescent="0.25">
      <c r="A22" s="17"/>
      <c r="B22" s="6" t="s">
        <v>62</v>
      </c>
      <c r="C22" s="114">
        <v>445.428</v>
      </c>
      <c r="D22" s="17"/>
      <c r="E22" s="17"/>
      <c r="F22" s="17"/>
      <c r="G22" s="17"/>
      <c r="H22" s="17"/>
      <c r="I22" s="17"/>
      <c r="J22" s="17"/>
      <c r="K22" s="17"/>
      <c r="L22" s="17"/>
      <c r="M22" s="17"/>
      <c r="N22" s="17"/>
    </row>
    <row r="23" spans="1:14" x14ac:dyDescent="0.25">
      <c r="A23" s="17"/>
      <c r="B23" s="6" t="s">
        <v>63</v>
      </c>
      <c r="C23" s="114">
        <v>435.863</v>
      </c>
      <c r="D23" s="17"/>
      <c r="E23" s="17"/>
      <c r="F23" s="17"/>
      <c r="G23" s="17"/>
      <c r="H23" s="17"/>
      <c r="I23" s="17"/>
      <c r="J23" s="17"/>
      <c r="K23" s="17"/>
      <c r="L23" s="17"/>
      <c r="M23" s="17"/>
      <c r="N23" s="17"/>
    </row>
    <row r="24" spans="1:14" x14ac:dyDescent="0.25">
      <c r="A24" s="17"/>
      <c r="B24" s="6" t="s">
        <v>64</v>
      </c>
      <c r="C24" s="114">
        <v>438.01900000000001</v>
      </c>
      <c r="D24" s="17"/>
      <c r="E24" s="17"/>
      <c r="F24" s="17"/>
      <c r="G24" s="17"/>
      <c r="H24" s="17"/>
      <c r="I24" s="17"/>
      <c r="J24" s="17"/>
      <c r="K24" s="17"/>
      <c r="L24" s="17"/>
      <c r="M24" s="17"/>
      <c r="N24" s="17"/>
    </row>
    <row r="25" spans="1:14" x14ac:dyDescent="0.25">
      <c r="A25" s="17"/>
      <c r="B25" s="6" t="s">
        <v>65</v>
      </c>
      <c r="C25" s="114">
        <v>451.125</v>
      </c>
      <c r="D25" s="17"/>
      <c r="E25" s="17"/>
      <c r="F25" s="17"/>
      <c r="G25" s="17"/>
      <c r="H25" s="17"/>
      <c r="I25" s="17"/>
      <c r="J25" s="17"/>
      <c r="K25" s="17"/>
      <c r="L25" s="17"/>
      <c r="M25" s="17"/>
      <c r="N25" s="17"/>
    </row>
    <row r="26" spans="1:14" x14ac:dyDescent="0.25">
      <c r="A26" s="17"/>
      <c r="B26" s="6" t="s">
        <v>66</v>
      </c>
      <c r="C26" s="114">
        <v>464.065</v>
      </c>
      <c r="D26" s="17"/>
      <c r="E26" s="17"/>
      <c r="F26" s="17"/>
      <c r="G26" s="17"/>
      <c r="H26" s="17"/>
      <c r="I26" s="17"/>
      <c r="J26" s="17"/>
      <c r="K26" s="17"/>
      <c r="L26" s="17"/>
      <c r="M26" s="17"/>
      <c r="N26" s="17"/>
    </row>
    <row r="27" spans="1:14" x14ac:dyDescent="0.25">
      <c r="A27" s="17"/>
      <c r="B27" s="6" t="s">
        <v>67</v>
      </c>
      <c r="C27" s="114">
        <v>459.09699999999998</v>
      </c>
      <c r="D27" s="17"/>
      <c r="E27" s="17"/>
      <c r="F27" s="17"/>
      <c r="G27" s="17"/>
      <c r="H27" s="17"/>
      <c r="I27" s="17"/>
      <c r="J27" s="17"/>
      <c r="K27" s="17"/>
      <c r="L27" s="17"/>
      <c r="M27" s="17"/>
      <c r="N27" s="17"/>
    </row>
    <row r="28" spans="1:14" x14ac:dyDescent="0.25">
      <c r="A28" s="17"/>
      <c r="B28" s="6" t="s">
        <v>68</v>
      </c>
      <c r="C28" s="114">
        <v>460.404</v>
      </c>
      <c r="D28" s="17"/>
      <c r="E28" s="17"/>
      <c r="F28" s="17"/>
      <c r="G28" s="17"/>
      <c r="H28" s="17"/>
      <c r="I28" s="17"/>
      <c r="J28" s="17"/>
      <c r="K28" s="17"/>
      <c r="L28" s="17"/>
      <c r="M28" s="17"/>
      <c r="N28" s="17"/>
    </row>
    <row r="29" spans="1:14" x14ac:dyDescent="0.25">
      <c r="A29" s="17"/>
      <c r="B29" s="6" t="s">
        <v>69</v>
      </c>
      <c r="C29" s="114">
        <v>471.44400000000002</v>
      </c>
      <c r="D29" s="17"/>
      <c r="E29" s="17"/>
      <c r="F29" s="17"/>
      <c r="G29" s="17"/>
      <c r="H29" s="17"/>
      <c r="I29" s="17"/>
      <c r="J29" s="17"/>
      <c r="K29" s="17"/>
      <c r="L29" s="17"/>
      <c r="M29" s="17"/>
      <c r="N29" s="17"/>
    </row>
    <row r="30" spans="1:14" x14ac:dyDescent="0.25">
      <c r="A30" s="17"/>
      <c r="B30" s="6" t="s">
        <v>70</v>
      </c>
      <c r="C30" s="114">
        <v>484.12099999999998</v>
      </c>
      <c r="D30" s="17"/>
      <c r="E30" s="17"/>
      <c r="F30" s="17"/>
      <c r="G30" s="17"/>
      <c r="H30" s="17"/>
      <c r="I30" s="17"/>
      <c r="J30" s="17"/>
      <c r="K30" s="17"/>
      <c r="L30" s="17"/>
      <c r="M30" s="17"/>
      <c r="N30" s="17"/>
    </row>
    <row r="31" spans="1:14" x14ac:dyDescent="0.25">
      <c r="A31" s="17"/>
      <c r="B31" s="6" t="s">
        <v>71</v>
      </c>
      <c r="C31" s="114">
        <v>472.14499999999998</v>
      </c>
      <c r="E31" s="17"/>
      <c r="F31" s="17"/>
    </row>
    <row r="32" spans="1:14" x14ac:dyDescent="0.25">
      <c r="A32" s="17"/>
      <c r="B32" s="6" t="s">
        <v>72</v>
      </c>
      <c r="C32" s="114">
        <v>474.66500000000002</v>
      </c>
      <c r="E32" s="17"/>
      <c r="F32" s="17"/>
    </row>
    <row r="33" spans="1:6" x14ac:dyDescent="0.25">
      <c r="A33" s="17"/>
      <c r="B33" s="6" t="s">
        <v>73</v>
      </c>
      <c r="C33" s="114">
        <v>483.786</v>
      </c>
      <c r="E33" s="17"/>
      <c r="F33" s="17"/>
    </row>
    <row r="34" spans="1:6" x14ac:dyDescent="0.25">
      <c r="A34" s="17"/>
      <c r="B34" s="6" t="s">
        <v>74</v>
      </c>
      <c r="C34" s="114">
        <v>497.42</v>
      </c>
      <c r="E34" s="17"/>
      <c r="F34" s="17"/>
    </row>
    <row r="35" spans="1:6" x14ac:dyDescent="0.25">
      <c r="A35" s="17"/>
      <c r="B35" s="6" t="s">
        <v>75</v>
      </c>
      <c r="C35" s="114">
        <v>487.96600000000001</v>
      </c>
      <c r="E35" s="17"/>
      <c r="F35" s="17"/>
    </row>
    <row r="36" spans="1:6" x14ac:dyDescent="0.25">
      <c r="A36" s="17"/>
      <c r="B36" s="6" t="s">
        <v>76</v>
      </c>
      <c r="C36" s="114">
        <v>492.661</v>
      </c>
      <c r="E36" s="17"/>
      <c r="F36" s="17"/>
    </row>
    <row r="37" spans="1:6" x14ac:dyDescent="0.25">
      <c r="A37" s="17"/>
      <c r="B37" s="6" t="s">
        <v>77</v>
      </c>
      <c r="C37" s="114">
        <v>501.19600000000003</v>
      </c>
      <c r="E37" s="17"/>
      <c r="F37" s="17"/>
    </row>
    <row r="38" spans="1:6" x14ac:dyDescent="0.25">
      <c r="A38" s="17"/>
      <c r="B38" s="6" t="s">
        <v>78</v>
      </c>
      <c r="C38" s="114">
        <v>522.93200000000002</v>
      </c>
      <c r="E38" s="17"/>
      <c r="F38" s="17"/>
    </row>
    <row r="39" spans="1:6" x14ac:dyDescent="0.25">
      <c r="A39" s="17"/>
      <c r="B39" s="6" t="s">
        <v>79</v>
      </c>
      <c r="C39" s="114">
        <v>510.32900000000001</v>
      </c>
      <c r="E39" s="17"/>
      <c r="F39" s="17"/>
    </row>
    <row r="40" spans="1:6" x14ac:dyDescent="0.25">
      <c r="A40" s="17"/>
      <c r="B40" s="6" t="s">
        <v>80</v>
      </c>
      <c r="C40" s="114">
        <v>514.91099999999994</v>
      </c>
      <c r="E40" s="17"/>
      <c r="F40" s="17"/>
    </row>
    <row r="41" spans="1:6" x14ac:dyDescent="0.25">
      <c r="A41" s="17"/>
      <c r="B41" s="6" t="s">
        <v>81</v>
      </c>
      <c r="C41" s="114">
        <v>524.76599999999996</v>
      </c>
      <c r="E41" s="17"/>
      <c r="F41" s="17"/>
    </row>
    <row r="42" spans="1:6" x14ac:dyDescent="0.25">
      <c r="A42" s="17"/>
      <c r="B42" s="6" t="s">
        <v>82</v>
      </c>
      <c r="C42" s="114">
        <v>547.21600000000001</v>
      </c>
      <c r="E42" s="17"/>
      <c r="F42" s="17"/>
    </row>
    <row r="43" spans="1:6" x14ac:dyDescent="0.25">
      <c r="A43" s="17"/>
      <c r="B43" s="6" t="s">
        <v>83</v>
      </c>
      <c r="C43" s="114">
        <v>527.72400000000005</v>
      </c>
      <c r="E43" s="17"/>
      <c r="F43" s="17"/>
    </row>
    <row r="44" spans="1:6" x14ac:dyDescent="0.25">
      <c r="A44" s="17"/>
      <c r="B44" s="6" t="s">
        <v>84</v>
      </c>
      <c r="C44" s="114">
        <v>534.63400000000001</v>
      </c>
      <c r="E44" s="17"/>
      <c r="F44" s="17"/>
    </row>
    <row r="45" spans="1:6" x14ac:dyDescent="0.25">
      <c r="A45" s="17"/>
      <c r="B45" s="6" t="s">
        <v>85</v>
      </c>
      <c r="C45" s="114">
        <v>544.41399999999999</v>
      </c>
      <c r="E45" s="17"/>
      <c r="F45" s="17"/>
    </row>
    <row r="46" spans="1:6" x14ac:dyDescent="0.25">
      <c r="A46" s="17"/>
      <c r="B46" s="6" t="s">
        <v>86</v>
      </c>
      <c r="C46" s="114">
        <v>564.78700000000003</v>
      </c>
      <c r="E46" s="17"/>
      <c r="F46" s="17"/>
    </row>
    <row r="47" spans="1:6" x14ac:dyDescent="0.25">
      <c r="A47" s="17"/>
      <c r="B47" s="6" t="s">
        <v>87</v>
      </c>
      <c r="C47" s="114">
        <v>546.00400000000002</v>
      </c>
      <c r="E47" s="17"/>
      <c r="F47" s="17"/>
    </row>
    <row r="48" spans="1:6" x14ac:dyDescent="0.25">
      <c r="A48" s="17"/>
      <c r="B48" s="6" t="s">
        <v>88</v>
      </c>
      <c r="C48" s="114">
        <v>556.32899999999995</v>
      </c>
      <c r="E48" s="17"/>
      <c r="F48" s="17"/>
    </row>
    <row r="49" spans="1:6" x14ac:dyDescent="0.25">
      <c r="A49" s="17"/>
      <c r="B49" s="6" t="s">
        <v>89</v>
      </c>
      <c r="C49" s="114">
        <v>562.803</v>
      </c>
      <c r="E49" s="17"/>
      <c r="F49" s="17"/>
    </row>
    <row r="50" spans="1:6" x14ac:dyDescent="0.25">
      <c r="A50" s="17"/>
      <c r="B50" s="6" t="s">
        <v>90</v>
      </c>
      <c r="C50" s="114">
        <v>587.82500000000005</v>
      </c>
      <c r="E50" s="17"/>
      <c r="F50" s="17"/>
    </row>
    <row r="51" spans="1:6" x14ac:dyDescent="0.25">
      <c r="A51" s="17"/>
      <c r="B51" s="6" t="s">
        <v>91</v>
      </c>
      <c r="C51" s="114">
        <v>556.4</v>
      </c>
      <c r="E51" s="17"/>
      <c r="F51" s="17"/>
    </row>
    <row r="52" spans="1:6" x14ac:dyDescent="0.25">
      <c r="A52" s="17"/>
      <c r="B52" s="6" t="s">
        <v>92</v>
      </c>
      <c r="C52" s="114">
        <v>474.34699999999998</v>
      </c>
      <c r="E52" s="17"/>
      <c r="F52" s="17"/>
    </row>
    <row r="53" spans="1:6" x14ac:dyDescent="0.25">
      <c r="A53" s="17"/>
      <c r="B53" s="6" t="s">
        <v>93</v>
      </c>
      <c r="C53" s="114">
        <v>530.30899999999997</v>
      </c>
      <c r="E53" s="17"/>
      <c r="F53" s="17"/>
    </row>
    <row r="54" spans="1:6" x14ac:dyDescent="0.25">
      <c r="A54" s="17"/>
      <c r="B54" s="6" t="s">
        <v>94</v>
      </c>
      <c r="C54" s="114">
        <v>563.66399999999999</v>
      </c>
      <c r="E54" s="17"/>
      <c r="F54" s="17"/>
    </row>
    <row r="55" spans="1:6" x14ac:dyDescent="0.25">
      <c r="A55" s="17"/>
      <c r="B55" s="6" t="s">
        <v>95</v>
      </c>
      <c r="C55" s="114">
        <v>541.67600000000004</v>
      </c>
      <c r="E55" s="17"/>
      <c r="F55" s="17"/>
    </row>
    <row r="56" spans="1:6" x14ac:dyDescent="0.25">
      <c r="A56" s="17"/>
      <c r="B56" s="6" t="s">
        <v>96</v>
      </c>
      <c r="C56" s="114">
        <v>569.67100000000005</v>
      </c>
      <c r="E56" s="17"/>
      <c r="F56" s="17"/>
    </row>
    <row r="57" spans="1:6" x14ac:dyDescent="0.25">
      <c r="A57" s="17"/>
      <c r="B57" s="6" t="s">
        <v>97</v>
      </c>
      <c r="C57" s="114">
        <v>584.45299999999997</v>
      </c>
      <c r="E57" s="17"/>
      <c r="F57" s="17"/>
    </row>
    <row r="58" spans="1:6" x14ac:dyDescent="0.25">
      <c r="A58" s="17"/>
      <c r="B58" s="6" t="s">
        <v>98</v>
      </c>
      <c r="C58" s="114">
        <v>626.85199999999998</v>
      </c>
      <c r="E58" s="17"/>
      <c r="F58" s="17"/>
    </row>
    <row r="59" spans="1:6" x14ac:dyDescent="0.25">
      <c r="A59" s="17"/>
      <c r="B59" s="6" t="s">
        <v>99</v>
      </c>
      <c r="C59" s="114">
        <v>619.42200000000003</v>
      </c>
      <c r="E59" s="17"/>
      <c r="F59" s="17"/>
    </row>
    <row r="60" spans="1:6" x14ac:dyDescent="0.25">
      <c r="A60" s="17"/>
      <c r="B60" s="6" t="s">
        <v>100</v>
      </c>
      <c r="C60" s="114">
        <v>628.346</v>
      </c>
      <c r="E60" s="17"/>
      <c r="F60" s="17"/>
    </row>
    <row r="61" spans="1:6" x14ac:dyDescent="0.25">
      <c r="A61" s="17"/>
      <c r="B61" s="6" t="s">
        <v>101</v>
      </c>
      <c r="C61" s="114">
        <v>649.71600000000001</v>
      </c>
      <c r="E61" s="17"/>
      <c r="F61" s="17"/>
    </row>
    <row r="62" spans="1:6" x14ac:dyDescent="0.25">
      <c r="A62" s="18"/>
      <c r="B62" s="6" t="s">
        <v>102</v>
      </c>
      <c r="C62" s="114">
        <v>683.46500000000003</v>
      </c>
      <c r="E62" s="17"/>
      <c r="F62" s="17"/>
    </row>
    <row r="63" spans="1:6" x14ac:dyDescent="0.25">
      <c r="A63" s="18"/>
      <c r="B63" s="6" t="s">
        <v>103</v>
      </c>
      <c r="C63" s="114">
        <v>672.80899999999997</v>
      </c>
      <c r="E63" s="17"/>
      <c r="F63" s="17"/>
    </row>
    <row r="64" spans="1:6" x14ac:dyDescent="0.25">
      <c r="A64" s="17"/>
      <c r="B64" s="6" t="s">
        <v>104</v>
      </c>
      <c r="C64" s="114">
        <v>679.69</v>
      </c>
      <c r="E64" s="17"/>
      <c r="F64" s="17"/>
    </row>
    <row r="65" spans="1:22" x14ac:dyDescent="0.25">
      <c r="A65" s="17"/>
      <c r="B65" s="6" t="s">
        <v>105</v>
      </c>
      <c r="C65" s="114">
        <v>694.84400000000005</v>
      </c>
      <c r="E65" s="17"/>
      <c r="F65" s="17"/>
    </row>
    <row r="66" spans="1:22" x14ac:dyDescent="0.25">
      <c r="A66" s="17"/>
      <c r="B66" s="6" t="s">
        <v>106</v>
      </c>
      <c r="C66" s="114">
        <v>704.82100000000003</v>
      </c>
      <c r="E66" s="17"/>
      <c r="F66" s="17"/>
    </row>
    <row r="67" spans="1:22" x14ac:dyDescent="0.25">
      <c r="A67" s="17"/>
      <c r="B67" s="6" t="s">
        <v>107</v>
      </c>
      <c r="C67" s="114">
        <v>710.15</v>
      </c>
      <c r="E67" s="17"/>
      <c r="F67" s="17"/>
    </row>
    <row r="68" spans="1:22" x14ac:dyDescent="0.25">
      <c r="A68" s="17"/>
      <c r="B68" s="6" t="s">
        <v>108</v>
      </c>
      <c r="C68" s="114">
        <v>709.93899999999996</v>
      </c>
      <c r="E68" s="17"/>
      <c r="F68" s="17"/>
    </row>
    <row r="69" spans="1:22" x14ac:dyDescent="0.25">
      <c r="A69" s="17"/>
      <c r="B69" s="6" t="s">
        <v>109</v>
      </c>
      <c r="C69" s="114">
        <v>727.38800000000003</v>
      </c>
      <c r="E69" s="17"/>
      <c r="F69" s="17"/>
    </row>
    <row r="70" spans="1:22" x14ac:dyDescent="0.25">
      <c r="A70" s="17"/>
      <c r="B70" s="6" t="s">
        <v>110</v>
      </c>
      <c r="C70" s="114">
        <v>742.77700000000004</v>
      </c>
      <c r="E70" s="17"/>
      <c r="F70" s="17"/>
    </row>
    <row r="71" spans="1:22" x14ac:dyDescent="0.25">
      <c r="A71" s="17"/>
      <c r="B71" s="6" t="s">
        <v>111</v>
      </c>
      <c r="C71" s="114">
        <v>753.85</v>
      </c>
      <c r="E71" s="17"/>
      <c r="F71" s="17"/>
    </row>
    <row r="72" spans="1:22" x14ac:dyDescent="0.25">
      <c r="A72" s="17"/>
      <c r="B72" s="6" t="s">
        <v>112</v>
      </c>
      <c r="C72" s="114">
        <v>746.78800000000001</v>
      </c>
      <c r="E72" s="17"/>
      <c r="F72" s="17"/>
    </row>
    <row r="73" spans="1:22" x14ac:dyDescent="0.25">
      <c r="A73" s="17"/>
      <c r="B73" s="6" t="s">
        <v>113</v>
      </c>
      <c r="C73" s="114">
        <v>760.09500000000003</v>
      </c>
      <c r="E73" s="17"/>
      <c r="F73" s="17"/>
    </row>
    <row r="74" spans="1:22" x14ac:dyDescent="0.25">
      <c r="A74" s="17"/>
      <c r="B74" s="6" t="s">
        <v>114</v>
      </c>
      <c r="C74" s="114">
        <v>773.13300000000004</v>
      </c>
      <c r="E74" s="17"/>
      <c r="F74" s="17"/>
    </row>
    <row r="75" spans="1:22" x14ac:dyDescent="0.25">
      <c r="A75" s="17"/>
      <c r="B75" s="6" t="s">
        <v>115</v>
      </c>
      <c r="C75" s="114">
        <v>789.78300000000002</v>
      </c>
      <c r="E75" s="17"/>
      <c r="F75" s="17"/>
    </row>
    <row r="76" spans="1:22" x14ac:dyDescent="0.25">
      <c r="A76" s="17"/>
      <c r="B76" s="6" t="s">
        <v>116</v>
      </c>
      <c r="C76" s="114">
        <v>780.01300000000003</v>
      </c>
      <c r="E76" s="17"/>
      <c r="F76" s="17"/>
    </row>
    <row r="77" spans="1:22" x14ac:dyDescent="0.25">
      <c r="A77" s="17"/>
      <c r="B77" s="6" t="s">
        <v>117</v>
      </c>
      <c r="C77" s="114">
        <v>791.75872500000003</v>
      </c>
      <c r="E77" s="17"/>
      <c r="F77" s="17"/>
    </row>
    <row r="78" spans="1:22" x14ac:dyDescent="0.25">
      <c r="A78" s="17"/>
      <c r="B78" s="6" t="s">
        <v>118</v>
      </c>
      <c r="C78" s="114">
        <v>799.90423600000008</v>
      </c>
      <c r="E78" s="17"/>
      <c r="F78" s="17"/>
    </row>
    <row r="79" spans="1:22" s="2" customFormat="1" ht="15.75" x14ac:dyDescent="0.25">
      <c r="A79" s="7"/>
      <c r="B79" s="47" t="s">
        <v>119</v>
      </c>
      <c r="C79" s="114">
        <v>808.19112699999994</v>
      </c>
      <c r="D79" s="116"/>
      <c r="E79" s="116"/>
      <c r="F79" s="116"/>
      <c r="G79" s="116"/>
      <c r="H79" s="116"/>
      <c r="J79" s="116"/>
      <c r="K79" s="116"/>
      <c r="L79" s="116"/>
      <c r="M79" s="116"/>
      <c r="N79" s="116"/>
      <c r="O79" s="116"/>
      <c r="Q79" s="116"/>
      <c r="R79" s="116"/>
      <c r="U79" s="27"/>
      <c r="V79" s="27"/>
    </row>
    <row r="80" spans="1:22" s="2" customFormat="1" ht="15.75" x14ac:dyDescent="0.25">
      <c r="A80" s="7"/>
      <c r="B80" s="47" t="s">
        <v>120</v>
      </c>
      <c r="C80" s="114">
        <v>802.73520900000005</v>
      </c>
      <c r="D80" s="116"/>
      <c r="E80" s="116"/>
      <c r="F80" s="116"/>
      <c r="G80" s="116"/>
      <c r="H80" s="116"/>
      <c r="J80" s="116"/>
      <c r="K80" s="116"/>
      <c r="L80" s="116"/>
      <c r="M80" s="116"/>
      <c r="N80" s="116"/>
      <c r="O80" s="116"/>
      <c r="Q80" s="116"/>
      <c r="R80" s="116"/>
      <c r="U80" s="27"/>
      <c r="V80" s="27"/>
    </row>
    <row r="81" spans="1:22" s="2" customFormat="1" ht="15.75" x14ac:dyDescent="0.25">
      <c r="A81" s="7"/>
      <c r="B81" s="47" t="s">
        <v>121</v>
      </c>
      <c r="C81" s="114">
        <v>816.57220299999994</v>
      </c>
      <c r="D81" s="116"/>
      <c r="E81" s="116"/>
      <c r="F81" s="116"/>
      <c r="G81" s="116"/>
      <c r="H81" s="116"/>
      <c r="J81" s="116"/>
      <c r="K81" s="116"/>
      <c r="L81" s="116"/>
      <c r="M81" s="116"/>
      <c r="N81" s="116"/>
      <c r="O81" s="116"/>
      <c r="Q81" s="116"/>
      <c r="R81" s="116"/>
      <c r="U81" s="27"/>
      <c r="V81" s="27"/>
    </row>
    <row r="82" spans="1:22" s="2" customFormat="1" ht="15.75" x14ac:dyDescent="0.25">
      <c r="A82" s="7"/>
      <c r="B82" s="47" t="s">
        <v>122</v>
      </c>
      <c r="C82" s="114">
        <v>836.31821400000001</v>
      </c>
      <c r="D82" s="116"/>
      <c r="E82" s="116"/>
      <c r="F82" s="116"/>
      <c r="G82" s="116"/>
      <c r="H82" s="116"/>
      <c r="J82" s="116"/>
      <c r="K82" s="116"/>
      <c r="L82" s="116"/>
      <c r="M82" s="116"/>
      <c r="N82" s="116"/>
      <c r="O82" s="116"/>
      <c r="Q82" s="116"/>
      <c r="R82" s="116"/>
      <c r="U82" s="27"/>
      <c r="V82" s="27"/>
    </row>
    <row r="83" spans="1:22" x14ac:dyDescent="0.25">
      <c r="A83" s="17"/>
      <c r="B83" s="6" t="s">
        <v>123</v>
      </c>
      <c r="C83" s="114">
        <v>835.46234800000002</v>
      </c>
      <c r="E83" s="17"/>
      <c r="F83" s="17"/>
    </row>
    <row r="84" spans="1:22" x14ac:dyDescent="0.25">
      <c r="B84" s="47" t="s">
        <v>124</v>
      </c>
      <c r="C84" s="114">
        <v>830.70093500000007</v>
      </c>
    </row>
    <row r="85" spans="1:22" x14ac:dyDescent="0.25">
      <c r="B85" s="47" t="s">
        <v>125</v>
      </c>
      <c r="C85" s="114">
        <v>847.16959600000007</v>
      </c>
    </row>
    <row r="86" spans="1:22" x14ac:dyDescent="0.25">
      <c r="B86" s="47" t="s">
        <v>126</v>
      </c>
      <c r="C86" s="114">
        <v>868.4518710000001</v>
      </c>
    </row>
    <row r="87" spans="1:22" x14ac:dyDescent="0.25">
      <c r="B87" s="47" t="s">
        <v>127</v>
      </c>
      <c r="C87" s="114">
        <v>867.85517200000004</v>
      </c>
    </row>
    <row r="88" spans="1:22" x14ac:dyDescent="0.25">
      <c r="B88" s="47" t="s">
        <v>128</v>
      </c>
      <c r="C88" s="114">
        <v>862.77229799999998</v>
      </c>
    </row>
    <row r="89" spans="1:22" x14ac:dyDescent="0.25">
      <c r="B89" s="47" t="s">
        <v>129</v>
      </c>
      <c r="C89" s="114">
        <v>879.31939599999998</v>
      </c>
    </row>
    <row r="90" spans="1:22" x14ac:dyDescent="0.25">
      <c r="B90" s="47" t="s">
        <v>130</v>
      </c>
      <c r="C90" s="114">
        <v>900.931603</v>
      </c>
    </row>
    <row r="91" spans="1:22" x14ac:dyDescent="0.25">
      <c r="B91" s="47" t="s">
        <v>131</v>
      </c>
      <c r="C91" s="114">
        <v>900.00451100000009</v>
      </c>
    </row>
    <row r="92" spans="1:22" x14ac:dyDescent="0.25">
      <c r="B92" s="47" t="s">
        <v>132</v>
      </c>
      <c r="C92" s="114">
        <v>894.53716299999996</v>
      </c>
    </row>
    <row r="93" spans="1:22" x14ac:dyDescent="0.25">
      <c r="B93" s="47" t="s">
        <v>133</v>
      </c>
      <c r="C93" s="114">
        <v>911.69074999999998</v>
      </c>
    </row>
    <row r="94" spans="1:22" x14ac:dyDescent="0.25">
      <c r="B94" s="47" t="s">
        <v>134</v>
      </c>
      <c r="C94" s="114">
        <v>934.05170799999996</v>
      </c>
    </row>
    <row r="95" spans="1:22" x14ac:dyDescent="0.25">
      <c r="B95" s="47" t="s">
        <v>135</v>
      </c>
      <c r="C95" s="114">
        <v>932.77795400000002</v>
      </c>
    </row>
    <row r="96" spans="1:22" x14ac:dyDescent="0.25">
      <c r="B96" s="47" t="s">
        <v>645</v>
      </c>
      <c r="C96" s="114">
        <v>926.88515300000006</v>
      </c>
    </row>
    <row r="97" spans="2:5" x14ac:dyDescent="0.25">
      <c r="B97" s="47" t="s">
        <v>646</v>
      </c>
      <c r="C97" s="114">
        <v>943.95603300000005</v>
      </c>
    </row>
    <row r="98" spans="2:5" x14ac:dyDescent="0.25">
      <c r="B98" s="47" t="s">
        <v>647</v>
      </c>
      <c r="C98" s="114">
        <v>966.48594200000002</v>
      </c>
    </row>
    <row r="99" spans="2:5" ht="15.75" thickBot="1" x14ac:dyDescent="0.3">
      <c r="B99" s="300" t="s">
        <v>648</v>
      </c>
      <c r="C99" s="114">
        <v>964.54754500000001</v>
      </c>
    </row>
    <row r="100" spans="2:5" ht="15.75" x14ac:dyDescent="0.25">
      <c r="B100" s="552" t="s">
        <v>205</v>
      </c>
      <c r="C100" s="553"/>
    </row>
    <row r="101" spans="2:5" x14ac:dyDescent="0.25">
      <c r="B101" s="13">
        <v>2008</v>
      </c>
      <c r="C101" s="14">
        <v>1602.2170000000001</v>
      </c>
    </row>
    <row r="102" spans="2:5" x14ac:dyDescent="0.25">
      <c r="B102" s="13">
        <v>2009</v>
      </c>
      <c r="C102" s="14">
        <v>1559.405</v>
      </c>
    </row>
    <row r="103" spans="2:5" x14ac:dyDescent="0.25">
      <c r="B103" s="13">
        <v>2010</v>
      </c>
      <c r="C103" s="14">
        <v>1615.8389999999999</v>
      </c>
    </row>
    <row r="104" spans="2:5" x14ac:dyDescent="0.25">
      <c r="B104" s="13">
        <v>2011</v>
      </c>
      <c r="C104" s="14">
        <v>1669.9449999999999</v>
      </c>
    </row>
    <row r="105" spans="2:5" x14ac:dyDescent="0.25">
      <c r="B105" s="13">
        <v>2012</v>
      </c>
      <c r="C105" s="14">
        <v>1721.7080000000001</v>
      </c>
    </row>
    <row r="106" spans="2:5" x14ac:dyDescent="0.25">
      <c r="B106" s="13">
        <v>2013</v>
      </c>
      <c r="C106" s="14">
        <v>1789.0719999999999</v>
      </c>
    </row>
    <row r="107" spans="2:5" x14ac:dyDescent="0.25">
      <c r="B107" s="13">
        <v>2014</v>
      </c>
      <c r="C107" s="14">
        <v>1875.066</v>
      </c>
      <c r="E107" s="21"/>
    </row>
    <row r="108" spans="2:5" x14ac:dyDescent="0.25">
      <c r="B108" s="13">
        <v>2015</v>
      </c>
      <c r="C108" s="14">
        <v>1928.0160000000001</v>
      </c>
      <c r="D108" s="20"/>
      <c r="E108" s="21"/>
    </row>
    <row r="109" spans="2:5" x14ac:dyDescent="0.25">
      <c r="B109" s="13">
        <v>2016</v>
      </c>
      <c r="C109" s="14">
        <v>2004.7550000000001</v>
      </c>
      <c r="D109" s="20"/>
      <c r="E109" s="21"/>
    </row>
    <row r="110" spans="2:5" x14ac:dyDescent="0.25">
      <c r="B110" s="13">
        <v>2017</v>
      </c>
      <c r="C110" s="14">
        <v>2097.2220000000002</v>
      </c>
      <c r="E110" s="21"/>
    </row>
    <row r="111" spans="2:5" x14ac:dyDescent="0.25">
      <c r="B111" s="13">
        <v>2018</v>
      </c>
      <c r="C111" s="14">
        <v>2171.5590000000002</v>
      </c>
      <c r="E111" s="21"/>
    </row>
    <row r="112" spans="2:5" x14ac:dyDescent="0.25">
      <c r="B112" s="13">
        <v>2019</v>
      </c>
      <c r="C112" s="14">
        <v>2252.9609999999998</v>
      </c>
      <c r="E112" s="21"/>
    </row>
    <row r="113" spans="1:5" x14ac:dyDescent="0.25">
      <c r="B113" s="13">
        <v>2020</v>
      </c>
      <c r="C113" s="14">
        <v>2124.7199999999998</v>
      </c>
      <c r="E113" s="21"/>
    </row>
    <row r="114" spans="1:5" x14ac:dyDescent="0.25">
      <c r="B114" s="13">
        <v>2021</v>
      </c>
      <c r="C114" s="14">
        <v>2322.652</v>
      </c>
      <c r="E114" s="21"/>
    </row>
    <row r="115" spans="1:5" x14ac:dyDescent="0.25">
      <c r="B115" s="13">
        <v>2022</v>
      </c>
      <c r="C115" s="14">
        <v>2580.9490000000001</v>
      </c>
      <c r="E115" s="21"/>
    </row>
    <row r="116" spans="1:5" x14ac:dyDescent="0.25">
      <c r="B116" s="13">
        <v>2023</v>
      </c>
      <c r="C116" s="14">
        <v>2752.1640000000002</v>
      </c>
      <c r="E116" s="21"/>
    </row>
    <row r="117" spans="1:5" x14ac:dyDescent="0.25">
      <c r="B117" s="13">
        <v>2024</v>
      </c>
      <c r="C117" s="14">
        <v>2890.2539999999999</v>
      </c>
    </row>
    <row r="118" spans="1:5" x14ac:dyDescent="0.25">
      <c r="B118" s="13">
        <v>2025</v>
      </c>
      <c r="C118" s="14">
        <v>3033.866</v>
      </c>
      <c r="D118" s="21"/>
    </row>
    <row r="119" spans="1:5" x14ac:dyDescent="0.25">
      <c r="B119" s="13">
        <v>2026</v>
      </c>
      <c r="C119" s="14">
        <v>3161.4589610000003</v>
      </c>
      <c r="D119" s="21"/>
    </row>
    <row r="120" spans="1:5" x14ac:dyDescent="0.25">
      <c r="B120" s="13">
        <v>2027</v>
      </c>
      <c r="C120" s="14">
        <v>3263.8167530000001</v>
      </c>
    </row>
    <row r="121" spans="1:5" x14ac:dyDescent="0.25">
      <c r="B121" s="13">
        <v>2028</v>
      </c>
      <c r="C121" s="14">
        <v>3381.7847499999998</v>
      </c>
    </row>
    <row r="122" spans="1:5" x14ac:dyDescent="0.25">
      <c r="B122" s="13">
        <v>2029</v>
      </c>
      <c r="C122" s="14">
        <v>3510.8784690000002</v>
      </c>
    </row>
    <row r="123" spans="1:5" x14ac:dyDescent="0.25">
      <c r="B123" s="13">
        <v>2030</v>
      </c>
      <c r="C123" s="14">
        <v>3640.2841320000002</v>
      </c>
      <c r="D123" s="205"/>
    </row>
    <row r="124" spans="1:5" ht="15.75" thickBot="1" x14ac:dyDescent="0.3">
      <c r="B124" s="213">
        <v>2031</v>
      </c>
      <c r="C124" s="14">
        <v>3770.1050820000005</v>
      </c>
    </row>
    <row r="125" spans="1:5" ht="15.75" x14ac:dyDescent="0.25">
      <c r="A125" s="312"/>
      <c r="B125" s="552" t="s">
        <v>206</v>
      </c>
      <c r="C125" s="553"/>
    </row>
    <row r="126" spans="1:5" x14ac:dyDescent="0.25">
      <c r="B126" s="6" t="s">
        <v>136</v>
      </c>
      <c r="C126" s="14">
        <f ca="1">SUM(OFFSET(C$6,4*(ROW()-ROW(C$126)),0, 4, 1))</f>
        <v>1566.77</v>
      </c>
      <c r="D126" s="116"/>
    </row>
    <row r="127" spans="1:5" x14ac:dyDescent="0.25">
      <c r="B127" s="6" t="s">
        <v>137</v>
      </c>
      <c r="C127" s="14">
        <f t="shared" ref="C127:C148" ca="1" si="0">SUM(OFFSET(C$6,4*(ROW()-ROW(C$126)),0, 4, 1))</f>
        <v>1596.4780000000001</v>
      </c>
    </row>
    <row r="128" spans="1:5" x14ac:dyDescent="0.25">
      <c r="B128" s="6" t="s">
        <v>138</v>
      </c>
      <c r="C128" s="14">
        <f t="shared" ca="1" si="0"/>
        <v>1654.846</v>
      </c>
      <c r="D128" s="21"/>
    </row>
    <row r="129" spans="2:5" x14ac:dyDescent="0.25">
      <c r="B129" s="6" t="s">
        <v>139</v>
      </c>
      <c r="C129" s="14">
        <f t="shared" ca="1" si="0"/>
        <v>1706.9490000000001</v>
      </c>
    </row>
    <row r="130" spans="2:5" x14ac:dyDescent="0.25">
      <c r="B130" s="6" t="s">
        <v>140</v>
      </c>
      <c r="C130" s="14">
        <f t="shared" ca="1" si="0"/>
        <v>1770.4349999999999</v>
      </c>
      <c r="D130" s="21"/>
    </row>
    <row r="131" spans="2:5" x14ac:dyDescent="0.25">
      <c r="B131" s="6" t="s">
        <v>141</v>
      </c>
      <c r="C131" s="14">
        <f t="shared" ca="1" si="0"/>
        <v>1855.01</v>
      </c>
      <c r="D131" s="21"/>
    </row>
    <row r="132" spans="2:5" x14ac:dyDescent="0.25">
      <c r="B132" s="6" t="s">
        <v>142</v>
      </c>
      <c r="C132" s="14">
        <f t="shared" ca="1" si="0"/>
        <v>1914.7170000000001</v>
      </c>
    </row>
    <row r="133" spans="2:5" x14ac:dyDescent="0.25">
      <c r="B133" s="6" t="s">
        <v>143</v>
      </c>
      <c r="C133" s="14">
        <f t="shared" ca="1" si="0"/>
        <v>1979.2429999999999</v>
      </c>
    </row>
    <row r="134" spans="2:5" x14ac:dyDescent="0.25">
      <c r="B134" s="6" t="s">
        <v>144</v>
      </c>
      <c r="C134" s="14">
        <f t="shared" ca="1" si="0"/>
        <v>2072.9380000000001</v>
      </c>
    </row>
    <row r="135" spans="2:5" x14ac:dyDescent="0.25">
      <c r="B135" s="6" t="s">
        <v>145</v>
      </c>
      <c r="C135" s="14">
        <f t="shared" ca="1" si="0"/>
        <v>2153.9880000000003</v>
      </c>
      <c r="D135" s="21"/>
      <c r="E135" s="133"/>
    </row>
    <row r="136" spans="2:5" x14ac:dyDescent="0.25">
      <c r="B136" s="6" t="s">
        <v>146</v>
      </c>
      <c r="C136" s="14">
        <f t="shared" ca="1" si="0"/>
        <v>2229.9230000000002</v>
      </c>
      <c r="D136" s="21"/>
      <c r="E136" s="133"/>
    </row>
    <row r="137" spans="2:5" x14ac:dyDescent="0.25">
      <c r="B137" s="6" t="s">
        <v>147</v>
      </c>
      <c r="C137" s="14">
        <f t="shared" ca="1" si="0"/>
        <v>2148.8809999999999</v>
      </c>
      <c r="D137" s="21"/>
      <c r="E137" s="133"/>
    </row>
    <row r="138" spans="2:5" x14ac:dyDescent="0.25">
      <c r="B138" s="6" t="s">
        <v>148</v>
      </c>
      <c r="C138" s="14">
        <f t="shared" ca="1" si="0"/>
        <v>2259.4639999999999</v>
      </c>
      <c r="D138" s="21"/>
      <c r="E138" s="133"/>
    </row>
    <row r="139" spans="2:5" x14ac:dyDescent="0.25">
      <c r="B139" s="6" t="s">
        <v>149</v>
      </c>
      <c r="C139" s="14">
        <f t="shared" ca="1" si="0"/>
        <v>2524.3359999999998</v>
      </c>
      <c r="D139" s="21"/>
      <c r="E139" s="133"/>
    </row>
    <row r="140" spans="2:5" x14ac:dyDescent="0.25">
      <c r="B140" s="13" t="s">
        <v>150</v>
      </c>
      <c r="C140" s="14">
        <f t="shared" ca="1" si="0"/>
        <v>2730.808</v>
      </c>
    </row>
    <row r="141" spans="2:5" x14ac:dyDescent="0.25">
      <c r="B141" s="13" t="s">
        <v>151</v>
      </c>
      <c r="C141" s="14">
        <f t="shared" ca="1" si="0"/>
        <v>2852.2979999999998</v>
      </c>
    </row>
    <row r="142" spans="2:5" x14ac:dyDescent="0.25">
      <c r="B142" s="13" t="s">
        <v>152</v>
      </c>
      <c r="C142" s="14">
        <f t="shared" ca="1" si="0"/>
        <v>3003.51</v>
      </c>
    </row>
    <row r="143" spans="2:5" x14ac:dyDescent="0.25">
      <c r="B143" s="13" t="s">
        <v>153</v>
      </c>
      <c r="C143" s="14">
        <f t="shared" ca="1" si="0"/>
        <v>3134.6877250000002</v>
      </c>
    </row>
    <row r="144" spans="2:5" x14ac:dyDescent="0.25">
      <c r="B144" s="13" t="s">
        <v>154</v>
      </c>
      <c r="C144" s="14">
        <f t="shared" ca="1" si="0"/>
        <v>3227.4027749999996</v>
      </c>
    </row>
    <row r="145" spans="2:3" x14ac:dyDescent="0.25">
      <c r="B145" s="13" t="s">
        <v>155</v>
      </c>
      <c r="C145" s="14">
        <f t="shared" ca="1" si="0"/>
        <v>3349.6510929999999</v>
      </c>
    </row>
    <row r="146" spans="2:3" x14ac:dyDescent="0.25">
      <c r="B146" s="13" t="s">
        <v>156</v>
      </c>
      <c r="C146" s="14">
        <f t="shared" ca="1" si="0"/>
        <v>3478.398737</v>
      </c>
    </row>
    <row r="147" spans="2:3" x14ac:dyDescent="0.25">
      <c r="B147" s="13" t="s">
        <v>157</v>
      </c>
      <c r="C147" s="14">
        <f t="shared" ca="1" si="0"/>
        <v>3607.1640269999998</v>
      </c>
    </row>
    <row r="148" spans="2:3" x14ac:dyDescent="0.25">
      <c r="B148" s="13" t="s">
        <v>158</v>
      </c>
      <c r="C148" s="14">
        <f t="shared" ca="1" si="0"/>
        <v>3737.6708480000002</v>
      </c>
    </row>
    <row r="149" spans="2:3" ht="15.75" thickBot="1" x14ac:dyDescent="0.3">
      <c r="B149" s="13" t="s">
        <v>649</v>
      </c>
      <c r="C149" s="14">
        <v>3864.1605650000006</v>
      </c>
    </row>
    <row r="150" spans="2:3" x14ac:dyDescent="0.25">
      <c r="B150" s="375" t="s">
        <v>159</v>
      </c>
      <c r="C150" s="376"/>
    </row>
    <row r="151" spans="2:3" ht="15.75" thickBot="1" x14ac:dyDescent="0.3">
      <c r="B151" s="301" t="s">
        <v>207</v>
      </c>
      <c r="C151" s="302"/>
    </row>
  </sheetData>
  <mergeCells count="3">
    <mergeCell ref="B125:C125"/>
    <mergeCell ref="B2:C2"/>
    <mergeCell ref="B100:C100"/>
  </mergeCells>
  <phoneticPr fontId="91" type="noConversion"/>
  <hyperlinks>
    <hyperlink ref="A1" location="Contents!A1" display="Back to contents" xr:uid="{DB96D857-BC59-4600-A17D-CCF4E82CDCC7}"/>
  </hyperlinks>
  <pageMargins left="0.70866141732283472" right="0.70866141732283472" top="0.74803149606299213" bottom="0.74803149606299213" header="0.31496062992125984" footer="0.31496062992125984"/>
  <pageSetup paperSize="9" scale="49" orientation="portrait" r:id="rId1"/>
  <headerFooter>
    <oddHeader>&amp;C&amp;8March 2018 Economic and fiscal outlook: Supplementary economy tables</oddHeader>
  </headerFooter>
  <rowBreaks count="1" manualBreakCount="1">
    <brk id="83" min="1"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68280-4ABD-41C0-8CE6-1993990B6C08}">
  <sheetPr codeName="Sheet6">
    <tabColor theme="5"/>
  </sheetPr>
  <dimension ref="A1:N158"/>
  <sheetViews>
    <sheetView zoomScaleNormal="100" zoomScaleSheetLayoutView="100" workbookViewId="0"/>
  </sheetViews>
  <sheetFormatPr defaultColWidth="8.77734375" defaultRowHeight="12.75" x14ac:dyDescent="0.2"/>
  <cols>
    <col min="1" max="1" width="9.21875" style="37" customWidth="1"/>
    <col min="2" max="2" width="8.77734375" style="37"/>
    <col min="3" max="12" width="11.21875" style="37" customWidth="1"/>
    <col min="13" max="13" width="10.21875" style="37" bestFit="1" customWidth="1"/>
    <col min="14" max="16384" width="8.77734375" style="37"/>
  </cols>
  <sheetData>
    <row r="1" spans="1:14" ht="35.1" customHeight="1" thickBot="1" x14ac:dyDescent="0.25">
      <c r="A1" s="9" t="s">
        <v>22</v>
      </c>
      <c r="C1" s="478"/>
    </row>
    <row r="2" spans="1:14" ht="18.75" customHeight="1" thickBot="1" x14ac:dyDescent="0.35">
      <c r="A2" s="38"/>
      <c r="B2" s="558" t="s">
        <v>208</v>
      </c>
      <c r="C2" s="559"/>
      <c r="D2" s="559"/>
      <c r="E2" s="559"/>
      <c r="F2" s="559"/>
      <c r="G2" s="559"/>
      <c r="H2" s="559"/>
      <c r="I2" s="559"/>
      <c r="J2" s="559"/>
      <c r="K2" s="559"/>
      <c r="L2" s="303"/>
    </row>
    <row r="3" spans="1:14" ht="18.75" customHeight="1" thickBot="1" x14ac:dyDescent="0.35">
      <c r="A3" s="38"/>
      <c r="B3" s="72"/>
      <c r="C3" s="559" t="s">
        <v>209</v>
      </c>
      <c r="D3" s="559"/>
      <c r="E3" s="559"/>
      <c r="F3" s="559"/>
      <c r="G3" s="559"/>
      <c r="H3" s="558" t="s">
        <v>210</v>
      </c>
      <c r="I3" s="559"/>
      <c r="J3" s="559"/>
      <c r="K3" s="559"/>
      <c r="L3" s="560"/>
    </row>
    <row r="4" spans="1:14" ht="30.75" customHeight="1" x14ac:dyDescent="0.25">
      <c r="A4" s="38"/>
      <c r="B4" s="39"/>
      <c r="C4" s="561" t="s">
        <v>211</v>
      </c>
      <c r="D4" s="561"/>
      <c r="E4" s="561"/>
      <c r="F4" s="561"/>
      <c r="G4" s="206" t="s">
        <v>212</v>
      </c>
      <c r="H4" s="561" t="s">
        <v>211</v>
      </c>
      <c r="I4" s="561"/>
      <c r="J4" s="561"/>
      <c r="K4" s="561"/>
      <c r="L4" s="206" t="s">
        <v>212</v>
      </c>
      <c r="N4" s="469"/>
    </row>
    <row r="5" spans="1:14" ht="63" x14ac:dyDescent="0.25">
      <c r="A5" s="38"/>
      <c r="B5" s="39"/>
      <c r="C5" s="40" t="s">
        <v>213</v>
      </c>
      <c r="D5" s="40" t="s">
        <v>214</v>
      </c>
      <c r="E5" s="40" t="s">
        <v>215</v>
      </c>
      <c r="F5" s="217" t="s">
        <v>36</v>
      </c>
      <c r="G5" s="208" t="s">
        <v>214</v>
      </c>
      <c r="H5" s="40" t="s">
        <v>213</v>
      </c>
      <c r="I5" s="216" t="s">
        <v>214</v>
      </c>
      <c r="J5" s="40" t="s">
        <v>215</v>
      </c>
      <c r="K5" s="217" t="s">
        <v>36</v>
      </c>
      <c r="L5" s="211" t="s">
        <v>214</v>
      </c>
      <c r="M5" s="73"/>
    </row>
    <row r="6" spans="1:14" x14ac:dyDescent="0.2">
      <c r="A6" s="38"/>
      <c r="B6" s="41" t="s">
        <v>43</v>
      </c>
      <c r="C6" s="42">
        <v>100</v>
      </c>
      <c r="D6" s="42">
        <v>100</v>
      </c>
      <c r="E6" s="42">
        <v>100</v>
      </c>
      <c r="F6" s="42">
        <v>100</v>
      </c>
      <c r="G6" s="209">
        <v>5.8449544555739248</v>
      </c>
      <c r="H6" s="42">
        <v>100</v>
      </c>
      <c r="I6" s="42">
        <v>100</v>
      </c>
      <c r="J6" s="42">
        <v>100.00000000000001</v>
      </c>
      <c r="K6" s="42">
        <v>100.00000000000001</v>
      </c>
      <c r="L6" s="209">
        <v>7.3301624082769274</v>
      </c>
    </row>
    <row r="7" spans="1:14" x14ac:dyDescent="0.2">
      <c r="A7" s="38"/>
      <c r="B7" s="41" t="s">
        <v>44</v>
      </c>
      <c r="C7" s="42">
        <v>99.92394984415553</v>
      </c>
      <c r="D7" s="42">
        <v>100.80488933462304</v>
      </c>
      <c r="E7" s="42">
        <v>98.509003074220473</v>
      </c>
      <c r="F7" s="42">
        <v>99.26054953564099</v>
      </c>
      <c r="G7" s="209">
        <v>5.8919998706004142</v>
      </c>
      <c r="H7" s="42">
        <v>99.888430670103602</v>
      </c>
      <c r="I7" s="42">
        <v>100.76905701999631</v>
      </c>
      <c r="J7" s="42">
        <v>98.47398686007628</v>
      </c>
      <c r="K7" s="42">
        <v>99.225266175235959</v>
      </c>
      <c r="L7" s="209">
        <v>7.3865355368549119</v>
      </c>
    </row>
    <row r="8" spans="1:14" x14ac:dyDescent="0.2">
      <c r="A8" s="38"/>
      <c r="B8" s="41" t="s">
        <v>45</v>
      </c>
      <c r="C8" s="42">
        <v>99.271530007738633</v>
      </c>
      <c r="D8" s="42">
        <v>98.999831861450986</v>
      </c>
      <c r="E8" s="42">
        <v>96.842659788763683</v>
      </c>
      <c r="F8" s="42">
        <v>97.459160574977702</v>
      </c>
      <c r="G8" s="209">
        <v>5.7864950833965736</v>
      </c>
      <c r="H8" s="42">
        <v>99.201996843532058</v>
      </c>
      <c r="I8" s="42">
        <v>98.93048900388942</v>
      </c>
      <c r="J8" s="42">
        <v>96.774827888069012</v>
      </c>
      <c r="K8" s="42">
        <v>97.390896856113272</v>
      </c>
      <c r="L8" s="209">
        <v>7.2517655152876426</v>
      </c>
    </row>
    <row r="9" spans="1:14" x14ac:dyDescent="0.2">
      <c r="A9" s="38"/>
      <c r="B9" s="41" t="s">
        <v>46</v>
      </c>
      <c r="C9" s="42">
        <v>98.922915153507532</v>
      </c>
      <c r="D9" s="42">
        <v>100.68398021227532</v>
      </c>
      <c r="E9" s="42">
        <v>94.315942548633814</v>
      </c>
      <c r="F9" s="42">
        <v>95.229326826506025</v>
      </c>
      <c r="G9" s="209">
        <v>5.8849327874665551</v>
      </c>
      <c r="H9" s="42">
        <v>98.83161788912426</v>
      </c>
      <c r="I9" s="42">
        <v>100.59105763769959</v>
      </c>
      <c r="J9" s="42">
        <v>94.228897120089187</v>
      </c>
      <c r="K9" s="42">
        <v>95.141438423552771</v>
      </c>
      <c r="L9" s="209">
        <v>7.3734878930468328</v>
      </c>
    </row>
    <row r="10" spans="1:14" x14ac:dyDescent="0.2">
      <c r="A10" s="38"/>
      <c r="B10" s="41" t="s">
        <v>47</v>
      </c>
      <c r="C10" s="42">
        <v>98.207654065568263</v>
      </c>
      <c r="D10" s="42">
        <v>99.384544328300379</v>
      </c>
      <c r="E10" s="42">
        <v>93.760803495244829</v>
      </c>
      <c r="F10" s="42">
        <v>93.139294642912418</v>
      </c>
      <c r="G10" s="209">
        <v>5.8089813518688356</v>
      </c>
      <c r="H10" s="42">
        <v>98.095254087113545</v>
      </c>
      <c r="I10" s="42">
        <v>99.270797383140945</v>
      </c>
      <c r="J10" s="42">
        <v>93.653492996964047</v>
      </c>
      <c r="K10" s="42">
        <v>93.032695469856506</v>
      </c>
      <c r="L10" s="209">
        <v>7.2767106721757537</v>
      </c>
    </row>
    <row r="11" spans="1:14" x14ac:dyDescent="0.2">
      <c r="A11" s="38"/>
      <c r="B11" s="41" t="s">
        <v>48</v>
      </c>
      <c r="C11" s="42">
        <v>97.102743935526064</v>
      </c>
      <c r="D11" s="42">
        <v>101.79116872642412</v>
      </c>
      <c r="E11" s="42">
        <v>93.470063910358121</v>
      </c>
      <c r="F11" s="42">
        <v>92.705841113817868</v>
      </c>
      <c r="G11" s="209">
        <v>5.9496474518558973</v>
      </c>
      <c r="H11" s="42">
        <v>96.973683563532646</v>
      </c>
      <c r="I11" s="42">
        <v>101.65587691520403</v>
      </c>
      <c r="J11" s="42">
        <v>93.345831775100152</v>
      </c>
      <c r="K11" s="42">
        <v>92.582624715854337</v>
      </c>
      <c r="L11" s="209">
        <v>7.4515408754425492</v>
      </c>
    </row>
    <row r="12" spans="1:14" x14ac:dyDescent="0.2">
      <c r="A12" s="38"/>
      <c r="B12" s="41" t="s">
        <v>49</v>
      </c>
      <c r="C12" s="42">
        <v>96.849766000379915</v>
      </c>
      <c r="D12" s="42">
        <v>100.96740363966988</v>
      </c>
      <c r="E12" s="42">
        <v>93.591924782215969</v>
      </c>
      <c r="F12" s="42">
        <v>92.63637035420156</v>
      </c>
      <c r="G12" s="209">
        <v>5.9014987577141937</v>
      </c>
      <c r="H12" s="42">
        <v>96.703583175675533</v>
      </c>
      <c r="I12" s="42">
        <v>100.81500574676163</v>
      </c>
      <c r="J12" s="42">
        <v>93.450659268635576</v>
      </c>
      <c r="K12" s="42">
        <v>92.496547132649454</v>
      </c>
      <c r="L12" s="209">
        <v>7.3899036531513449</v>
      </c>
    </row>
    <row r="13" spans="1:14" x14ac:dyDescent="0.2">
      <c r="A13" s="38"/>
      <c r="B13" s="41" t="s">
        <v>50</v>
      </c>
      <c r="C13" s="42">
        <v>96.765824353967815</v>
      </c>
      <c r="D13" s="42">
        <v>101.84331826627556</v>
      </c>
      <c r="E13" s="42">
        <v>94.157147594290294</v>
      </c>
      <c r="F13" s="42">
        <v>92.759331323296706</v>
      </c>
      <c r="G13" s="209">
        <v>5.9526955687090064</v>
      </c>
      <c r="H13" s="42">
        <v>96.596206712305118</v>
      </c>
      <c r="I13" s="42">
        <v>101.66480045196711</v>
      </c>
      <c r="J13" s="42">
        <v>93.992102616610893</v>
      </c>
      <c r="K13" s="42">
        <v>92.596736531940309</v>
      </c>
      <c r="L13" s="209">
        <v>7.4521949851798448</v>
      </c>
    </row>
    <row r="14" spans="1:14" x14ac:dyDescent="0.2">
      <c r="A14" s="38"/>
      <c r="B14" s="41" t="s">
        <v>51</v>
      </c>
      <c r="C14" s="42">
        <v>96.277370296679862</v>
      </c>
      <c r="D14" s="42">
        <v>101.59636658604373</v>
      </c>
      <c r="E14" s="42">
        <v>93.845973187017591</v>
      </c>
      <c r="F14" s="42">
        <v>93.351579891666219</v>
      </c>
      <c r="G14" s="209">
        <v>5.9382613554721804</v>
      </c>
      <c r="H14" s="42">
        <v>96.087191251879673</v>
      </c>
      <c r="I14" s="42">
        <v>101.39568079775346</v>
      </c>
      <c r="J14" s="42">
        <v>93.660596940407885</v>
      </c>
      <c r="K14" s="42">
        <v>93.167180232227267</v>
      </c>
      <c r="L14" s="209">
        <v>7.4324680774533904</v>
      </c>
    </row>
    <row r="15" spans="1:14" x14ac:dyDescent="0.2">
      <c r="A15" s="38"/>
      <c r="B15" s="41" t="s">
        <v>52</v>
      </c>
      <c r="C15" s="42">
        <v>96.678427685579365</v>
      </c>
      <c r="D15" s="42">
        <v>101.90924159365909</v>
      </c>
      <c r="E15" s="42">
        <v>96.210058723493347</v>
      </c>
      <c r="F15" s="42">
        <v>94.229846091533304</v>
      </c>
      <c r="G15" s="209">
        <v>5.9565487571701725</v>
      </c>
      <c r="H15" s="42">
        <v>96.464121444516479</v>
      </c>
      <c r="I15" s="42">
        <v>101.68334025229123</v>
      </c>
      <c r="J15" s="42">
        <v>95.996790711889687</v>
      </c>
      <c r="K15" s="42">
        <v>94.020967600278908</v>
      </c>
      <c r="L15" s="209">
        <v>7.4535539826537729</v>
      </c>
    </row>
    <row r="16" spans="1:14" x14ac:dyDescent="0.2">
      <c r="A16" s="38"/>
      <c r="B16" s="41" t="s">
        <v>53</v>
      </c>
      <c r="C16" s="42">
        <v>97.114897925166858</v>
      </c>
      <c r="D16" s="42">
        <v>101.1596917746093</v>
      </c>
      <c r="E16" s="42">
        <v>96.232450512612772</v>
      </c>
      <c r="F16" s="42">
        <v>94.586379341396395</v>
      </c>
      <c r="G16" s="209">
        <v>5.9127379116248751</v>
      </c>
      <c r="H16" s="42">
        <v>96.883604097640998</v>
      </c>
      <c r="I16" s="42">
        <v>100.91876465836071</v>
      </c>
      <c r="J16" s="42">
        <v>96.003258367156292</v>
      </c>
      <c r="K16" s="42">
        <v>94.36110756356328</v>
      </c>
      <c r="L16" s="209">
        <v>7.3975093498846185</v>
      </c>
    </row>
    <row r="17" spans="1:12" x14ac:dyDescent="0.2">
      <c r="A17" s="38"/>
      <c r="B17" s="41" t="s">
        <v>54</v>
      </c>
      <c r="C17" s="42">
        <v>96.711850389994993</v>
      </c>
      <c r="D17" s="42">
        <v>100.07147350049569</v>
      </c>
      <c r="E17" s="42">
        <v>95.793271755383572</v>
      </c>
      <c r="F17" s="42">
        <v>94.437492320729319</v>
      </c>
      <c r="G17" s="209">
        <v>5.8491320491257017</v>
      </c>
      <c r="H17" s="42">
        <v>96.461805173101709</v>
      </c>
      <c r="I17" s="42">
        <v>99.812742091724601</v>
      </c>
      <c r="J17" s="42">
        <v>95.545601492469544</v>
      </c>
      <c r="K17" s="42">
        <v>94.19332737967018</v>
      </c>
      <c r="L17" s="209">
        <v>7.3164360994779987</v>
      </c>
    </row>
    <row r="18" spans="1:12" x14ac:dyDescent="0.2">
      <c r="A18" s="38"/>
      <c r="B18" s="41" t="s">
        <v>55</v>
      </c>
      <c r="C18" s="42">
        <v>96.894774817316843</v>
      </c>
      <c r="D18" s="42">
        <v>97.159756812744774</v>
      </c>
      <c r="E18" s="42">
        <v>94.617158293785025</v>
      </c>
      <c r="F18" s="42">
        <v>94.394634618687959</v>
      </c>
      <c r="G18" s="209">
        <v>5.6789435348513155</v>
      </c>
      <c r="H18" s="42">
        <v>96.628041522754998</v>
      </c>
      <c r="I18" s="42">
        <v>96.892294072030907</v>
      </c>
      <c r="J18" s="42">
        <v>94.356694853920857</v>
      </c>
      <c r="K18" s="42">
        <v>94.134783745116337</v>
      </c>
      <c r="L18" s="209">
        <v>7.1023625165851438</v>
      </c>
    </row>
    <row r="19" spans="1:12" x14ac:dyDescent="0.2">
      <c r="A19" s="38"/>
      <c r="B19" s="41" t="s">
        <v>56</v>
      </c>
      <c r="C19" s="42">
        <v>96.713908586418967</v>
      </c>
      <c r="D19" s="42">
        <v>98.655860942501633</v>
      </c>
      <c r="E19" s="42">
        <v>94.057427272731488</v>
      </c>
      <c r="F19" s="42">
        <v>94.154038474193769</v>
      </c>
      <c r="G19" s="209">
        <v>5.7663901398435646</v>
      </c>
      <c r="H19" s="42">
        <v>96.430037487383217</v>
      </c>
      <c r="I19" s="42">
        <v>98.366289896502181</v>
      </c>
      <c r="J19" s="42">
        <v>93.781353379714048</v>
      </c>
      <c r="K19" s="42">
        <v>93.87768101153948</v>
      </c>
      <c r="L19" s="209">
        <v>7.2104088044101085</v>
      </c>
    </row>
    <row r="20" spans="1:12" x14ac:dyDescent="0.2">
      <c r="A20" s="38"/>
      <c r="B20" s="41" t="s">
        <v>57</v>
      </c>
      <c r="C20" s="42">
        <v>96.017735347609175</v>
      </c>
      <c r="D20" s="42">
        <v>98.444200943144921</v>
      </c>
      <c r="E20" s="42">
        <v>94.047682983120453</v>
      </c>
      <c r="F20" s="42">
        <v>94.160004840263753</v>
      </c>
      <c r="G20" s="209">
        <v>5.7540187092804969</v>
      </c>
      <c r="H20" s="42">
        <v>95.720371174669182</v>
      </c>
      <c r="I20" s="42">
        <v>98.139322075837555</v>
      </c>
      <c r="J20" s="42">
        <v>93.756420005859468</v>
      </c>
      <c r="K20" s="42">
        <v>93.868394005432194</v>
      </c>
      <c r="L20" s="209">
        <v>7.1937716945408647</v>
      </c>
    </row>
    <row r="21" spans="1:12" x14ac:dyDescent="0.2">
      <c r="A21" s="38"/>
      <c r="B21" s="41" t="s">
        <v>58</v>
      </c>
      <c r="C21" s="42">
        <v>96.078522425569986</v>
      </c>
      <c r="D21" s="42">
        <v>97.588013246274599</v>
      </c>
      <c r="E21" s="42">
        <v>93.946952897703127</v>
      </c>
      <c r="F21" s="42">
        <v>94.079176058815591</v>
      </c>
      <c r="G21" s="209">
        <v>5.7039749283441994</v>
      </c>
      <c r="H21" s="42">
        <v>95.783959420208575</v>
      </c>
      <c r="I21" s="42">
        <v>97.288822357995272</v>
      </c>
      <c r="J21" s="42">
        <v>93.65892497958508</v>
      </c>
      <c r="K21" s="42">
        <v>93.790742763400601</v>
      </c>
      <c r="L21" s="209">
        <v>7.1314286839410883</v>
      </c>
    </row>
    <row r="22" spans="1:12" x14ac:dyDescent="0.2">
      <c r="A22" s="38"/>
      <c r="B22" s="41" t="s">
        <v>59</v>
      </c>
      <c r="C22" s="42">
        <v>96.304009808500354</v>
      </c>
      <c r="D22" s="42">
        <v>99.256115579878667</v>
      </c>
      <c r="E22" s="42">
        <v>93.862318149370608</v>
      </c>
      <c r="F22" s="42">
        <v>94.808609770852115</v>
      </c>
      <c r="G22" s="209">
        <v>5.8014747500157222</v>
      </c>
      <c r="H22" s="42">
        <v>96.008345281812112</v>
      </c>
      <c r="I22" s="42">
        <v>98.95138774463905</v>
      </c>
      <c r="J22" s="42">
        <v>93.574149900460938</v>
      </c>
      <c r="K22" s="42">
        <v>94.51753629644945</v>
      </c>
      <c r="L22" s="209">
        <v>7.2532974269258741</v>
      </c>
    </row>
    <row r="23" spans="1:12" x14ac:dyDescent="0.2">
      <c r="A23" s="38"/>
      <c r="B23" s="41" t="s">
        <v>60</v>
      </c>
      <c r="C23" s="42">
        <v>96.856731910223445</v>
      </c>
      <c r="D23" s="42">
        <v>100.03735531778163</v>
      </c>
      <c r="E23" s="42">
        <v>94.705571846807473</v>
      </c>
      <c r="F23" s="42">
        <v>94.599203667104916</v>
      </c>
      <c r="G23" s="209">
        <v>5.8471378568849959</v>
      </c>
      <c r="H23" s="42">
        <v>96.562369816698293</v>
      </c>
      <c r="I23" s="42">
        <v>99.733326834047972</v>
      </c>
      <c r="J23" s="42">
        <v>94.417747450428251</v>
      </c>
      <c r="K23" s="42">
        <v>94.311702539531524</v>
      </c>
      <c r="L23" s="209">
        <v>7.3106148321133508</v>
      </c>
    </row>
    <row r="24" spans="1:12" x14ac:dyDescent="0.2">
      <c r="A24" s="38"/>
      <c r="B24" s="41" t="s">
        <v>61</v>
      </c>
      <c r="C24" s="42">
        <v>97.01829186628521</v>
      </c>
      <c r="D24" s="42">
        <v>99.825349741263622</v>
      </c>
      <c r="E24" s="42">
        <v>95.881186450388029</v>
      </c>
      <c r="F24" s="42">
        <v>95.42075135271169</v>
      </c>
      <c r="G24" s="209">
        <v>5.8347462274942412</v>
      </c>
      <c r="H24" s="42">
        <v>96.717337995680069</v>
      </c>
      <c r="I24" s="42">
        <v>99.515688286591214</v>
      </c>
      <c r="J24" s="42">
        <v>95.583759917459275</v>
      </c>
      <c r="K24" s="42">
        <v>95.124753104306862</v>
      </c>
      <c r="L24" s="209">
        <v>7.294661573121755</v>
      </c>
    </row>
    <row r="25" spans="1:12" x14ac:dyDescent="0.2">
      <c r="A25" s="38"/>
      <c r="B25" s="41" t="s">
        <v>62</v>
      </c>
      <c r="C25" s="42">
        <v>97.366383196033709</v>
      </c>
      <c r="D25" s="42">
        <v>99.601783262909791</v>
      </c>
      <c r="E25" s="42">
        <v>97.038753256334019</v>
      </c>
      <c r="F25" s="42">
        <v>95.123497805871366</v>
      </c>
      <c r="G25" s="209">
        <v>5.8216788686565293</v>
      </c>
      <c r="H25" s="42">
        <v>97.055970093353338</v>
      </c>
      <c r="I25" s="42">
        <v>99.284243496511266</v>
      </c>
      <c r="J25" s="42">
        <v>96.729384668431464</v>
      </c>
      <c r="K25" s="42">
        <v>94.820235230817318</v>
      </c>
      <c r="L25" s="209">
        <v>7.2776962941233991</v>
      </c>
    </row>
    <row r="26" spans="1:12" x14ac:dyDescent="0.2">
      <c r="A26" s="38"/>
      <c r="B26" s="41" t="s">
        <v>63</v>
      </c>
      <c r="C26" s="42">
        <v>97.005667087658367</v>
      </c>
      <c r="D26" s="42">
        <v>98.407709572961352</v>
      </c>
      <c r="E26" s="42">
        <v>96.050408730533249</v>
      </c>
      <c r="F26" s="42">
        <v>95.216480406401303</v>
      </c>
      <c r="G26" s="209">
        <v>5.7518858053130515</v>
      </c>
      <c r="H26" s="42">
        <v>96.688084919078321</v>
      </c>
      <c r="I26" s="42">
        <v>98.085537325200448</v>
      </c>
      <c r="J26" s="42">
        <v>95.735953936154289</v>
      </c>
      <c r="K26" s="42">
        <v>94.90475576968808</v>
      </c>
      <c r="L26" s="209">
        <v>7.1898291849682776</v>
      </c>
    </row>
    <row r="27" spans="1:12" x14ac:dyDescent="0.2">
      <c r="A27" s="38"/>
      <c r="B27" s="41" t="s">
        <v>64</v>
      </c>
      <c r="C27" s="42">
        <v>97.187344476183782</v>
      </c>
      <c r="D27" s="42">
        <v>100.26709914518115</v>
      </c>
      <c r="E27" s="42">
        <v>96.537165699777248</v>
      </c>
      <c r="F27" s="42">
        <v>95.689875842926952</v>
      </c>
      <c r="G27" s="209">
        <v>5.8605662789609907</v>
      </c>
      <c r="H27" s="42">
        <v>96.858974578475994</v>
      </c>
      <c r="I27" s="42">
        <v>99.928323584770325</v>
      </c>
      <c r="J27" s="42">
        <v>96.210992581284401</v>
      </c>
      <c r="K27" s="42">
        <v>95.36656548897534</v>
      </c>
      <c r="L27" s="209">
        <v>7.3249084106321618</v>
      </c>
    </row>
    <row r="28" spans="1:12" x14ac:dyDescent="0.2">
      <c r="A28" s="38"/>
      <c r="B28" s="41" t="s">
        <v>65</v>
      </c>
      <c r="C28" s="42">
        <v>97.565436785290515</v>
      </c>
      <c r="D28" s="42">
        <v>101.97050333485295</v>
      </c>
      <c r="E28" s="42">
        <v>97.351612648565222</v>
      </c>
      <c r="F28" s="42">
        <v>96.242889177841192</v>
      </c>
      <c r="G28" s="209">
        <v>5.9601294780416447</v>
      </c>
      <c r="H28" s="42">
        <v>97.235809231338791</v>
      </c>
      <c r="I28" s="42">
        <v>101.62599314049525</v>
      </c>
      <c r="J28" s="42">
        <v>97.022707505433232</v>
      </c>
      <c r="K28" s="42">
        <v>95.91772988793042</v>
      </c>
      <c r="L28" s="209">
        <v>7.4493503462226718</v>
      </c>
    </row>
    <row r="29" spans="1:12" x14ac:dyDescent="0.2">
      <c r="A29" s="38"/>
      <c r="B29" s="41" t="s">
        <v>66</v>
      </c>
      <c r="C29" s="42">
        <v>97.987319654776655</v>
      </c>
      <c r="D29" s="42">
        <v>102.52640544275789</v>
      </c>
      <c r="E29" s="42">
        <v>97.293736724990623</v>
      </c>
      <c r="F29" s="42">
        <v>96.696973049789293</v>
      </c>
      <c r="G29" s="209">
        <v>5.9926217030662645</v>
      </c>
      <c r="H29" s="42">
        <v>97.650599084325492</v>
      </c>
      <c r="I29" s="42">
        <v>102.17408689941354</v>
      </c>
      <c r="J29" s="42">
        <v>96.959399561296564</v>
      </c>
      <c r="K29" s="42">
        <v>96.364686586184263</v>
      </c>
      <c r="L29" s="209">
        <v>7.4895265089010117</v>
      </c>
    </row>
    <row r="30" spans="1:12" x14ac:dyDescent="0.2">
      <c r="A30" s="38"/>
      <c r="B30" s="41" t="s">
        <v>67</v>
      </c>
      <c r="C30" s="42">
        <v>98.59301314152593</v>
      </c>
      <c r="D30" s="42">
        <v>102.13910264205755</v>
      </c>
      <c r="E30" s="42">
        <v>97.433292303061805</v>
      </c>
      <c r="F30" s="42">
        <v>97.288732547146253</v>
      </c>
      <c r="G30" s="209">
        <v>5.969984030760167</v>
      </c>
      <c r="H30" s="42">
        <v>98.250053636076927</v>
      </c>
      <c r="I30" s="42">
        <v>101.78380793087103</v>
      </c>
      <c r="J30" s="42">
        <v>97.094366930180072</v>
      </c>
      <c r="K30" s="42">
        <v>96.950310030814066</v>
      </c>
      <c r="L30" s="209">
        <v>7.4609184266614994</v>
      </c>
    </row>
    <row r="31" spans="1:12" x14ac:dyDescent="0.2">
      <c r="A31" s="38"/>
      <c r="B31" s="41" t="s">
        <v>68</v>
      </c>
      <c r="C31" s="42">
        <v>98.976032429940901</v>
      </c>
      <c r="D31" s="42">
        <v>102.20465867083981</v>
      </c>
      <c r="E31" s="42">
        <v>98.02416798143166</v>
      </c>
      <c r="F31" s="42">
        <v>98.021702467651096</v>
      </c>
      <c r="G31" s="209">
        <v>5.9738157507853726</v>
      </c>
      <c r="H31" s="42">
        <v>98.624149296850575</v>
      </c>
      <c r="I31" s="42">
        <v>101.84129701017736</v>
      </c>
      <c r="J31" s="42">
        <v>97.675668950898213</v>
      </c>
      <c r="K31" s="42">
        <v>97.673212202600482</v>
      </c>
      <c r="L31" s="209">
        <v>7.4651324695416745</v>
      </c>
    </row>
    <row r="32" spans="1:12" x14ac:dyDescent="0.2">
      <c r="A32" s="38"/>
      <c r="B32" s="41" t="s">
        <v>69</v>
      </c>
      <c r="C32" s="42">
        <v>99.208121538801549</v>
      </c>
      <c r="D32" s="42">
        <v>101.90074737316124</v>
      </c>
      <c r="E32" s="42">
        <v>99.533090419768627</v>
      </c>
      <c r="F32" s="42">
        <v>98.641030391249572</v>
      </c>
      <c r="G32" s="209">
        <v>5.9560522738507169</v>
      </c>
      <c r="H32" s="42">
        <v>98.848976704445477</v>
      </c>
      <c r="I32" s="42">
        <v>101.53185492294202</v>
      </c>
      <c r="J32" s="42">
        <v>99.172769160608652</v>
      </c>
      <c r="K32" s="42">
        <v>98.283938492208591</v>
      </c>
      <c r="L32" s="209">
        <v>7.4424498619877619</v>
      </c>
    </row>
    <row r="33" spans="1:12" x14ac:dyDescent="0.2">
      <c r="A33" s="38"/>
      <c r="B33" s="41" t="s">
        <v>70</v>
      </c>
      <c r="C33" s="42">
        <v>99.378479556825852</v>
      </c>
      <c r="D33" s="42">
        <v>103.38418004435351</v>
      </c>
      <c r="E33" s="42">
        <v>100.03307082414733</v>
      </c>
      <c r="F33" s="42">
        <v>99.112832136496294</v>
      </c>
      <c r="G33" s="209">
        <v>6.0427582378610092</v>
      </c>
      <c r="H33" s="42">
        <v>99.014202124466621</v>
      </c>
      <c r="I33" s="42">
        <v>103.00521949050857</v>
      </c>
      <c r="J33" s="42">
        <v>99.666393950508962</v>
      </c>
      <c r="K33" s="42">
        <v>98.749528449767098</v>
      </c>
      <c r="L33" s="209">
        <v>7.5504498776563977</v>
      </c>
    </row>
    <row r="34" spans="1:12" x14ac:dyDescent="0.2">
      <c r="A34" s="38"/>
      <c r="B34" s="41" t="s">
        <v>71</v>
      </c>
      <c r="C34" s="42">
        <v>99.871339040375148</v>
      </c>
      <c r="D34" s="42">
        <v>105.23857336849873</v>
      </c>
      <c r="E34" s="42">
        <v>100.32671816714655</v>
      </c>
      <c r="F34" s="42">
        <v>99.234765736361766</v>
      </c>
      <c r="G34" s="209">
        <v>6.1511466830845007</v>
      </c>
      <c r="H34" s="42">
        <v>99.498820006633977</v>
      </c>
      <c r="I34" s="42">
        <v>104.84603460772691</v>
      </c>
      <c r="J34" s="42">
        <v>99.952500574099773</v>
      </c>
      <c r="K34" s="42">
        <v>98.864621114282613</v>
      </c>
      <c r="L34" s="209">
        <v>7.6853846153846153</v>
      </c>
    </row>
    <row r="35" spans="1:12" x14ac:dyDescent="0.2">
      <c r="A35" s="38"/>
      <c r="B35" s="41" t="s">
        <v>72</v>
      </c>
      <c r="C35" s="42">
        <v>99.538527337619001</v>
      </c>
      <c r="D35" s="42">
        <v>107.46297827594421</v>
      </c>
      <c r="E35" s="42">
        <v>100.61956822899464</v>
      </c>
      <c r="F35" s="42">
        <v>99.508624075476376</v>
      </c>
      <c r="G35" s="209">
        <v>6.2811621368322399</v>
      </c>
      <c r="H35" s="42">
        <v>99.162763443447062</v>
      </c>
      <c r="I35" s="42">
        <v>107.05729910551285</v>
      </c>
      <c r="J35" s="42">
        <v>100.2397233407999</v>
      </c>
      <c r="K35" s="42">
        <v>99.132973067907571</v>
      </c>
      <c r="L35" s="209">
        <v>7.8474738943488944</v>
      </c>
    </row>
    <row r="36" spans="1:12" x14ac:dyDescent="0.2">
      <c r="A36" s="38"/>
      <c r="B36" s="41" t="s">
        <v>73</v>
      </c>
      <c r="C36" s="42">
        <v>100.05082314552639</v>
      </c>
      <c r="D36" s="42">
        <v>109.33801212282015</v>
      </c>
      <c r="E36" s="42">
        <v>101.64231843445287</v>
      </c>
      <c r="F36" s="42">
        <v>99.695335676999647</v>
      </c>
      <c r="G36" s="209">
        <v>6.3907570112087342</v>
      </c>
      <c r="H36" s="42">
        <v>99.680864368481892</v>
      </c>
      <c r="I36" s="42">
        <v>108.93371202835117</v>
      </c>
      <c r="J36" s="42">
        <v>101.26647477178471</v>
      </c>
      <c r="K36" s="42">
        <v>99.326691388981601</v>
      </c>
      <c r="L36" s="209">
        <v>7.9850180090428386</v>
      </c>
    </row>
    <row r="37" spans="1:12" x14ac:dyDescent="0.2">
      <c r="A37" s="38"/>
      <c r="B37" s="41" t="s">
        <v>74</v>
      </c>
      <c r="C37" s="42">
        <v>100.51808904125258</v>
      </c>
      <c r="D37" s="42">
        <v>109.11352717992192</v>
      </c>
      <c r="E37" s="42">
        <v>101.16520520311192</v>
      </c>
      <c r="F37" s="42">
        <v>100.09478082100449</v>
      </c>
      <c r="G37" s="209">
        <v>6.3776359685367119</v>
      </c>
      <c r="H37" s="42">
        <v>100.14687027105983</v>
      </c>
      <c r="I37" s="42">
        <v>108.71056498916141</v>
      </c>
      <c r="J37" s="42">
        <v>100.79159659773559</v>
      </c>
      <c r="K37" s="42">
        <v>99.725125351093638</v>
      </c>
      <c r="L37" s="209">
        <v>7.9686609686609691</v>
      </c>
    </row>
    <row r="38" spans="1:12" x14ac:dyDescent="0.2">
      <c r="A38" s="38"/>
      <c r="B38" s="41" t="s">
        <v>75</v>
      </c>
      <c r="C38" s="42">
        <v>100.42644517485745</v>
      </c>
      <c r="D38" s="42">
        <v>108.40669082751596</v>
      </c>
      <c r="E38" s="42">
        <v>102.93246310525441</v>
      </c>
      <c r="F38" s="42">
        <v>100.39892540602324</v>
      </c>
      <c r="G38" s="209">
        <v>6.3363217056631438</v>
      </c>
      <c r="H38" s="42">
        <v>100.0594680216546</v>
      </c>
      <c r="I38" s="42">
        <v>108.01055235304585</v>
      </c>
      <c r="J38" s="42">
        <v>102.55632849034542</v>
      </c>
      <c r="K38" s="42">
        <v>100.03204881524101</v>
      </c>
      <c r="L38" s="209">
        <v>7.9173489055552375</v>
      </c>
    </row>
    <row r="39" spans="1:12" x14ac:dyDescent="0.2">
      <c r="A39" s="38"/>
      <c r="B39" s="41" t="s">
        <v>76</v>
      </c>
      <c r="C39" s="42">
        <v>100.78820928863955</v>
      </c>
      <c r="D39" s="42">
        <v>108.47639179582077</v>
      </c>
      <c r="E39" s="42">
        <v>103.64330566295406</v>
      </c>
      <c r="F39" s="42">
        <v>100.93701680058109</v>
      </c>
      <c r="G39" s="209">
        <v>6.340395695515654</v>
      </c>
      <c r="H39" s="42">
        <v>100.42189950355848</v>
      </c>
      <c r="I39" s="42">
        <v>108.0821396898894</v>
      </c>
      <c r="J39" s="42">
        <v>103.26661917065054</v>
      </c>
      <c r="K39" s="42">
        <v>100.57016618192333</v>
      </c>
      <c r="L39" s="209">
        <v>7.9225963736096299</v>
      </c>
    </row>
    <row r="40" spans="1:12" x14ac:dyDescent="0.2">
      <c r="A40" s="38"/>
      <c r="B40" s="41" t="s">
        <v>77</v>
      </c>
      <c r="C40" s="42">
        <v>100.8573173926431</v>
      </c>
      <c r="D40" s="42">
        <v>107.54893320573005</v>
      </c>
      <c r="E40" s="42">
        <v>104.25259351216226</v>
      </c>
      <c r="F40" s="42">
        <v>101.24528807502294</v>
      </c>
      <c r="G40" s="209">
        <v>6.2861861633305427</v>
      </c>
      <c r="H40" s="42">
        <v>100.47207825954673</v>
      </c>
      <c r="I40" s="42">
        <v>107.13813447674622</v>
      </c>
      <c r="J40" s="42">
        <v>103.85438563011715</v>
      </c>
      <c r="K40" s="42">
        <v>100.85856703170717</v>
      </c>
      <c r="L40" s="209">
        <v>7.8533992583436341</v>
      </c>
    </row>
    <row r="41" spans="1:12" x14ac:dyDescent="0.2">
      <c r="A41" s="38"/>
      <c r="B41" s="41" t="s">
        <v>78</v>
      </c>
      <c r="C41" s="42">
        <v>100.83307809655487</v>
      </c>
      <c r="D41" s="42">
        <v>106.67151678763202</v>
      </c>
      <c r="E41" s="42">
        <v>104.24471708520625</v>
      </c>
      <c r="F41" s="42">
        <v>101.73262082375557</v>
      </c>
      <c r="G41" s="209">
        <v>6.2349015733069848</v>
      </c>
      <c r="H41" s="42">
        <v>100.45373043405299</v>
      </c>
      <c r="I41" s="42">
        <v>106.27020412999234</v>
      </c>
      <c r="J41" s="42">
        <v>103.85253437591142</v>
      </c>
      <c r="K41" s="42">
        <v>101.34988895998436</v>
      </c>
      <c r="L41" s="209">
        <v>7.7897785543358529</v>
      </c>
    </row>
    <row r="42" spans="1:12" x14ac:dyDescent="0.2">
      <c r="A42" s="38"/>
      <c r="B42" s="41" t="s">
        <v>79</v>
      </c>
      <c r="C42" s="42">
        <v>101.02030398885975</v>
      </c>
      <c r="D42" s="42">
        <v>106.20736813603847</v>
      </c>
      <c r="E42" s="42">
        <v>104.9727659497199</v>
      </c>
      <c r="F42" s="42">
        <v>102.56280584320817</v>
      </c>
      <c r="G42" s="209">
        <v>6.2077722960151807</v>
      </c>
      <c r="H42" s="42">
        <v>100.64413748035462</v>
      </c>
      <c r="I42" s="42">
        <v>105.81188670040883</v>
      </c>
      <c r="J42" s="42">
        <v>104.58188176806283</v>
      </c>
      <c r="K42" s="42">
        <v>102.18089556326301</v>
      </c>
      <c r="L42" s="209">
        <v>7.7561831424019418</v>
      </c>
    </row>
    <row r="43" spans="1:12" x14ac:dyDescent="0.2">
      <c r="A43" s="38"/>
      <c r="B43" s="41" t="s">
        <v>80</v>
      </c>
      <c r="C43" s="42">
        <v>101.26527039273691</v>
      </c>
      <c r="D43" s="42">
        <v>108.58328618356379</v>
      </c>
      <c r="E43" s="42">
        <v>104.90584960056347</v>
      </c>
      <c r="F43" s="42">
        <v>103.29823236984288</v>
      </c>
      <c r="G43" s="209">
        <v>6.3466436237947974</v>
      </c>
      <c r="H43" s="42">
        <v>100.89245790638888</v>
      </c>
      <c r="I43" s="42">
        <v>108.18353210458945</v>
      </c>
      <c r="J43" s="42">
        <v>104.51963416391516</v>
      </c>
      <c r="K43" s="42">
        <v>102.91793544577601</v>
      </c>
      <c r="L43" s="209">
        <v>7.9300286022768169</v>
      </c>
    </row>
    <row r="44" spans="1:12" x14ac:dyDescent="0.2">
      <c r="A44" s="38"/>
      <c r="B44" s="41" t="s">
        <v>81</v>
      </c>
      <c r="C44" s="42">
        <v>101.12848661973958</v>
      </c>
      <c r="D44" s="42">
        <v>108.79723894113737</v>
      </c>
      <c r="E44" s="42">
        <v>105.48420190525455</v>
      </c>
      <c r="F44" s="42">
        <v>103.86976327352494</v>
      </c>
      <c r="G44" s="209">
        <v>6.359149065031418</v>
      </c>
      <c r="H44" s="42">
        <v>100.7482234355944</v>
      </c>
      <c r="I44" s="42">
        <v>108.38813972598226</v>
      </c>
      <c r="J44" s="42">
        <v>105.08756036700694</v>
      </c>
      <c r="K44" s="42">
        <v>103.47919234500593</v>
      </c>
      <c r="L44" s="209">
        <v>7.9450266732246222</v>
      </c>
    </row>
    <row r="45" spans="1:12" x14ac:dyDescent="0.2">
      <c r="A45" s="38"/>
      <c r="B45" s="41" t="s">
        <v>82</v>
      </c>
      <c r="C45" s="42">
        <v>101.28121527520547</v>
      </c>
      <c r="D45" s="42">
        <v>109.17133880869939</v>
      </c>
      <c r="E45" s="42">
        <v>105.97337774583129</v>
      </c>
      <c r="F45" s="42">
        <v>104.52116040659882</v>
      </c>
      <c r="G45" s="209">
        <v>6.3810150319087802</v>
      </c>
      <c r="H45" s="42">
        <v>100.89433843271298</v>
      </c>
      <c r="I45" s="42">
        <v>108.75432304981241</v>
      </c>
      <c r="J45" s="42">
        <v>105.56857764880279</v>
      </c>
      <c r="K45" s="42">
        <v>104.12190753031886</v>
      </c>
      <c r="L45" s="209">
        <v>7.9718685055733989</v>
      </c>
    </row>
    <row r="46" spans="1:12" x14ac:dyDescent="0.2">
      <c r="A46" s="38"/>
      <c r="B46" s="41" t="s">
        <v>83</v>
      </c>
      <c r="C46" s="42">
        <v>101.7490456819729</v>
      </c>
      <c r="D46" s="42">
        <v>109.90382739230917</v>
      </c>
      <c r="E46" s="42">
        <v>106.53207122139021</v>
      </c>
      <c r="F46" s="42">
        <v>104.47682471028807</v>
      </c>
      <c r="G46" s="209">
        <v>6.4238286560130504</v>
      </c>
      <c r="H46" s="42">
        <v>101.35471166716036</v>
      </c>
      <c r="I46" s="42">
        <v>109.47788907310041</v>
      </c>
      <c r="J46" s="42">
        <v>106.11920032840582</v>
      </c>
      <c r="K46" s="42">
        <v>104.07191903803593</v>
      </c>
      <c r="L46" s="209">
        <v>8.0249070702115208</v>
      </c>
    </row>
    <row r="47" spans="1:12" x14ac:dyDescent="0.2">
      <c r="A47" s="38"/>
      <c r="B47" s="41" t="s">
        <v>84</v>
      </c>
      <c r="C47" s="42">
        <v>101.75327200846498</v>
      </c>
      <c r="D47" s="42">
        <v>109.05820172076382</v>
      </c>
      <c r="E47" s="42">
        <v>106.16564492680553</v>
      </c>
      <c r="F47" s="42">
        <v>104.57618330052399</v>
      </c>
      <c r="G47" s="209">
        <v>6.3744022206465827</v>
      </c>
      <c r="H47" s="42">
        <v>101.35288457496192</v>
      </c>
      <c r="I47" s="42">
        <v>108.62907022820794</v>
      </c>
      <c r="J47" s="42">
        <v>105.74789531286775</v>
      </c>
      <c r="K47" s="42">
        <v>104.16468803545028</v>
      </c>
      <c r="L47" s="209">
        <v>7.9626872703288418</v>
      </c>
    </row>
    <row r="48" spans="1:12" x14ac:dyDescent="0.2">
      <c r="A48" s="38"/>
      <c r="B48" s="41" t="s">
        <v>85</v>
      </c>
      <c r="C48" s="42">
        <v>101.76701337253334</v>
      </c>
      <c r="D48" s="42">
        <v>109.3131825046037</v>
      </c>
      <c r="E48" s="42">
        <v>107.03555745101484</v>
      </c>
      <c r="F48" s="42">
        <v>104.77340596600277</v>
      </c>
      <c r="G48" s="209">
        <v>6.3893057313324899</v>
      </c>
      <c r="H48" s="42">
        <v>101.3513984393539</v>
      </c>
      <c r="I48" s="42">
        <v>108.8667491315816</v>
      </c>
      <c r="J48" s="42">
        <v>106.59842586403404</v>
      </c>
      <c r="K48" s="42">
        <v>104.34551297124484</v>
      </c>
      <c r="L48" s="209">
        <v>7.9801095199563425</v>
      </c>
    </row>
    <row r="49" spans="1:12" x14ac:dyDescent="0.2">
      <c r="A49" s="38"/>
      <c r="B49" s="41" t="s">
        <v>86</v>
      </c>
      <c r="C49" s="42">
        <v>102.17479421507227</v>
      </c>
      <c r="D49" s="42">
        <v>110.77516794155433</v>
      </c>
      <c r="E49" s="42">
        <v>108.17660201621182</v>
      </c>
      <c r="F49" s="42">
        <v>104.77517002584028</v>
      </c>
      <c r="G49" s="209">
        <v>6.4747581142693775</v>
      </c>
      <c r="H49" s="42">
        <v>101.73467641435379</v>
      </c>
      <c r="I49" s="42">
        <v>110.2980040415612</v>
      </c>
      <c r="J49" s="42">
        <v>107.71063143575378</v>
      </c>
      <c r="K49" s="42">
        <v>104.32385110950743</v>
      </c>
      <c r="L49" s="209">
        <v>8.0850228293342852</v>
      </c>
    </row>
    <row r="50" spans="1:12" x14ac:dyDescent="0.2">
      <c r="A50" s="38"/>
      <c r="B50" s="41" t="s">
        <v>87</v>
      </c>
      <c r="C50" s="42">
        <v>102.37850048422244</v>
      </c>
      <c r="D50" s="42">
        <v>110.50150921943741</v>
      </c>
      <c r="E50" s="42">
        <v>107.86930507417293</v>
      </c>
      <c r="F50" s="42">
        <v>105.16855227451713</v>
      </c>
      <c r="G50" s="209">
        <v>6.4587628865979383</v>
      </c>
      <c r="H50" s="42">
        <v>101.91469088173784</v>
      </c>
      <c r="I50" s="42">
        <v>110.00089961075385</v>
      </c>
      <c r="J50" s="42">
        <v>107.38062025001442</v>
      </c>
      <c r="K50" s="42">
        <v>104.69210278371959</v>
      </c>
      <c r="L50" s="209">
        <v>8.0632445920339197</v>
      </c>
    </row>
    <row r="51" spans="1:12" x14ac:dyDescent="0.2">
      <c r="A51" s="38"/>
      <c r="B51" s="41" t="s">
        <v>88</v>
      </c>
      <c r="C51" s="42">
        <v>102.82971133768298</v>
      </c>
      <c r="D51" s="42">
        <v>111.93217385670403</v>
      </c>
      <c r="E51" s="42">
        <v>107.87018767535888</v>
      </c>
      <c r="F51" s="42">
        <v>105.25677516491584</v>
      </c>
      <c r="G51" s="209">
        <v>6.5423845830581735</v>
      </c>
      <c r="H51" s="42">
        <v>102.34254742171576</v>
      </c>
      <c r="I51" s="42">
        <v>111.40188630236396</v>
      </c>
      <c r="J51" s="42">
        <v>107.35914410283074</v>
      </c>
      <c r="K51" s="42">
        <v>104.75811284150397</v>
      </c>
      <c r="L51" s="209">
        <v>8.1659391918472863</v>
      </c>
    </row>
    <row r="52" spans="1:12" x14ac:dyDescent="0.2">
      <c r="A52" s="38"/>
      <c r="B52" s="41" t="s">
        <v>89</v>
      </c>
      <c r="C52" s="42">
        <v>102.57759392695392</v>
      </c>
      <c r="D52" s="42">
        <v>112.12899385263067</v>
      </c>
      <c r="E52" s="42">
        <v>107.71030669532325</v>
      </c>
      <c r="F52" s="42">
        <v>105.79188998624447</v>
      </c>
      <c r="G52" s="209">
        <v>6.5538886221795485</v>
      </c>
      <c r="H52" s="42">
        <v>102.03131334659645</v>
      </c>
      <c r="I52" s="42">
        <v>111.53184695639584</v>
      </c>
      <c r="J52" s="42">
        <v>107.13669167278816</v>
      </c>
      <c r="K52" s="42">
        <v>105.22849155929408</v>
      </c>
      <c r="L52" s="209">
        <v>8.1754655188546828</v>
      </c>
    </row>
    <row r="53" spans="1:12" x14ac:dyDescent="0.2">
      <c r="A53" s="38"/>
      <c r="B53" s="41" t="s">
        <v>90</v>
      </c>
      <c r="C53" s="42">
        <v>103.03634823305998</v>
      </c>
      <c r="D53" s="42">
        <v>112.99194758403084</v>
      </c>
      <c r="E53" s="42">
        <v>107.37423931659748</v>
      </c>
      <c r="F53" s="42">
        <v>105.75377707357796</v>
      </c>
      <c r="G53" s="209">
        <v>6.6043278747525642</v>
      </c>
      <c r="H53" s="42">
        <v>102.45398194313434</v>
      </c>
      <c r="I53" s="42">
        <v>112.35331177798359</v>
      </c>
      <c r="J53" s="42">
        <v>106.76735506209191</v>
      </c>
      <c r="K53" s="42">
        <v>105.15605174794185</v>
      </c>
      <c r="L53" s="209">
        <v>8.2356802244039269</v>
      </c>
    </row>
    <row r="54" spans="1:12" x14ac:dyDescent="0.2">
      <c r="A54" s="38"/>
      <c r="B54" s="41" t="s">
        <v>91</v>
      </c>
      <c r="C54" s="42">
        <v>102.75631513435707</v>
      </c>
      <c r="D54" s="42">
        <v>111.00237278806584</v>
      </c>
      <c r="E54" s="42">
        <v>104.29288912885332</v>
      </c>
      <c r="F54" s="42">
        <v>102.80776455125958</v>
      </c>
      <c r="G54" s="209">
        <v>6.4880381340688329</v>
      </c>
      <c r="H54" s="42">
        <v>102.14203059734261</v>
      </c>
      <c r="I54" s="42">
        <v>110.33879273377465</v>
      </c>
      <c r="J54" s="42">
        <v>103.66941884356086</v>
      </c>
      <c r="K54" s="42">
        <v>102.19317244598328</v>
      </c>
      <c r="L54" s="209">
        <v>8.088012706717743</v>
      </c>
    </row>
    <row r="55" spans="1:12" x14ac:dyDescent="0.2">
      <c r="A55" s="38"/>
      <c r="B55" s="41" t="s">
        <v>92</v>
      </c>
      <c r="C55" s="42">
        <v>101.61385190210726</v>
      </c>
      <c r="D55" s="42">
        <v>108.95704508525822</v>
      </c>
      <c r="E55" s="42">
        <v>80.051219256903536</v>
      </c>
      <c r="F55" s="42">
        <v>82.308139619429923</v>
      </c>
      <c r="G55" s="209">
        <v>6.3684896613724904</v>
      </c>
      <c r="H55" s="42">
        <v>100.97331804131204</v>
      </c>
      <c r="I55" s="42">
        <v>108.27022261526139</v>
      </c>
      <c r="J55" s="42">
        <v>79.546607773605103</v>
      </c>
      <c r="K55" s="42">
        <v>81.789301395522273</v>
      </c>
      <c r="L55" s="209">
        <v>7.9363831575016341</v>
      </c>
    </row>
    <row r="56" spans="1:12" x14ac:dyDescent="0.2">
      <c r="A56" s="38"/>
      <c r="B56" s="41" t="s">
        <v>93</v>
      </c>
      <c r="C56" s="42">
        <v>100.69331427782876</v>
      </c>
      <c r="D56" s="42">
        <v>111.89766182920265</v>
      </c>
      <c r="E56" s="42">
        <v>95.812485581352291</v>
      </c>
      <c r="F56" s="42">
        <v>96.186416915668559</v>
      </c>
      <c r="G56" s="209">
        <v>6.5403673707690233</v>
      </c>
      <c r="H56" s="42">
        <v>100.02936704986107</v>
      </c>
      <c r="I56" s="42">
        <v>111.15983585812998</v>
      </c>
      <c r="J56" s="42">
        <v>95.180721350899873</v>
      </c>
      <c r="K56" s="42">
        <v>95.552187072929485</v>
      </c>
      <c r="L56" s="209">
        <v>8.1481965011749793</v>
      </c>
    </row>
    <row r="57" spans="1:12" x14ac:dyDescent="0.2">
      <c r="A57" s="38"/>
      <c r="B57" s="41" t="s">
        <v>94</v>
      </c>
      <c r="C57" s="42">
        <v>100.32005279644925</v>
      </c>
      <c r="D57" s="42">
        <v>112.26348131521843</v>
      </c>
      <c r="E57" s="42">
        <v>94.234592848754147</v>
      </c>
      <c r="F57" s="42">
        <v>97.414732262103641</v>
      </c>
      <c r="G57" s="209">
        <v>6.5617493531162596</v>
      </c>
      <c r="H57" s="42">
        <v>99.610605848890842</v>
      </c>
      <c r="I57" s="42">
        <v>111.46957240148446</v>
      </c>
      <c r="J57" s="42">
        <v>93.568181275121844</v>
      </c>
      <c r="K57" s="42">
        <v>96.72583126450553</v>
      </c>
      <c r="L57" s="209">
        <v>8.1709006928406467</v>
      </c>
    </row>
    <row r="58" spans="1:12" x14ac:dyDescent="0.2">
      <c r="A58" s="38"/>
      <c r="B58" s="41" t="s">
        <v>95</v>
      </c>
      <c r="C58" s="42">
        <v>100.3900105589933</v>
      </c>
      <c r="D58" s="42">
        <v>113.2296130533223</v>
      </c>
      <c r="E58" s="42">
        <v>90.71258452921164</v>
      </c>
      <c r="F58" s="42">
        <v>96.281427063401054</v>
      </c>
      <c r="G58" s="209">
        <v>6.6182193131892761</v>
      </c>
      <c r="H58" s="42">
        <v>99.628864777344717</v>
      </c>
      <c r="I58" s="42">
        <v>112.37111884803888</v>
      </c>
      <c r="J58" s="42">
        <v>90.024811904501377</v>
      </c>
      <c r="K58" s="42">
        <v>95.551432100233399</v>
      </c>
      <c r="L58" s="209">
        <v>8.2369855115591353</v>
      </c>
    </row>
    <row r="59" spans="1:12" x14ac:dyDescent="0.2">
      <c r="A59" s="38"/>
      <c r="B59" s="41" t="s">
        <v>96</v>
      </c>
      <c r="C59" s="42">
        <v>100.67867578687813</v>
      </c>
      <c r="D59" s="42">
        <v>113.49728901341393</v>
      </c>
      <c r="E59" s="42">
        <v>101.12067775863115</v>
      </c>
      <c r="F59" s="42">
        <v>102.91179537890864</v>
      </c>
      <c r="G59" s="209">
        <v>6.6338648511451526</v>
      </c>
      <c r="H59" s="42">
        <v>99.865624121896701</v>
      </c>
      <c r="I59" s="42">
        <v>112.58071796118263</v>
      </c>
      <c r="J59" s="42">
        <v>100.30405661445018</v>
      </c>
      <c r="K59" s="42">
        <v>102.08070969045393</v>
      </c>
      <c r="L59" s="209">
        <v>8.2523494669588793</v>
      </c>
    </row>
    <row r="60" spans="1:12" x14ac:dyDescent="0.2">
      <c r="A60" s="38"/>
      <c r="B60" s="41" t="s">
        <v>97</v>
      </c>
      <c r="C60" s="42">
        <v>101.29533395745707</v>
      </c>
      <c r="D60" s="42">
        <v>112.50063569066702</v>
      </c>
      <c r="E60" s="42">
        <v>103.90756845083061</v>
      </c>
      <c r="F60" s="42">
        <v>104.3748421628061</v>
      </c>
      <c r="G60" s="209">
        <v>6.5756109183506322</v>
      </c>
      <c r="H60" s="42">
        <v>100.54002644984079</v>
      </c>
      <c r="I60" s="42">
        <v>111.66177597789435</v>
      </c>
      <c r="J60" s="42">
        <v>103.13278284637201</v>
      </c>
      <c r="K60" s="42">
        <v>103.59657233721924</v>
      </c>
      <c r="L60" s="209">
        <v>8.1849895271460085</v>
      </c>
    </row>
    <row r="61" spans="1:12" x14ac:dyDescent="0.2">
      <c r="A61" s="38"/>
      <c r="B61" s="41" t="s">
        <v>98</v>
      </c>
      <c r="C61" s="42">
        <v>101.05524151579125</v>
      </c>
      <c r="D61" s="42">
        <v>110.30481857879809</v>
      </c>
      <c r="E61" s="42">
        <v>103.87254050466352</v>
      </c>
      <c r="F61" s="42">
        <v>105.53616296720928</v>
      </c>
      <c r="G61" s="209">
        <v>6.4472664082341931</v>
      </c>
      <c r="H61" s="42">
        <v>100.33398873636847</v>
      </c>
      <c r="I61" s="42">
        <v>109.51754959808667</v>
      </c>
      <c r="J61" s="42">
        <v>103.13118006238514</v>
      </c>
      <c r="K61" s="42">
        <v>104.78292889713067</v>
      </c>
      <c r="L61" s="209">
        <v>8.0278142511049886</v>
      </c>
    </row>
    <row r="62" spans="1:12" x14ac:dyDescent="0.2">
      <c r="A62" s="38"/>
      <c r="B62" s="41" t="s">
        <v>99</v>
      </c>
      <c r="C62" s="42">
        <v>100.99032226519114</v>
      </c>
      <c r="D62" s="42">
        <v>110.55287560992116</v>
      </c>
      <c r="E62" s="42">
        <v>105.07293780861974</v>
      </c>
      <c r="F62" s="42">
        <v>106.32924461670787</v>
      </c>
      <c r="G62" s="209">
        <v>6.4617652287271863</v>
      </c>
      <c r="H62" s="42">
        <v>100.29829257417587</v>
      </c>
      <c r="I62" s="42">
        <v>109.79531913685354</v>
      </c>
      <c r="J62" s="42">
        <v>104.35293225704991</v>
      </c>
      <c r="K62" s="42">
        <v>105.60063030349909</v>
      </c>
      <c r="L62" s="209">
        <v>8.0481752094173213</v>
      </c>
    </row>
    <row r="63" spans="1:12" x14ac:dyDescent="0.2">
      <c r="A63" s="38"/>
      <c r="B63" s="41" t="s">
        <v>100</v>
      </c>
      <c r="C63" s="42">
        <v>101.32041427385003</v>
      </c>
      <c r="D63" s="42">
        <v>107.89953172318387</v>
      </c>
      <c r="E63" s="42">
        <v>107.03352989896476</v>
      </c>
      <c r="F63" s="42">
        <v>106.64443479278931</v>
      </c>
      <c r="G63" s="209">
        <v>6.3066784869976358</v>
      </c>
      <c r="H63" s="42">
        <v>100.65818380519272</v>
      </c>
      <c r="I63" s="42">
        <v>107.19430012723103</v>
      </c>
      <c r="J63" s="42">
        <v>106.33395849299457</v>
      </c>
      <c r="K63" s="42">
        <v>105.94740651335844</v>
      </c>
      <c r="L63" s="209">
        <v>7.8575162917418355</v>
      </c>
    </row>
    <row r="64" spans="1:12" x14ac:dyDescent="0.2">
      <c r="A64" s="38"/>
      <c r="B64" s="41" t="s">
        <v>101</v>
      </c>
      <c r="C64" s="42">
        <v>100.78582885242194</v>
      </c>
      <c r="D64" s="42">
        <v>107.68522397160669</v>
      </c>
      <c r="E64" s="42">
        <v>106.70670046621522</v>
      </c>
      <c r="F64" s="42">
        <v>106.39541799015011</v>
      </c>
      <c r="G64" s="209">
        <v>6.294152296523186</v>
      </c>
      <c r="H64" s="42">
        <v>100.18627501601092</v>
      </c>
      <c r="I64" s="42">
        <v>107.0446270752762</v>
      </c>
      <c r="J64" s="42">
        <v>106.07192460175355</v>
      </c>
      <c r="K64" s="42">
        <v>105.76249388009536</v>
      </c>
      <c r="L64" s="209">
        <v>7.846545013952122</v>
      </c>
    </row>
    <row r="65" spans="1:12" x14ac:dyDescent="0.2">
      <c r="A65" s="38"/>
      <c r="B65" s="41" t="s">
        <v>102</v>
      </c>
      <c r="C65" s="42">
        <v>101.03880887289937</v>
      </c>
      <c r="D65" s="42">
        <v>109.17483464324432</v>
      </c>
      <c r="E65" s="42">
        <v>106.78643627912329</v>
      </c>
      <c r="F65" s="42">
        <v>106.31691621412273</v>
      </c>
      <c r="G65" s="209">
        <v>6.3812193618457744</v>
      </c>
      <c r="H65" s="42">
        <v>100.47100396080683</v>
      </c>
      <c r="I65" s="42">
        <v>108.56130793921018</v>
      </c>
      <c r="J65" s="42">
        <v>106.18633158924696</v>
      </c>
      <c r="K65" s="42">
        <v>105.71945007276263</v>
      </c>
      <c r="L65" s="209">
        <v>7.9577201844937404</v>
      </c>
    </row>
    <row r="66" spans="1:12" x14ac:dyDescent="0.2">
      <c r="A66" s="38"/>
      <c r="B66" s="41" t="s">
        <v>103</v>
      </c>
      <c r="C66" s="42">
        <v>101.35395860046324</v>
      </c>
      <c r="D66" s="42">
        <v>107.77818833578699</v>
      </c>
      <c r="E66" s="42">
        <v>105.78027625660972</v>
      </c>
      <c r="F66" s="42">
        <v>106.02372119626014</v>
      </c>
      <c r="G66" s="209">
        <v>6.2995860212694375</v>
      </c>
      <c r="H66" s="42">
        <v>100.81938033323624</v>
      </c>
      <c r="I66" s="42">
        <v>107.20972630469323</v>
      </c>
      <c r="J66" s="42">
        <v>105.22235195282435</v>
      </c>
      <c r="K66" s="42">
        <v>105.46451287381582</v>
      </c>
      <c r="L66" s="209">
        <v>7.8586470556032042</v>
      </c>
    </row>
    <row r="67" spans="1:12" x14ac:dyDescent="0.2">
      <c r="A67" s="38"/>
      <c r="B67" s="41" t="s">
        <v>104</v>
      </c>
      <c r="C67" s="42">
        <v>101.01851583201535</v>
      </c>
      <c r="D67" s="42">
        <v>108.77296416116759</v>
      </c>
      <c r="E67" s="42">
        <v>105.50547417990857</v>
      </c>
      <c r="F67" s="42">
        <v>105.71652105745173</v>
      </c>
      <c r="G67" s="209">
        <v>6.3577302151979938</v>
      </c>
      <c r="H67" s="42">
        <v>100.51855289705826</v>
      </c>
      <c r="I67" s="42">
        <v>108.23462274961456</v>
      </c>
      <c r="J67" s="42">
        <v>104.98330429757983</v>
      </c>
      <c r="K67" s="42">
        <v>105.19330665753689</v>
      </c>
      <c r="L67" s="209">
        <v>7.9337736295325945</v>
      </c>
    </row>
    <row r="68" spans="1:12" x14ac:dyDescent="0.2">
      <c r="A68" s="38"/>
      <c r="B68" s="41" t="s">
        <v>105</v>
      </c>
      <c r="C68" s="42">
        <v>100.83965747230242</v>
      </c>
      <c r="D68" s="42">
        <v>108.36568280576545</v>
      </c>
      <c r="E68" s="42">
        <v>103.95208158656558</v>
      </c>
      <c r="F68" s="42">
        <v>105.20706626932179</v>
      </c>
      <c r="G68" s="209">
        <v>6.3339248054686932</v>
      </c>
      <c r="H68" s="42">
        <v>100.28747613428854</v>
      </c>
      <c r="I68" s="42">
        <v>107.77229019390626</v>
      </c>
      <c r="J68" s="42">
        <v>103.38285712727422</v>
      </c>
      <c r="K68" s="42">
        <v>104.63096972082779</v>
      </c>
      <c r="L68" s="209">
        <v>7.8998839023328378</v>
      </c>
    </row>
    <row r="69" spans="1:12" x14ac:dyDescent="0.2">
      <c r="A69" s="38"/>
      <c r="B69" s="41" t="s">
        <v>106</v>
      </c>
      <c r="C69" s="42">
        <v>100.67976018120095</v>
      </c>
      <c r="D69" s="42">
        <v>108.71426135149639</v>
      </c>
      <c r="E69" s="42">
        <v>103.45468216920158</v>
      </c>
      <c r="F69" s="42">
        <v>104.61478674984974</v>
      </c>
      <c r="G69" s="209">
        <v>6.3542990627085691</v>
      </c>
      <c r="H69" s="42">
        <v>100.07393760853608</v>
      </c>
      <c r="I69" s="42">
        <v>108.06009259524599</v>
      </c>
      <c r="J69" s="42">
        <v>102.83216199639651</v>
      </c>
      <c r="K69" s="42">
        <v>103.98528585380555</v>
      </c>
      <c r="L69" s="209">
        <v>7.9209802857659612</v>
      </c>
    </row>
    <row r="70" spans="1:12" x14ac:dyDescent="0.2">
      <c r="A70" s="38"/>
      <c r="B70" s="41" t="s">
        <v>107</v>
      </c>
      <c r="C70" s="42">
        <v>100.32207957914659</v>
      </c>
      <c r="D70" s="42">
        <v>110.31690586340643</v>
      </c>
      <c r="E70" s="42">
        <v>103.38526636266165</v>
      </c>
      <c r="F70" s="42">
        <v>105.12176516526817</v>
      </c>
      <c r="G70" s="209">
        <v>6.4479729045144669</v>
      </c>
      <c r="H70" s="42">
        <v>99.664407470692836</v>
      </c>
      <c r="I70" s="42">
        <v>109.59371160366183</v>
      </c>
      <c r="J70" s="42">
        <v>102.70751320605822</v>
      </c>
      <c r="K70" s="42">
        <v>104.43262820528241</v>
      </c>
      <c r="L70" s="209">
        <v>8.0333970498070482</v>
      </c>
    </row>
    <row r="71" spans="1:12" x14ac:dyDescent="0.2">
      <c r="A71" s="38"/>
      <c r="B71" s="41" t="s">
        <v>108</v>
      </c>
      <c r="C71" s="42">
        <v>100.44331071624148</v>
      </c>
      <c r="D71" s="42">
        <v>110.48147887318534</v>
      </c>
      <c r="E71" s="42">
        <v>103.03031654064893</v>
      </c>
      <c r="F71" s="42">
        <v>105.51970228805975</v>
      </c>
      <c r="G71" s="209">
        <v>6.457592121982211</v>
      </c>
      <c r="H71" s="42">
        <v>99.732888822079076</v>
      </c>
      <c r="I71" s="42">
        <v>109.70005837906514</v>
      </c>
      <c r="J71" s="42">
        <v>102.30159710566591</v>
      </c>
      <c r="K71" s="42">
        <v>104.77337576580169</v>
      </c>
      <c r="L71" s="209">
        <v>8.0411924411600761</v>
      </c>
    </row>
    <row r="72" spans="1:12" x14ac:dyDescent="0.2">
      <c r="A72" s="38"/>
      <c r="B72" s="41" t="s">
        <v>109</v>
      </c>
      <c r="C72" s="42">
        <v>101.30684018296432</v>
      </c>
      <c r="D72" s="42">
        <v>112.25012913094909</v>
      </c>
      <c r="E72" s="42">
        <v>103.66654994598314</v>
      </c>
      <c r="F72" s="42">
        <v>105.62014545112453</v>
      </c>
      <c r="G72" s="209">
        <v>6.5609689240268922</v>
      </c>
      <c r="H72" s="42">
        <v>100.39656048099613</v>
      </c>
      <c r="I72" s="42">
        <v>111.24151990074635</v>
      </c>
      <c r="J72" s="42">
        <v>102.73506737265963</v>
      </c>
      <c r="K72" s="42">
        <v>104.67110909435489</v>
      </c>
      <c r="L72" s="209">
        <v>8.1541840741604066</v>
      </c>
    </row>
    <row r="73" spans="1:12" x14ac:dyDescent="0.2">
      <c r="A73" s="38"/>
      <c r="B73" s="41" t="s">
        <v>110</v>
      </c>
      <c r="C73" s="42">
        <v>101.48280593875158</v>
      </c>
      <c r="D73" s="42">
        <v>113.79287420534901</v>
      </c>
      <c r="E73" s="42">
        <v>104.01123677100334</v>
      </c>
      <c r="F73" s="42">
        <v>105.98889126658754</v>
      </c>
      <c r="G73" s="209">
        <v>6.6511416709911781</v>
      </c>
      <c r="H73" s="42">
        <v>100.39049295087167</v>
      </c>
      <c r="I73" s="42">
        <v>112.56806145728896</v>
      </c>
      <c r="J73" s="42">
        <v>102.89170894794542</v>
      </c>
      <c r="K73" s="42">
        <v>104.84807690468119</v>
      </c>
      <c r="L73" s="209">
        <v>8.2514217246682637</v>
      </c>
    </row>
    <row r="74" spans="1:12" x14ac:dyDescent="0.2">
      <c r="A74" s="38"/>
      <c r="B74" s="41" t="s">
        <v>111</v>
      </c>
      <c r="C74" s="42">
        <v>101.7677149778383</v>
      </c>
      <c r="D74" s="42">
        <v>113.11518771946859</v>
      </c>
      <c r="E74" s="42">
        <v>104.16739251230527</v>
      </c>
      <c r="F74" s="42">
        <v>106.50911228245462</v>
      </c>
      <c r="G74" s="209">
        <v>6.6115312045398893</v>
      </c>
      <c r="H74" s="42">
        <v>100.49087812475541</v>
      </c>
      <c r="I74" s="42">
        <v>111.69597888339463</v>
      </c>
      <c r="J74" s="42">
        <v>102.86044791127708</v>
      </c>
      <c r="K74" s="42">
        <v>105.17278710525088</v>
      </c>
      <c r="L74" s="209">
        <v>8.1874966556675286</v>
      </c>
    </row>
    <row r="75" spans="1:12" x14ac:dyDescent="0.2">
      <c r="A75" s="38"/>
      <c r="B75" s="41" t="s">
        <v>112</v>
      </c>
      <c r="C75" s="42">
        <v>102.34681649960527</v>
      </c>
      <c r="D75" s="42">
        <v>112.28754215405951</v>
      </c>
      <c r="E75" s="42">
        <v>104.30847677978342</v>
      </c>
      <c r="F75" s="42">
        <v>106.58608094213133</v>
      </c>
      <c r="G75" s="209">
        <v>6.56315569818815</v>
      </c>
      <c r="H75" s="42">
        <v>100.8808357238001</v>
      </c>
      <c r="I75" s="42">
        <v>110.67917382575985</v>
      </c>
      <c r="J75" s="42">
        <v>102.81439785341767</v>
      </c>
      <c r="K75" s="42">
        <v>105.05937839315484</v>
      </c>
      <c r="L75" s="209">
        <v>8.1129631935673245</v>
      </c>
    </row>
    <row r="76" spans="1:12" x14ac:dyDescent="0.2">
      <c r="A76" s="38"/>
      <c r="B76" s="41" t="s">
        <v>113</v>
      </c>
      <c r="C76" s="42">
        <v>102.24147679686983</v>
      </c>
      <c r="D76" s="42">
        <v>111.45237886327617</v>
      </c>
      <c r="E76" s="42">
        <v>104.37016430003128</v>
      </c>
      <c r="F76" s="42">
        <v>106.61228971525371</v>
      </c>
      <c r="G76" s="209">
        <v>6.5143407842121919</v>
      </c>
      <c r="H76" s="42">
        <v>100.58084461755418</v>
      </c>
      <c r="I76" s="42">
        <v>109.64214086006979</v>
      </c>
      <c r="J76" s="42">
        <v>102.67495743460771</v>
      </c>
      <c r="K76" s="42">
        <v>104.88066567618179</v>
      </c>
      <c r="L76" s="209">
        <v>8.0369469929548725</v>
      </c>
    </row>
    <row r="77" spans="1:12" x14ac:dyDescent="0.2">
      <c r="A77" s="38"/>
      <c r="B77" s="41" t="s">
        <v>114</v>
      </c>
      <c r="C77" s="42">
        <v>102.35438078017589</v>
      </c>
      <c r="D77" s="42">
        <v>112.65491432451616</v>
      </c>
      <c r="E77" s="42">
        <v>104.40107756601689</v>
      </c>
      <c r="F77" s="42">
        <v>106.61276990200217</v>
      </c>
      <c r="G77" s="209">
        <v>6.5846284342337942</v>
      </c>
      <c r="H77" s="42">
        <v>100.50361407963595</v>
      </c>
      <c r="I77" s="42">
        <v>110.61789390101536</v>
      </c>
      <c r="J77" s="42">
        <v>102.51330259843</v>
      </c>
      <c r="K77" s="42">
        <v>104.68500322623358</v>
      </c>
      <c r="L77" s="209">
        <v>8.108471275559884</v>
      </c>
    </row>
    <row r="78" spans="1:12" x14ac:dyDescent="0.2">
      <c r="A78" s="38"/>
      <c r="B78" s="41" t="s">
        <v>115</v>
      </c>
      <c r="C78" s="42">
        <v>102.70013258714287</v>
      </c>
      <c r="D78" s="42">
        <v>111.70141785157932</v>
      </c>
      <c r="E78" s="42">
        <v>104.92407420750666</v>
      </c>
      <c r="F78" s="42">
        <v>107.22979242732296</v>
      </c>
      <c r="G78" s="209">
        <v>6.5288969996551325</v>
      </c>
      <c r="H78" s="42">
        <v>100.65684934163684</v>
      </c>
      <c r="I78" s="42">
        <v>109.47904841693681</v>
      </c>
      <c r="J78" s="42">
        <v>102.83654425523014</v>
      </c>
      <c r="K78" s="42">
        <v>105.09638877178311</v>
      </c>
      <c r="L78" s="209">
        <v>8.0249920519975984</v>
      </c>
    </row>
    <row r="79" spans="1:12" x14ac:dyDescent="0.2">
      <c r="A79" s="38"/>
      <c r="B79" s="41" t="s">
        <v>116</v>
      </c>
      <c r="C79" s="42">
        <v>102.89479983282207</v>
      </c>
      <c r="D79" s="42">
        <v>111.81783547709777</v>
      </c>
      <c r="E79" s="42">
        <v>105.13846363970181</v>
      </c>
      <c r="F79" s="42">
        <v>107.61945209228196</v>
      </c>
      <c r="G79" s="209">
        <v>6.5357015568449475</v>
      </c>
      <c r="H79" s="42">
        <v>100.66157251315207</v>
      </c>
      <c r="I79" s="42">
        <v>109.39094271459138</v>
      </c>
      <c r="J79" s="42">
        <v>102.85653987164159</v>
      </c>
      <c r="K79" s="42">
        <v>105.28368098498704</v>
      </c>
      <c r="L79" s="209">
        <v>8.0185337609247256</v>
      </c>
    </row>
    <row r="80" spans="1:12" x14ac:dyDescent="0.2">
      <c r="A80" s="38"/>
      <c r="B80" s="41" t="s">
        <v>117</v>
      </c>
      <c r="C80" s="42">
        <v>102.80543909251908</v>
      </c>
      <c r="D80" s="42">
        <v>111.11276571170143</v>
      </c>
      <c r="E80" s="42">
        <v>105.21898670616007</v>
      </c>
      <c r="F80" s="42">
        <v>107.87408443435363</v>
      </c>
      <c r="G80" s="209">
        <v>6.4944905501775088</v>
      </c>
      <c r="H80" s="42">
        <v>100.48002516130745</v>
      </c>
      <c r="I80" s="42">
        <v>108.59944369681355</v>
      </c>
      <c r="J80" s="42">
        <v>102.83897938675861</v>
      </c>
      <c r="K80" s="42">
        <v>105.43401996913997</v>
      </c>
      <c r="L80" s="209">
        <v>7.9605155974616943</v>
      </c>
    </row>
    <row r="81" spans="1:12" x14ac:dyDescent="0.2">
      <c r="A81" s="38"/>
      <c r="B81" s="41" t="s">
        <v>118</v>
      </c>
      <c r="C81" s="42">
        <v>102.73453346661934</v>
      </c>
      <c r="D81" s="42">
        <v>111.14299725047975</v>
      </c>
      <c r="E81" s="42">
        <v>105.19614403562319</v>
      </c>
      <c r="F81" s="42">
        <v>108.04306070761179</v>
      </c>
      <c r="G81" s="209">
        <v>6.4962575698503215</v>
      </c>
      <c r="H81" s="42">
        <v>100.31690056895337</v>
      </c>
      <c r="I81" s="42">
        <v>108.52748951971981</v>
      </c>
      <c r="J81" s="42">
        <v>102.72058250878014</v>
      </c>
      <c r="K81" s="42">
        <v>105.50050321387367</v>
      </c>
      <c r="L81" s="209">
        <v>7.9552412394211833</v>
      </c>
    </row>
    <row r="82" spans="1:12" x14ac:dyDescent="0.2">
      <c r="A82" s="38"/>
      <c r="B82" s="41" t="s">
        <v>119</v>
      </c>
      <c r="C82" s="42">
        <v>102.73190655362711</v>
      </c>
      <c r="D82" s="42">
        <v>111.32537620566879</v>
      </c>
      <c r="E82" s="42">
        <v>105.29136457153598</v>
      </c>
      <c r="F82" s="42">
        <v>108.25373136239078</v>
      </c>
      <c r="G82" s="209">
        <v>6.5069175367176717</v>
      </c>
      <c r="H82" s="42">
        <v>100.22075249791511</v>
      </c>
      <c r="I82" s="42">
        <v>108.60416544125454</v>
      </c>
      <c r="J82" s="42">
        <v>102.71764773861375</v>
      </c>
      <c r="K82" s="42">
        <v>105.60760314695932</v>
      </c>
      <c r="L82" s="209">
        <v>7.9608617089977223</v>
      </c>
    </row>
    <row r="83" spans="1:12" x14ac:dyDescent="0.2">
      <c r="A83" s="38"/>
      <c r="B83" s="41" t="s">
        <v>120</v>
      </c>
      <c r="C83" s="42">
        <v>102.72180223606505</v>
      </c>
      <c r="D83" s="42">
        <v>111.43882894229328</v>
      </c>
      <c r="E83" s="42">
        <v>105.40118166732736</v>
      </c>
      <c r="F83" s="42">
        <v>108.49781352227016</v>
      </c>
      <c r="G83" s="209">
        <v>6.5135487975019757</v>
      </c>
      <c r="H83" s="42">
        <v>100.11755809247022</v>
      </c>
      <c r="I83" s="42">
        <v>108.61358725723123</v>
      </c>
      <c r="J83" s="42">
        <v>102.72900882660653</v>
      </c>
      <c r="K83" s="42">
        <v>105.74713363438354</v>
      </c>
      <c r="L83" s="209">
        <v>7.9615523434106228</v>
      </c>
    </row>
    <row r="84" spans="1:12" x14ac:dyDescent="0.2">
      <c r="A84" s="38"/>
      <c r="B84" s="41" t="s">
        <v>121</v>
      </c>
      <c r="C84" s="42">
        <v>102.74669863744472</v>
      </c>
      <c r="D84" s="42">
        <v>111.5703753149411</v>
      </c>
      <c r="E84" s="42">
        <v>105.67273923959907</v>
      </c>
      <c r="F84" s="42">
        <v>108.75151362377072</v>
      </c>
      <c r="G84" s="209">
        <v>6.5212376230712001</v>
      </c>
      <c r="H84" s="42">
        <v>100.04658974624807</v>
      </c>
      <c r="I84" s="42">
        <v>108.63838658559973</v>
      </c>
      <c r="J84" s="42">
        <v>102.89573611870304</v>
      </c>
      <c r="K84" s="42">
        <v>105.89360253990429</v>
      </c>
      <c r="L84" s="209">
        <v>7.9633701744561964</v>
      </c>
    </row>
    <row r="85" spans="1:12" x14ac:dyDescent="0.2">
      <c r="A85" s="38"/>
      <c r="B85" s="41" t="s">
        <v>122</v>
      </c>
      <c r="C85" s="42">
        <v>102.81466648175984</v>
      </c>
      <c r="D85" s="42">
        <v>111.75631016520057</v>
      </c>
      <c r="E85" s="42">
        <v>106.04324926507657</v>
      </c>
      <c r="F85" s="42">
        <v>109.12910295420376</v>
      </c>
      <c r="G85" s="209">
        <v>6.5321054303859061</v>
      </c>
      <c r="H85" s="42">
        <v>100.0177388207462</v>
      </c>
      <c r="I85" s="42">
        <v>108.7161377278439</v>
      </c>
      <c r="J85" s="42">
        <v>103.15849257342427</v>
      </c>
      <c r="K85" s="42">
        <v>106.16039997515588</v>
      </c>
      <c r="L85" s="209">
        <v>7.9690694594569829</v>
      </c>
    </row>
    <row r="86" spans="1:12" x14ac:dyDescent="0.2">
      <c r="A86" s="38"/>
      <c r="B86" s="41" t="s">
        <v>123</v>
      </c>
      <c r="C86" s="42">
        <v>102.92633643529172</v>
      </c>
      <c r="D86" s="42">
        <v>111.99833169499843</v>
      </c>
      <c r="E86" s="42">
        <v>106.48477370878847</v>
      </c>
      <c r="F86" s="42">
        <v>109.56171220698434</v>
      </c>
      <c r="G86" s="209">
        <v>6.5462514785752743</v>
      </c>
      <c r="H86" s="42">
        <v>100.03149806328918</v>
      </c>
      <c r="I86" s="42">
        <v>108.84834035731217</v>
      </c>
      <c r="J86" s="42">
        <v>103.48985307290238</v>
      </c>
      <c r="K86" s="42">
        <v>106.48025162475064</v>
      </c>
      <c r="L86" s="209">
        <v>7.978760126905021</v>
      </c>
    </row>
    <row r="87" spans="1:12" x14ac:dyDescent="0.2">
      <c r="A87" s="38"/>
      <c r="B87" s="41" t="s">
        <v>124</v>
      </c>
      <c r="C87" s="42">
        <v>103.04923411574282</v>
      </c>
      <c r="D87" s="42">
        <v>112.25368389297878</v>
      </c>
      <c r="E87" s="42">
        <v>106.95647094918255</v>
      </c>
      <c r="F87" s="42">
        <v>110.01755336744607</v>
      </c>
      <c r="G87" s="209">
        <v>6.5611766982485324</v>
      </c>
      <c r="H87" s="42">
        <v>100.05621521307935</v>
      </c>
      <c r="I87" s="42">
        <v>108.99332586442776</v>
      </c>
      <c r="J87" s="42">
        <v>103.84996810071377</v>
      </c>
      <c r="K87" s="42">
        <v>106.82214274960771</v>
      </c>
      <c r="L87" s="209">
        <v>7.9893878000450567</v>
      </c>
    </row>
    <row r="88" spans="1:12" x14ac:dyDescent="0.2">
      <c r="A88" s="38"/>
      <c r="B88" s="41" t="s">
        <v>125</v>
      </c>
      <c r="C88" s="42">
        <v>103.1788550814896</v>
      </c>
      <c r="D88" s="42">
        <v>112.4900004290475</v>
      </c>
      <c r="E88" s="42">
        <v>107.47550932099645</v>
      </c>
      <c r="F88" s="42">
        <v>110.45652946037549</v>
      </c>
      <c r="G88" s="209">
        <v>6.5749892921527389</v>
      </c>
      <c r="H88" s="42">
        <v>100.09427699295009</v>
      </c>
      <c r="I88" s="42">
        <v>109.12706147969401</v>
      </c>
      <c r="J88" s="42">
        <v>104.26248082940926</v>
      </c>
      <c r="K88" s="42">
        <v>107.15438203646288</v>
      </c>
      <c r="L88" s="209">
        <v>7.9991908378417813</v>
      </c>
    </row>
    <row r="89" spans="1:12" x14ac:dyDescent="0.2">
      <c r="A89" s="38"/>
      <c r="B89" s="41" t="s">
        <v>126</v>
      </c>
      <c r="C89" s="42">
        <v>103.30051966273379</v>
      </c>
      <c r="D89" s="42">
        <v>112.6413361211405</v>
      </c>
      <c r="E89" s="42">
        <v>107.95593932462633</v>
      </c>
      <c r="F89" s="42">
        <v>110.89170622811865</v>
      </c>
      <c r="G89" s="209">
        <v>6.5838347944306017</v>
      </c>
      <c r="H89" s="42">
        <v>100.12465231758941</v>
      </c>
      <c r="I89" s="42">
        <v>109.17829506124519</v>
      </c>
      <c r="J89" s="42">
        <v>104.63694593006399</v>
      </c>
      <c r="K89" s="42">
        <v>107.48245572476152</v>
      </c>
      <c r="L89" s="209">
        <v>8.0029463425770615</v>
      </c>
    </row>
    <row r="90" spans="1:12" x14ac:dyDescent="0.2">
      <c r="A90" s="38"/>
      <c r="B90" s="41" t="s">
        <v>127</v>
      </c>
      <c r="C90" s="42">
        <v>103.42456654377722</v>
      </c>
      <c r="D90" s="42">
        <v>112.73193755406101</v>
      </c>
      <c r="E90" s="42">
        <v>108.43731343733909</v>
      </c>
      <c r="F90" s="42">
        <v>111.34352122177189</v>
      </c>
      <c r="G90" s="209">
        <v>6.589130406920904</v>
      </c>
      <c r="H90" s="42">
        <v>100.15737336181539</v>
      </c>
      <c r="I90" s="42">
        <v>109.17072352073875</v>
      </c>
      <c r="J90" s="42">
        <v>105.01176704181448</v>
      </c>
      <c r="K90" s="42">
        <v>107.82616740973138</v>
      </c>
      <c r="L90" s="209">
        <v>8.0023913363611285</v>
      </c>
    </row>
    <row r="91" spans="1:12" x14ac:dyDescent="0.2">
      <c r="A91" s="38"/>
      <c r="B91" s="41" t="s">
        <v>128</v>
      </c>
      <c r="C91" s="42">
        <v>103.55154405589053</v>
      </c>
      <c r="D91" s="42">
        <v>112.82130833124207</v>
      </c>
      <c r="E91" s="42">
        <v>108.91806847321413</v>
      </c>
      <c r="F91" s="42">
        <v>111.78317881384578</v>
      </c>
      <c r="G91" s="209">
        <v>6.5943540881437288</v>
      </c>
      <c r="H91" s="42">
        <v>100.19296448010016</v>
      </c>
      <c r="I91" s="42">
        <v>109.16207422391923</v>
      </c>
      <c r="J91" s="42">
        <v>105.385431625122</v>
      </c>
      <c r="K91" s="42">
        <v>108.15761528696615</v>
      </c>
      <c r="L91" s="209">
        <v>8.0017573288570851</v>
      </c>
    </row>
    <row r="92" spans="1:12" x14ac:dyDescent="0.2">
      <c r="A92" s="38"/>
      <c r="B92" s="41" t="s">
        <v>129</v>
      </c>
      <c r="C92" s="42">
        <v>103.682356729346</v>
      </c>
      <c r="D92" s="42">
        <v>112.96085974411379</v>
      </c>
      <c r="E92" s="42">
        <v>109.3709522678525</v>
      </c>
      <c r="F92" s="42">
        <v>112.19686441251136</v>
      </c>
      <c r="G92" s="209">
        <v>6.6025108046681913</v>
      </c>
      <c r="H92" s="42">
        <v>100.23883806667314</v>
      </c>
      <c r="I92" s="42">
        <v>109.20918162885033</v>
      </c>
      <c r="J92" s="42">
        <v>105.73850286016987</v>
      </c>
      <c r="K92" s="42">
        <v>108.47056025927537</v>
      </c>
      <c r="L92" s="209">
        <v>8.0052103781448594</v>
      </c>
    </row>
    <row r="93" spans="1:12" x14ac:dyDescent="0.2">
      <c r="A93" s="38"/>
      <c r="B93" s="41" t="s">
        <v>130</v>
      </c>
      <c r="C93" s="42">
        <v>103.80307692981363</v>
      </c>
      <c r="D93" s="42">
        <v>113.13406724184189</v>
      </c>
      <c r="E93" s="42">
        <v>109.79048021684505</v>
      </c>
      <c r="F93" s="42">
        <v>112.59580808414916</v>
      </c>
      <c r="G93" s="209">
        <v>6.6126347040240372</v>
      </c>
      <c r="H93" s="42">
        <v>100.27498833433751</v>
      </c>
      <c r="I93" s="42">
        <v>109.28883428535009</v>
      </c>
      <c r="J93" s="42">
        <v>106.05889005014117</v>
      </c>
      <c r="K93" s="42">
        <v>108.76886963348352</v>
      </c>
      <c r="L93" s="209">
        <v>8.0110490472287985</v>
      </c>
    </row>
    <row r="94" spans="1:12" x14ac:dyDescent="0.2">
      <c r="A94" s="38"/>
      <c r="B94" s="47" t="s">
        <v>131</v>
      </c>
      <c r="C94" s="42">
        <v>103.96115732060971</v>
      </c>
      <c r="D94" s="42">
        <v>113.41062839844246</v>
      </c>
      <c r="E94" s="42">
        <v>110.15236502247186</v>
      </c>
      <c r="F94" s="42">
        <v>113.00928575991965</v>
      </c>
      <c r="G94" s="209">
        <v>6.6287995776691488</v>
      </c>
      <c r="H94" s="42">
        <v>100.34724170877361</v>
      </c>
      <c r="I94" s="42">
        <v>109.4682286495314</v>
      </c>
      <c r="J94" s="42">
        <v>106.32322958482254</v>
      </c>
      <c r="K94" s="42">
        <v>109.08083755276165</v>
      </c>
      <c r="L94" s="209">
        <v>8.0241989454745841</v>
      </c>
    </row>
    <row r="95" spans="1:12" x14ac:dyDescent="0.2">
      <c r="A95" s="38"/>
      <c r="B95" s="47" t="s">
        <v>132</v>
      </c>
      <c r="C95" s="42">
        <v>104.09863769238135</v>
      </c>
      <c r="D95" s="42">
        <v>113.741231033623</v>
      </c>
      <c r="E95" s="42">
        <v>110.52328039730783</v>
      </c>
      <c r="F95" s="42">
        <v>113.40385957086001</v>
      </c>
      <c r="G95" s="209">
        <v>6.6481231511243788</v>
      </c>
      <c r="H95" s="42">
        <v>100.39961103511106</v>
      </c>
      <c r="I95" s="42">
        <v>109.69956579236016</v>
      </c>
      <c r="J95" s="42">
        <v>106.59596137084066</v>
      </c>
      <c r="K95" s="42">
        <v>109.37418244069859</v>
      </c>
      <c r="L95" s="209">
        <v>8.0411563337545999</v>
      </c>
    </row>
    <row r="96" spans="1:12" x14ac:dyDescent="0.2">
      <c r="A96" s="38"/>
      <c r="B96" s="47" t="s">
        <v>133</v>
      </c>
      <c r="C96" s="42">
        <v>104.23357018804205</v>
      </c>
      <c r="D96" s="42">
        <v>114.04848601839331</v>
      </c>
      <c r="E96" s="42">
        <v>110.88278443169628</v>
      </c>
      <c r="F96" s="42">
        <v>113.79736639878543</v>
      </c>
      <c r="G96" s="209">
        <v>6.6660820650466839</v>
      </c>
      <c r="H96" s="42">
        <v>100.44969842291741</v>
      </c>
      <c r="I96" s="42">
        <v>109.90831461946989</v>
      </c>
      <c r="J96" s="42">
        <v>106.85753386709813</v>
      </c>
      <c r="K96" s="42">
        <v>109.66631110743261</v>
      </c>
      <c r="L96" s="209">
        <v>8.0564579618071157</v>
      </c>
    </row>
    <row r="97" spans="1:13" x14ac:dyDescent="0.2">
      <c r="A97" s="38"/>
      <c r="B97" s="47" t="s">
        <v>134</v>
      </c>
      <c r="C97" s="42">
        <v>104.34433066648953</v>
      </c>
      <c r="D97" s="42">
        <v>114.30504564736324</v>
      </c>
      <c r="E97" s="42">
        <v>111.24349785130046</v>
      </c>
      <c r="F97" s="42">
        <v>114.18507381385186</v>
      </c>
      <c r="G97" s="209">
        <v>6.6810778585113662</v>
      </c>
      <c r="H97" s="42">
        <v>100.47652599409446</v>
      </c>
      <c r="I97" s="42">
        <v>110.06802014909925</v>
      </c>
      <c r="J97" s="42">
        <v>107.11995689785778</v>
      </c>
      <c r="K97" s="42">
        <v>109.95249539589638</v>
      </c>
      <c r="L97" s="209">
        <v>8.0681646365039477</v>
      </c>
    </row>
    <row r="98" spans="1:13" x14ac:dyDescent="0.2">
      <c r="A98" s="38"/>
      <c r="B98" s="47" t="s">
        <v>135</v>
      </c>
      <c r="C98" s="42">
        <v>104.43631719011569</v>
      </c>
      <c r="D98" s="42">
        <v>114.4979245866503</v>
      </c>
      <c r="E98" s="42">
        <v>111.60542446838737</v>
      </c>
      <c r="F98" s="42">
        <v>114.57314342708635</v>
      </c>
      <c r="G98" s="209">
        <v>6.6923515446670887</v>
      </c>
      <c r="H98" s="42">
        <v>100.48534256412042</v>
      </c>
      <c r="I98" s="42">
        <v>110.1663050222849</v>
      </c>
      <c r="J98" s="42">
        <v>107.38323230322966</v>
      </c>
      <c r="K98" s="42">
        <v>110.23867822685447</v>
      </c>
      <c r="L98" s="209">
        <v>8.0753690773312243</v>
      </c>
    </row>
    <row r="99" spans="1:13" x14ac:dyDescent="0.2">
      <c r="A99" s="38"/>
      <c r="B99" s="344" t="s">
        <v>645</v>
      </c>
      <c r="C99" s="42">
        <v>104.52773564652458</v>
      </c>
      <c r="D99" s="42">
        <v>114.64796513386463</v>
      </c>
      <c r="E99" s="42">
        <v>111.96856880360968</v>
      </c>
      <c r="F99" s="42">
        <v>114.96729664409621</v>
      </c>
      <c r="G99" s="209">
        <v>6.7011213463166612</v>
      </c>
      <c r="H99" s="42">
        <v>100.49369441990983</v>
      </c>
      <c r="I99" s="42">
        <v>110.22335366556028</v>
      </c>
      <c r="J99" s="42">
        <v>107.64736333747149</v>
      </c>
      <c r="K99" s="42">
        <v>110.5303612077152</v>
      </c>
      <c r="L99" s="209">
        <v>8.079550835535029</v>
      </c>
    </row>
    <row r="100" spans="1:13" x14ac:dyDescent="0.2">
      <c r="A100" s="38"/>
      <c r="B100" s="344" t="s">
        <v>646</v>
      </c>
      <c r="C100" s="42">
        <v>104.5949762958975</v>
      </c>
      <c r="D100" s="42">
        <v>114.78780039536294</v>
      </c>
      <c r="E100" s="42">
        <v>112.33704209154151</v>
      </c>
      <c r="F100" s="42">
        <v>115.32489453027206</v>
      </c>
      <c r="G100" s="209">
        <v>6.7092946536640694</v>
      </c>
      <c r="H100" s="42">
        <v>100.47537254294468</v>
      </c>
      <c r="I100" s="42">
        <v>110.26673953710369</v>
      </c>
      <c r="J100" s="42">
        <v>107.912507409429</v>
      </c>
      <c r="K100" s="42">
        <v>110.7826795488205</v>
      </c>
      <c r="L100" s="209">
        <v>8.0827310903814062</v>
      </c>
    </row>
    <row r="101" spans="1:13" x14ac:dyDescent="0.2">
      <c r="A101" s="38"/>
      <c r="B101" s="344" t="s">
        <v>647</v>
      </c>
      <c r="C101" s="42">
        <v>104.6616101863015</v>
      </c>
      <c r="D101" s="42">
        <v>114.94965304227578</v>
      </c>
      <c r="E101" s="42">
        <v>112.7067635040339</v>
      </c>
      <c r="F101" s="42">
        <v>115.68500148407487</v>
      </c>
      <c r="G101" s="209">
        <v>6.718754867161266</v>
      </c>
      <c r="H101" s="42">
        <v>100.45659152951224</v>
      </c>
      <c r="I101" s="42">
        <v>110.33128882282784</v>
      </c>
      <c r="J101" s="42">
        <v>108.17851248212453</v>
      </c>
      <c r="K101" s="42">
        <v>111.03709296551381</v>
      </c>
      <c r="L101" s="209">
        <v>8.087462657858369</v>
      </c>
    </row>
    <row r="102" spans="1:13" x14ac:dyDescent="0.2">
      <c r="A102" s="38"/>
      <c r="B102" s="300" t="s">
        <v>648</v>
      </c>
      <c r="C102" s="42">
        <v>104.72811629346388</v>
      </c>
      <c r="D102" s="42">
        <v>115.11884860376051</v>
      </c>
      <c r="E102" s="42">
        <v>113.07773715081892</v>
      </c>
      <c r="F102" s="42">
        <v>116.04624368484674</v>
      </c>
      <c r="G102" s="209">
        <v>6.7286442706709009</v>
      </c>
      <c r="H102" s="42">
        <v>100.4378114870283</v>
      </c>
      <c r="I102" s="42">
        <v>110.40287578809296</v>
      </c>
      <c r="J102" s="42">
        <v>108.44538075628977</v>
      </c>
      <c r="K102" s="42">
        <v>111.29227908899001</v>
      </c>
      <c r="L102" s="209">
        <v>8.0927100986754592</v>
      </c>
    </row>
    <row r="103" spans="1:13" x14ac:dyDescent="0.2">
      <c r="A103" s="38"/>
      <c r="B103" s="43"/>
      <c r="C103" s="556" t="s">
        <v>216</v>
      </c>
      <c r="D103" s="556"/>
      <c r="E103" s="556"/>
      <c r="F103" s="556"/>
      <c r="G103" s="207"/>
      <c r="H103" s="557" t="s">
        <v>216</v>
      </c>
      <c r="I103" s="556"/>
      <c r="J103" s="556"/>
      <c r="K103" s="556"/>
      <c r="L103" s="210"/>
      <c r="M103" s="74"/>
    </row>
    <row r="104" spans="1:13" x14ac:dyDescent="0.2">
      <c r="A104" s="38"/>
      <c r="B104" s="41">
        <v>2008</v>
      </c>
      <c r="C104" s="42">
        <v>100</v>
      </c>
      <c r="D104" s="42">
        <v>100.00000000000001</v>
      </c>
      <c r="E104" s="42">
        <v>99.999999999999986</v>
      </c>
      <c r="F104" s="42">
        <v>100</v>
      </c>
      <c r="G104" s="209">
        <v>23.408396869457004</v>
      </c>
      <c r="H104" s="42">
        <v>100</v>
      </c>
      <c r="I104" s="42">
        <v>100</v>
      </c>
      <c r="J104" s="42">
        <v>100</v>
      </c>
      <c r="K104" s="42">
        <v>100.00000000000001</v>
      </c>
      <c r="L104" s="209">
        <v>29.341943195170373</v>
      </c>
    </row>
    <row r="105" spans="1:13" x14ac:dyDescent="0.2">
      <c r="A105" s="38"/>
      <c r="B105" s="13">
        <v>2009</v>
      </c>
      <c r="C105" s="42">
        <v>97.690817265658865</v>
      </c>
      <c r="D105" s="42">
        <v>100.8748436598505</v>
      </c>
      <c r="E105" s="42">
        <v>96.23530379792669</v>
      </c>
      <c r="F105" s="42">
        <v>94.719884454239889</v>
      </c>
      <c r="G105" s="209">
        <v>23.613183745342088</v>
      </c>
      <c r="H105" s="42">
        <v>97.599044287470051</v>
      </c>
      <c r="I105" s="42">
        <v>100.78007953476572</v>
      </c>
      <c r="J105" s="42">
        <v>96.144898162231939</v>
      </c>
      <c r="K105" s="42">
        <v>94.630902437983167</v>
      </c>
      <c r="L105" s="209">
        <v>29.570833689138482</v>
      </c>
    </row>
    <row r="106" spans="1:13" x14ac:dyDescent="0.2">
      <c r="A106" s="38"/>
      <c r="B106" s="13">
        <v>2010</v>
      </c>
      <c r="C106" s="42">
        <v>97.153955748138188</v>
      </c>
      <c r="D106" s="42">
        <v>101.05928256090502</v>
      </c>
      <c r="E106" s="42">
        <v>98.059106349140507</v>
      </c>
      <c r="F106" s="42">
        <v>96.089828834546083</v>
      </c>
      <c r="G106" s="209">
        <v>23.6563579352826</v>
      </c>
      <c r="H106" s="42">
        <v>96.979497220353565</v>
      </c>
      <c r="I106" s="42">
        <v>100.8778112711487</v>
      </c>
      <c r="J106" s="42">
        <v>97.883022450159615</v>
      </c>
      <c r="K106" s="42">
        <v>95.917281150363166</v>
      </c>
      <c r="L106" s="209">
        <v>29.599510079711624</v>
      </c>
    </row>
    <row r="107" spans="1:13" x14ac:dyDescent="0.2">
      <c r="A107" s="38"/>
      <c r="B107" s="13">
        <v>2011</v>
      </c>
      <c r="C107" s="42">
        <v>96.882124281666407</v>
      </c>
      <c r="D107" s="42">
        <v>97.842659170551968</v>
      </c>
      <c r="E107" s="42">
        <v>96.668023905091246</v>
      </c>
      <c r="F107" s="42">
        <v>96.135244049610804</v>
      </c>
      <c r="G107" s="209">
        <v>22.903397966272973</v>
      </c>
      <c r="H107" s="42">
        <v>96.642956215568503</v>
      </c>
      <c r="I107" s="42">
        <v>97.601119879901589</v>
      </c>
      <c r="J107" s="42">
        <v>96.429384377910054</v>
      </c>
      <c r="K107" s="42">
        <v>95.897919769474797</v>
      </c>
      <c r="L107" s="209">
        <v>28.63806515301086</v>
      </c>
    </row>
    <row r="108" spans="1:13" x14ac:dyDescent="0.2">
      <c r="A108" s="38"/>
      <c r="B108" s="13">
        <v>2012</v>
      </c>
      <c r="C108" s="42">
        <v>97.345834185394878</v>
      </c>
      <c r="D108" s="42">
        <v>99.558625182503491</v>
      </c>
      <c r="E108" s="42">
        <v>97.907449710452866</v>
      </c>
      <c r="F108" s="42">
        <v>96.943172458512393</v>
      </c>
      <c r="G108" s="209">
        <v>23.305078100495578</v>
      </c>
      <c r="H108" s="42">
        <v>97.092181620797746</v>
      </c>
      <c r="I108" s="42">
        <v>99.299206781946026</v>
      </c>
      <c r="J108" s="42">
        <v>97.652333752794902</v>
      </c>
      <c r="K108" s="42">
        <v>96.690569103473564</v>
      </c>
      <c r="L108" s="209">
        <v>29.136316847213372</v>
      </c>
    </row>
    <row r="109" spans="1:13" x14ac:dyDescent="0.2">
      <c r="A109" s="38"/>
      <c r="B109" s="13">
        <v>2013</v>
      </c>
      <c r="C109" s="42">
        <v>97.898581606691408</v>
      </c>
      <c r="D109" s="42">
        <v>100.67303268192957</v>
      </c>
      <c r="E109" s="42">
        <v>99.38062667697632</v>
      </c>
      <c r="F109" s="42">
        <v>97.937522726840797</v>
      </c>
      <c r="G109" s="209">
        <v>23.565943030704229</v>
      </c>
      <c r="H109" s="42">
        <v>97.617332523289292</v>
      </c>
      <c r="I109" s="42">
        <v>100.38381298435669</v>
      </c>
      <c r="J109" s="42">
        <v>99.095119883087108</v>
      </c>
      <c r="K109" s="42">
        <v>97.656161770986941</v>
      </c>
      <c r="L109" s="209">
        <v>29.454561383016003</v>
      </c>
    </row>
    <row r="110" spans="1:13" x14ac:dyDescent="0.2">
      <c r="A110" s="38"/>
      <c r="B110" s="41">
        <v>2014</v>
      </c>
      <c r="C110" s="42">
        <v>99.508474416092184</v>
      </c>
      <c r="D110" s="42">
        <v>102.28292248687974</v>
      </c>
      <c r="E110" s="42">
        <v>101.38115962002736</v>
      </c>
      <c r="F110" s="42">
        <v>100.28973269876596</v>
      </c>
      <c r="G110" s="209">
        <v>23.942792425407895</v>
      </c>
      <c r="H110" s="42">
        <v>99.201391881351228</v>
      </c>
      <c r="I110" s="42">
        <v>101.96727802260382</v>
      </c>
      <c r="J110" s="42">
        <v>101.06829799036439</v>
      </c>
      <c r="K110" s="42">
        <v>99.980239205811273</v>
      </c>
      <c r="L110" s="209">
        <v>29.919180795053858</v>
      </c>
    </row>
    <row r="111" spans="1:13" x14ac:dyDescent="0.2">
      <c r="A111" s="38"/>
      <c r="B111" s="41">
        <v>2015</v>
      </c>
      <c r="C111" s="42">
        <v>100.46879630469952</v>
      </c>
      <c r="D111" s="42">
        <v>107.65990598197737</v>
      </c>
      <c r="E111" s="42">
        <v>103.62037506330027</v>
      </c>
      <c r="F111" s="42">
        <v>101.68443769290228</v>
      </c>
      <c r="G111" s="209">
        <v>25.201458061545544</v>
      </c>
      <c r="H111" s="42">
        <v>100.14428573559937</v>
      </c>
      <c r="I111" s="42">
        <v>107.31216838936679</v>
      </c>
      <c r="J111" s="42">
        <v>103.28568500908499</v>
      </c>
      <c r="K111" s="42">
        <v>101.35600064619699</v>
      </c>
      <c r="L111" s="209">
        <v>31.487475490313582</v>
      </c>
    </row>
    <row r="112" spans="1:13" x14ac:dyDescent="0.2">
      <c r="A112" s="38"/>
      <c r="B112" s="41">
        <v>2016</v>
      </c>
      <c r="C112" s="42">
        <v>101.20348884874521</v>
      </c>
      <c r="D112" s="42">
        <v>107.64316004127157</v>
      </c>
      <c r="E112" s="42">
        <v>106.52540892983212</v>
      </c>
      <c r="F112" s="42">
        <v>103.15943675467565</v>
      </c>
      <c r="G112" s="209">
        <v>25.197538105285609</v>
      </c>
      <c r="H112" s="42">
        <v>100.87723308261657</v>
      </c>
      <c r="I112" s="42">
        <v>107.29614432029915</v>
      </c>
      <c r="J112" s="42">
        <v>106.18199657025909</v>
      </c>
      <c r="K112" s="42">
        <v>102.82687548179209</v>
      </c>
      <c r="L112" s="209">
        <v>31.482773717070199</v>
      </c>
    </row>
    <row r="113" spans="1:13" x14ac:dyDescent="0.2">
      <c r="A113" s="38"/>
      <c r="B113" s="41">
        <v>2017</v>
      </c>
      <c r="C113" s="42">
        <v>101.65300198714617</v>
      </c>
      <c r="D113" s="42">
        <v>108.05917546600425</v>
      </c>
      <c r="E113" s="42">
        <v>108.13242514336714</v>
      </c>
      <c r="F113" s="42">
        <v>105.6952781145754</v>
      </c>
      <c r="G113" s="209">
        <v>25.29492064694519</v>
      </c>
      <c r="H113" s="42">
        <v>101.32238195309857</v>
      </c>
      <c r="I113" s="42">
        <v>107.70771975320358</v>
      </c>
      <c r="J113" s="42">
        <v>107.78073119057007</v>
      </c>
      <c r="K113" s="42">
        <v>105.35151083012938</v>
      </c>
      <c r="L113" s="209">
        <v>31.603537946798291</v>
      </c>
    </row>
    <row r="114" spans="1:13" x14ac:dyDescent="0.2">
      <c r="A114" s="38"/>
      <c r="B114" s="41">
        <v>2018</v>
      </c>
      <c r="C114" s="42">
        <v>102.34357017061866</v>
      </c>
      <c r="D114" s="42">
        <v>109.62904810847805</v>
      </c>
      <c r="E114" s="42">
        <v>109.81986887827507</v>
      </c>
      <c r="F114" s="42">
        <v>106.80419729867209</v>
      </c>
      <c r="G114" s="209">
        <v>25.662402665440485</v>
      </c>
      <c r="H114" s="42">
        <v>101.9795386131985</v>
      </c>
      <c r="I114" s="42">
        <v>109.23910242791514</v>
      </c>
      <c r="J114" s="42">
        <v>109.42924445666473</v>
      </c>
      <c r="K114" s="42">
        <v>106.42429948763399</v>
      </c>
      <c r="L114" s="209">
        <v>32.052875381312845</v>
      </c>
    </row>
    <row r="115" spans="1:13" x14ac:dyDescent="0.2">
      <c r="A115" s="38"/>
      <c r="B115" s="41">
        <v>2019</v>
      </c>
      <c r="C115" s="42">
        <v>103.19203254949223</v>
      </c>
      <c r="D115" s="42">
        <v>111.75275636776936</v>
      </c>
      <c r="E115" s="42">
        <v>110.566687985893</v>
      </c>
      <c r="F115" s="42">
        <v>107.66390382674396</v>
      </c>
      <c r="G115" s="209">
        <v>26.159528723124836</v>
      </c>
      <c r="H115" s="42">
        <v>102.72058726343965</v>
      </c>
      <c r="I115" s="42">
        <v>111.24220037917887</v>
      </c>
      <c r="J115" s="42">
        <v>110.06155069420919</v>
      </c>
      <c r="K115" s="42">
        <v>107.17202825570322</v>
      </c>
      <c r="L115" s="209">
        <v>32.640623244316266</v>
      </c>
    </row>
    <row r="116" spans="1:13" x14ac:dyDescent="0.2">
      <c r="A116" s="38"/>
      <c r="B116" s="41">
        <v>2020</v>
      </c>
      <c r="C116" s="42">
        <v>101.82502441741839</v>
      </c>
      <c r="D116" s="42">
        <v>110.8953278990833</v>
      </c>
      <c r="E116" s="42">
        <v>96.083511297993411</v>
      </c>
      <c r="F116" s="42">
        <v>96.628404332375723</v>
      </c>
      <c r="G116" s="209">
        <v>25.958818464303096</v>
      </c>
      <c r="H116" s="42">
        <v>101.21460943670769</v>
      </c>
      <c r="I116" s="42">
        <v>110.2305387686341</v>
      </c>
      <c r="J116" s="42">
        <v>95.507515220102476</v>
      </c>
      <c r="K116" s="42">
        <v>96.049141760094301</v>
      </c>
      <c r="L116" s="209">
        <v>32.343782069222875</v>
      </c>
    </row>
    <row r="117" spans="1:13" x14ac:dyDescent="0.2">
      <c r="A117" s="38"/>
      <c r="B117" s="41">
        <v>2021</v>
      </c>
      <c r="C117" s="42">
        <v>101.33303997480873</v>
      </c>
      <c r="D117" s="42">
        <v>112.24305461120446</v>
      </c>
      <c r="E117" s="42">
        <v>102.56701661963963</v>
      </c>
      <c r="F117" s="42">
        <v>104.38793618729076</v>
      </c>
      <c r="G117" s="209">
        <v>26.274299681792098</v>
      </c>
      <c r="H117" s="42">
        <v>100.61658818823355</v>
      </c>
      <c r="I117" s="42">
        <v>111.44946609331491</v>
      </c>
      <c r="J117" s="42">
        <v>101.84184028703288</v>
      </c>
      <c r="K117" s="42">
        <v>103.64988546467481</v>
      </c>
      <c r="L117" s="209">
        <v>32.701439032421128</v>
      </c>
    </row>
    <row r="118" spans="1:13" x14ac:dyDescent="0.2">
      <c r="A118" s="38"/>
      <c r="B118" s="41">
        <v>2022</v>
      </c>
      <c r="C118" s="42">
        <v>101.5120876061702</v>
      </c>
      <c r="D118" s="42">
        <v>108.69375591632667</v>
      </c>
      <c r="E118" s="42">
        <v>109.22782450374379</v>
      </c>
      <c r="F118" s="42">
        <v>108.61143699960755</v>
      </c>
      <c r="G118" s="209">
        <v>25.443465757212646</v>
      </c>
      <c r="H118" s="42">
        <v>100.92889211788281</v>
      </c>
      <c r="I118" s="42">
        <v>108.06930113906566</v>
      </c>
      <c r="J118" s="42">
        <v>108.60030145749172</v>
      </c>
      <c r="K118" s="42">
        <v>107.98745515145245</v>
      </c>
      <c r="L118" s="209">
        <v>31.709632951642252</v>
      </c>
    </row>
    <row r="119" spans="1:13" x14ac:dyDescent="0.2">
      <c r="A119" s="38"/>
      <c r="B119" s="41">
        <v>2023</v>
      </c>
      <c r="C119" s="42">
        <v>101.45034450589375</v>
      </c>
      <c r="D119" s="42">
        <v>108.27628683422904</v>
      </c>
      <c r="E119" s="42">
        <v>107.45046420031422</v>
      </c>
      <c r="F119" s="42">
        <v>107.55776961061855</v>
      </c>
      <c r="G119" s="209">
        <v>25.345742937667957</v>
      </c>
      <c r="H119" s="42">
        <v>100.94947274373914</v>
      </c>
      <c r="I119" s="42">
        <v>107.74171462700437</v>
      </c>
      <c r="J119" s="42">
        <v>106.91996917232329</v>
      </c>
      <c r="K119" s="42">
        <v>107.02674480374705</v>
      </c>
      <c r="L119" s="209">
        <v>31.613512703358193</v>
      </c>
    </row>
    <row r="120" spans="1:13" x14ac:dyDescent="0.2">
      <c r="A120" s="38"/>
      <c r="B120" s="41">
        <v>2024</v>
      </c>
      <c r="C120" s="42">
        <v>101.36716906059461</v>
      </c>
      <c r="D120" s="42">
        <v>111.57578390307746</v>
      </c>
      <c r="E120" s="42">
        <v>106.27337507546082</v>
      </c>
      <c r="F120" s="42">
        <v>107.73549012979491</v>
      </c>
      <c r="G120" s="209">
        <v>26.118102306240097</v>
      </c>
      <c r="H120" s="42">
        <v>100.57065492644712</v>
      </c>
      <c r="I120" s="42">
        <v>110.69905340215698</v>
      </c>
      <c r="J120" s="42">
        <v>105.43830938194658</v>
      </c>
      <c r="K120" s="42">
        <v>106.88893555563695</v>
      </c>
      <c r="L120" s="209">
        <v>32.481253366852215</v>
      </c>
    </row>
    <row r="121" spans="1:13" x14ac:dyDescent="0.2">
      <c r="A121" s="38"/>
      <c r="B121" s="41">
        <v>2025</v>
      </c>
      <c r="C121" s="42">
        <v>102.66156776988899</v>
      </c>
      <c r="D121" s="42">
        <v>112.2401050533183</v>
      </c>
      <c r="E121" s="42">
        <v>107.08248787788395</v>
      </c>
      <c r="F121" s="42">
        <v>108.77342735195934</v>
      </c>
      <c r="G121" s="209">
        <v>26.273609237576217</v>
      </c>
      <c r="H121" s="42">
        <v>101.14051763699649</v>
      </c>
      <c r="I121" s="42">
        <v>110.57713778702949</v>
      </c>
      <c r="J121" s="42">
        <v>105.4959366888139</v>
      </c>
      <c r="K121" s="42">
        <v>107.16182293442583</v>
      </c>
      <c r="L121" s="209">
        <v>32.445480956315464</v>
      </c>
    </row>
    <row r="122" spans="1:13" x14ac:dyDescent="0.2">
      <c r="A122" s="38"/>
      <c r="B122" s="41">
        <v>2026</v>
      </c>
      <c r="C122" s="42">
        <v>103.27043260731074</v>
      </c>
      <c r="D122" s="42">
        <v>111.30758282671196</v>
      </c>
      <c r="E122" s="42">
        <v>107.91156512136999</v>
      </c>
      <c r="F122" s="42">
        <v>109.90794459990261</v>
      </c>
      <c r="G122" s="209">
        <v>26.055320733876307</v>
      </c>
      <c r="H122" s="42">
        <v>101.05471190143872</v>
      </c>
      <c r="I122" s="42">
        <v>108.9194208933974</v>
      </c>
      <c r="J122" s="42">
        <v>105.59626650969797</v>
      </c>
      <c r="K122" s="42">
        <v>107.54981263084375</v>
      </c>
      <c r="L122" s="209">
        <v>31.959074607049196</v>
      </c>
    </row>
    <row r="123" spans="1:13" x14ac:dyDescent="0.2">
      <c r="A123" s="38"/>
      <c r="B123" s="41">
        <v>2027</v>
      </c>
      <c r="C123" s="42">
        <v>103.24034291612892</v>
      </c>
      <c r="D123" s="42">
        <v>111.3866381790822</v>
      </c>
      <c r="E123" s="42">
        <v>108.40718863849581</v>
      </c>
      <c r="F123" s="42">
        <v>110.89428938205501</v>
      </c>
      <c r="G123" s="209">
        <v>26.073826324505674</v>
      </c>
      <c r="H123" s="42">
        <v>100.62440601234023</v>
      </c>
      <c r="I123" s="42">
        <v>108.56428783452424</v>
      </c>
      <c r="J123" s="42">
        <v>105.66033254149693</v>
      </c>
      <c r="K123" s="42">
        <v>108.08441432914468</v>
      </c>
      <c r="L123" s="209">
        <v>31.854871666647359</v>
      </c>
    </row>
    <row r="124" spans="1:13" x14ac:dyDescent="0.2">
      <c r="A124" s="38"/>
      <c r="B124" s="41">
        <v>2028</v>
      </c>
      <c r="C124" s="42">
        <v>103.6020792073095</v>
      </c>
      <c r="D124" s="42">
        <v>112.20881033209993</v>
      </c>
      <c r="E124" s="42">
        <v>110.066334515379</v>
      </c>
      <c r="F124" s="42">
        <v>112.50064444441044</v>
      </c>
      <c r="G124" s="209">
        <v>26.266283645034228</v>
      </c>
      <c r="H124" s="42">
        <v>100.60045169550415</v>
      </c>
      <c r="I124" s="42">
        <v>108.9578229509894</v>
      </c>
      <c r="J124" s="42">
        <v>106.87742035137035</v>
      </c>
      <c r="K124" s="42">
        <v>109.24120185364485</v>
      </c>
      <c r="L124" s="209">
        <v>31.970342516973613</v>
      </c>
    </row>
    <row r="125" spans="1:13" x14ac:dyDescent="0.2">
      <c r="A125" s="38"/>
      <c r="B125" s="41">
        <v>2029</v>
      </c>
      <c r="C125" s="42">
        <v>104.10612006951591</v>
      </c>
      <c r="D125" s="42">
        <v>112.77429004536776</v>
      </c>
      <c r="E125" s="42">
        <v>112.02815080380745</v>
      </c>
      <c r="F125" s="42">
        <v>114.28461725148614</v>
      </c>
      <c r="G125" s="209">
        <v>26.398653380532227</v>
      </c>
      <c r="H125" s="42">
        <v>100.74057679365457</v>
      </c>
      <c r="I125" s="42">
        <v>109.12852211838343</v>
      </c>
      <c r="J125" s="42">
        <v>108.40650407071269</v>
      </c>
      <c r="K125" s="42">
        <v>110.59002345749697</v>
      </c>
      <c r="L125" s="209">
        <v>32.020428969705002</v>
      </c>
    </row>
    <row r="126" spans="1:13" x14ac:dyDescent="0.2">
      <c r="A126" s="38"/>
      <c r="B126" s="41">
        <v>2030</v>
      </c>
      <c r="C126" s="42">
        <v>104.65273771789887</v>
      </c>
      <c r="D126" s="42">
        <v>113.73754337951631</v>
      </c>
      <c r="E126" s="42">
        <v>113.64110429949322</v>
      </c>
      <c r="F126" s="42">
        <v>115.93697771985882</v>
      </c>
      <c r="G126" s="209">
        <v>26.624135543847995</v>
      </c>
      <c r="H126" s="42">
        <v>100.94386960783304</v>
      </c>
      <c r="I126" s="42">
        <v>109.70671191962062</v>
      </c>
      <c r="J126" s="42">
        <v>109.6136906176343</v>
      </c>
      <c r="K126" s="42">
        <v>111.8281988305603</v>
      </c>
      <c r="L126" s="209">
        <v>32.190081092744286</v>
      </c>
    </row>
    <row r="127" spans="1:13" x14ac:dyDescent="0.2">
      <c r="A127" s="38"/>
      <c r="B127" s="41">
        <v>2031</v>
      </c>
      <c r="C127" s="42">
        <v>105.05030331577478</v>
      </c>
      <c r="D127" s="42">
        <v>114.58088119074827</v>
      </c>
      <c r="E127" s="42">
        <v>115.13367881554694</v>
      </c>
      <c r="F127" s="42">
        <v>117.50729741539487</v>
      </c>
      <c r="G127" s="209">
        <v>26.821547405651366</v>
      </c>
      <c r="H127" s="42">
        <v>101.00356646224618</v>
      </c>
      <c r="I127" s="42">
        <v>110.16700840800542</v>
      </c>
      <c r="J127" s="42">
        <v>110.69851122022183</v>
      </c>
      <c r="K127" s="42">
        <v>112.98069353134865</v>
      </c>
      <c r="L127" s="209">
        <v>32.325141026895515</v>
      </c>
    </row>
    <row r="128" spans="1:13" x14ac:dyDescent="0.2">
      <c r="A128" s="38"/>
      <c r="B128" s="43"/>
      <c r="C128" s="556" t="s">
        <v>217</v>
      </c>
      <c r="D128" s="556"/>
      <c r="E128" s="556"/>
      <c r="F128" s="556"/>
      <c r="G128" s="207"/>
      <c r="H128" s="557" t="s">
        <v>217</v>
      </c>
      <c r="I128" s="556"/>
      <c r="J128" s="556"/>
      <c r="K128" s="556"/>
      <c r="L128" s="210"/>
      <c r="M128" s="74"/>
    </row>
    <row r="129" spans="1:12" x14ac:dyDescent="0.2">
      <c r="A129" s="38"/>
      <c r="B129" s="41" t="s">
        <v>136</v>
      </c>
      <c r="C129" s="42">
        <v>100</v>
      </c>
      <c r="D129" s="42">
        <v>100</v>
      </c>
      <c r="E129" s="42">
        <v>100</v>
      </c>
      <c r="F129" s="42">
        <v>100</v>
      </c>
      <c r="G129" s="209">
        <v>23.372276668683202</v>
      </c>
      <c r="H129" s="42">
        <v>100</v>
      </c>
      <c r="I129" s="42">
        <v>99.999999999999986</v>
      </c>
      <c r="J129" s="42">
        <v>100</v>
      </c>
      <c r="K129" s="42">
        <v>100</v>
      </c>
      <c r="L129" s="209">
        <v>29.288286011745324</v>
      </c>
    </row>
    <row r="130" spans="1:12" x14ac:dyDescent="0.2">
      <c r="A130" s="38"/>
      <c r="B130" s="41" t="s">
        <v>137</v>
      </c>
      <c r="C130" s="42">
        <v>97.646336557471017</v>
      </c>
      <c r="D130" s="42">
        <v>101.58240358534411</v>
      </c>
      <c r="E130" s="42">
        <v>97.823013339055677</v>
      </c>
      <c r="F130" s="42">
        <v>96.464270014127962</v>
      </c>
      <c r="G130" s="209">
        <v>23.742120412664988</v>
      </c>
      <c r="H130" s="42">
        <v>97.562217854387953</v>
      </c>
      <c r="I130" s="42">
        <v>101.4948941062698</v>
      </c>
      <c r="J130" s="42">
        <v>97.738742435467699</v>
      </c>
      <c r="K130" s="42">
        <v>96.38116961759988</v>
      </c>
      <c r="L130" s="209">
        <v>29.726114873162345</v>
      </c>
    </row>
    <row r="131" spans="1:12" x14ac:dyDescent="0.2">
      <c r="A131" s="38"/>
      <c r="B131" s="41" t="s">
        <v>138</v>
      </c>
      <c r="C131" s="42">
        <v>97.749046025656483</v>
      </c>
      <c r="D131" s="42">
        <v>100.10332858790491</v>
      </c>
      <c r="E131" s="42">
        <v>99.852334371312267</v>
      </c>
      <c r="F131" s="42">
        <v>98.072685585362535</v>
      </c>
      <c r="G131" s="209">
        <v>23.396426912126181</v>
      </c>
      <c r="H131" s="42">
        <v>97.58243116084158</v>
      </c>
      <c r="I131" s="42">
        <v>99.932700809544642</v>
      </c>
      <c r="J131" s="42">
        <v>99.682134416743295</v>
      </c>
      <c r="K131" s="42">
        <v>97.905519071568136</v>
      </c>
      <c r="L131" s="209">
        <v>29.268575232361169</v>
      </c>
    </row>
    <row r="132" spans="1:12" x14ac:dyDescent="0.2">
      <c r="A132" s="38"/>
      <c r="B132" s="41" t="s">
        <v>139</v>
      </c>
      <c r="C132" s="42">
        <v>97.171986198352343</v>
      </c>
      <c r="D132" s="42">
        <v>98.518021402614451</v>
      </c>
      <c r="E132" s="42">
        <v>98.043925330164726</v>
      </c>
      <c r="F132" s="42">
        <v>97.957043056278366</v>
      </c>
      <c r="G132" s="209">
        <v>23.025904530731584</v>
      </c>
      <c r="H132" s="42">
        <v>96.952145044277941</v>
      </c>
      <c r="I132" s="42">
        <v>98.295134988848389</v>
      </c>
      <c r="J132" s="42">
        <v>97.822111507705955</v>
      </c>
      <c r="K132" s="42">
        <v>97.735425795607682</v>
      </c>
      <c r="L132" s="209">
        <v>28.788960271165063</v>
      </c>
    </row>
    <row r="133" spans="1:12" x14ac:dyDescent="0.2">
      <c r="A133" s="38"/>
      <c r="B133" s="41" t="s">
        <v>140</v>
      </c>
      <c r="C133" s="42">
        <v>97.962895091695188</v>
      </c>
      <c r="D133" s="42">
        <v>99.499074504868588</v>
      </c>
      <c r="E133" s="42">
        <v>100.06952984222326</v>
      </c>
      <c r="F133" s="42">
        <v>98.777106752555639</v>
      </c>
      <c r="G133" s="209">
        <v>23.255198976057116</v>
      </c>
      <c r="H133" s="42">
        <v>97.73059344222591</v>
      </c>
      <c r="I133" s="42">
        <v>99.263130078088281</v>
      </c>
      <c r="J133" s="42">
        <v>99.832232681678903</v>
      </c>
      <c r="K133" s="42">
        <v>98.542874344387769</v>
      </c>
      <c r="L133" s="209">
        <v>29.072469441481292</v>
      </c>
    </row>
    <row r="134" spans="1:12" x14ac:dyDescent="0.2">
      <c r="A134" s="38"/>
      <c r="B134" s="41" t="s">
        <v>141</v>
      </c>
      <c r="C134" s="42">
        <v>98.742494191825315</v>
      </c>
      <c r="D134" s="42">
        <v>101.76004130470845</v>
      </c>
      <c r="E134" s="42">
        <v>101.35743785499109</v>
      </c>
      <c r="F134" s="42">
        <v>100.22155850548432</v>
      </c>
      <c r="G134" s="209">
        <v>23.783638391902766</v>
      </c>
      <c r="H134" s="42">
        <v>98.4819419871733</v>
      </c>
      <c r="I134" s="42">
        <v>101.49152668671718</v>
      </c>
      <c r="J134" s="42">
        <v>101.08998558829329</v>
      </c>
      <c r="K134" s="42">
        <v>99.957103488057513</v>
      </c>
      <c r="L134" s="209">
        <v>29.725128613692561</v>
      </c>
    </row>
    <row r="135" spans="1:12" x14ac:dyDescent="0.2">
      <c r="A135" s="38"/>
      <c r="B135" s="41" t="s">
        <v>142</v>
      </c>
      <c r="C135" s="42">
        <v>100.28142216725489</v>
      </c>
      <c r="D135" s="42">
        <v>103.21772192954643</v>
      </c>
      <c r="E135" s="42">
        <v>103.78444311807651</v>
      </c>
      <c r="F135" s="42">
        <v>102.58233854710626</v>
      </c>
      <c r="G135" s="209">
        <v>24.124331540485688</v>
      </c>
      <c r="H135" s="42">
        <v>99.99425529577438</v>
      </c>
      <c r="I135" s="42">
        <v>102.92214664105067</v>
      </c>
      <c r="J135" s="42">
        <v>103.48724496118504</v>
      </c>
      <c r="K135" s="42">
        <v>102.28858274874321</v>
      </c>
      <c r="L135" s="209">
        <v>30.144132677658856</v>
      </c>
    </row>
    <row r="136" spans="1:12" x14ac:dyDescent="0.2">
      <c r="A136" s="38"/>
      <c r="B136" s="41" t="s">
        <v>143</v>
      </c>
      <c r="C136" s="42">
        <v>101.06372711251764</v>
      </c>
      <c r="D136" s="42">
        <v>108.61598363226715</v>
      </c>
      <c r="E136" s="42">
        <v>105.98630497663213</v>
      </c>
      <c r="F136" s="42">
        <v>103.79943364867121</v>
      </c>
      <c r="G136" s="209">
        <v>25.386028200945137</v>
      </c>
      <c r="H136" s="42">
        <v>100.76804344763269</v>
      </c>
      <c r="I136" s="42">
        <v>108.29820421701051</v>
      </c>
      <c r="J136" s="42">
        <v>105.67621925172895</v>
      </c>
      <c r="K136" s="42">
        <v>103.49574608606976</v>
      </c>
      <c r="L136" s="209">
        <v>31.718687796662074</v>
      </c>
    </row>
    <row r="137" spans="1:12" x14ac:dyDescent="0.2">
      <c r="A137" s="38"/>
      <c r="B137" s="41" t="s">
        <v>144</v>
      </c>
      <c r="C137" s="42">
        <v>101.81119545861885</v>
      </c>
      <c r="D137" s="42">
        <v>107.25933867419189</v>
      </c>
      <c r="E137" s="42">
        <v>108.79009724072642</v>
      </c>
      <c r="F137" s="42">
        <v>105.56032807903323</v>
      </c>
      <c r="G137" s="209">
        <v>25.068949387932051</v>
      </c>
      <c r="H137" s="42">
        <v>101.51025775986984</v>
      </c>
      <c r="I137" s="42">
        <v>106.9422971307295</v>
      </c>
      <c r="J137" s="42">
        <v>108.46853101843794</v>
      </c>
      <c r="K137" s="42">
        <v>105.24830854062985</v>
      </c>
      <c r="L137" s="209">
        <v>31.321565851178569</v>
      </c>
    </row>
    <row r="138" spans="1:12" ht="15" customHeight="1" x14ac:dyDescent="0.2">
      <c r="A138" s="38"/>
      <c r="B138" s="41" t="s">
        <v>145</v>
      </c>
      <c r="C138" s="42">
        <v>102.29707093266687</v>
      </c>
      <c r="D138" s="42">
        <v>109.14979035853993</v>
      </c>
      <c r="E138" s="42">
        <v>110.29830657038818</v>
      </c>
      <c r="F138" s="42">
        <v>108.07601125966222</v>
      </c>
      <c r="G138" s="209">
        <v>25.510790985885656</v>
      </c>
      <c r="H138" s="42">
        <v>101.98964285704129</v>
      </c>
      <c r="I138" s="42">
        <v>108.82176816104271</v>
      </c>
      <c r="J138" s="42">
        <v>109.96683279675476</v>
      </c>
      <c r="K138" s="42">
        <v>107.75121603473622</v>
      </c>
      <c r="L138" s="209">
        <v>31.872030702044597</v>
      </c>
    </row>
    <row r="139" spans="1:12" ht="13.5" customHeight="1" x14ac:dyDescent="0.2">
      <c r="A139" s="38"/>
      <c r="B139" s="41" t="s">
        <v>146</v>
      </c>
      <c r="C139" s="42">
        <v>102.96573214840861</v>
      </c>
      <c r="D139" s="42">
        <v>109.94840576386248</v>
      </c>
      <c r="E139" s="42">
        <v>111.95508956403022</v>
      </c>
      <c r="F139" s="42">
        <v>108.88778777087941</v>
      </c>
      <c r="G139" s="209">
        <v>25.697445587936368</v>
      </c>
      <c r="H139" s="42">
        <v>102.61196759520917</v>
      </c>
      <c r="I139" s="42">
        <v>109.57065048714597</v>
      </c>
      <c r="J139" s="42">
        <v>111.57043982268782</v>
      </c>
      <c r="K139" s="42">
        <v>108.51367651283371</v>
      </c>
      <c r="L139" s="209">
        <v>32.091365499605132</v>
      </c>
    </row>
    <row r="140" spans="1:12" ht="14.25" customHeight="1" x14ac:dyDescent="0.2">
      <c r="A140" s="38"/>
      <c r="B140" s="41" t="s">
        <v>147</v>
      </c>
      <c r="C140" s="42">
        <v>103.75422826924577</v>
      </c>
      <c r="D140" s="42">
        <v>112.0499125543554</v>
      </c>
      <c r="E140" s="42">
        <v>111.43194399085402</v>
      </c>
      <c r="F140" s="42">
        <v>108.96938485355361</v>
      </c>
      <c r="G140" s="209">
        <v>26.18861556922154</v>
      </c>
      <c r="H140" s="42">
        <v>103.27219883929202</v>
      </c>
      <c r="I140" s="42">
        <v>111.52934239180954</v>
      </c>
      <c r="J140" s="42">
        <v>110.91424483452508</v>
      </c>
      <c r="K140" s="42">
        <v>108.46312644520169</v>
      </c>
      <c r="L140" s="209">
        <v>32.665032786731899</v>
      </c>
    </row>
    <row r="141" spans="1:12" ht="16.5" customHeight="1" x14ac:dyDescent="0.2">
      <c r="A141" s="38"/>
      <c r="B141" s="41" t="s">
        <v>148</v>
      </c>
      <c r="C141" s="42">
        <v>101.6890886073642</v>
      </c>
      <c r="D141" s="42">
        <v>111.62441830572112</v>
      </c>
      <c r="E141" s="42">
        <v>94.108376063957024</v>
      </c>
      <c r="F141" s="42">
        <v>96.66025873845831</v>
      </c>
      <c r="G141" s="209">
        <v>26.089167876221399</v>
      </c>
      <c r="H141" s="42">
        <v>101.06758725206799</v>
      </c>
      <c r="I141" s="42">
        <v>110.94219439938816</v>
      </c>
      <c r="J141" s="42">
        <v>93.533206357261108</v>
      </c>
      <c r="K141" s="42">
        <v>96.069492485835184</v>
      </c>
      <c r="L141" s="209">
        <v>32.493067203399306</v>
      </c>
    </row>
    <row r="142" spans="1:12" ht="14.25" customHeight="1" x14ac:dyDescent="0.2">
      <c r="A142" s="38"/>
      <c r="B142" s="41" t="s">
        <v>149</v>
      </c>
      <c r="C142" s="42">
        <v>101.94268243443625</v>
      </c>
      <c r="D142" s="42">
        <v>111.74635092258541</v>
      </c>
      <c r="E142" s="42">
        <v>107.97453942927476</v>
      </c>
      <c r="F142" s="42">
        <v>108.85467218946179</v>
      </c>
      <c r="G142" s="209">
        <v>26.117666304784283</v>
      </c>
      <c r="H142" s="42">
        <v>101.26955037888463</v>
      </c>
      <c r="I142" s="42">
        <v>111.00848480899464</v>
      </c>
      <c r="J142" s="42">
        <v>107.26157875433852</v>
      </c>
      <c r="K142" s="42">
        <v>108.13589995885647</v>
      </c>
      <c r="L142" s="209">
        <v>32.512482528163211</v>
      </c>
    </row>
    <row r="143" spans="1:12" ht="15" customHeight="1" x14ac:dyDescent="0.2">
      <c r="B143" s="13" t="s">
        <v>150</v>
      </c>
      <c r="C143" s="42">
        <v>102.06357487475118</v>
      </c>
      <c r="D143" s="42">
        <v>108.16980434821191</v>
      </c>
      <c r="E143" s="42">
        <v>111.18560527290919</v>
      </c>
      <c r="F143" s="42">
        <v>110.46744823362208</v>
      </c>
      <c r="G143" s="209">
        <v>25.2817459442374</v>
      </c>
      <c r="H143" s="42">
        <v>101.54655309074916</v>
      </c>
      <c r="I143" s="42">
        <v>107.62185033731338</v>
      </c>
      <c r="J143" s="42">
        <v>110.6223741685305</v>
      </c>
      <c r="K143" s="42">
        <v>109.90785508562597</v>
      </c>
      <c r="L143" s="209">
        <v>31.520595337924842</v>
      </c>
    </row>
    <row r="144" spans="1:12" ht="15" customHeight="1" x14ac:dyDescent="0.2">
      <c r="B144" s="13" t="s">
        <v>151</v>
      </c>
      <c r="C144" s="42">
        <v>101.64918478785637</v>
      </c>
      <c r="D144" s="42">
        <v>109.07914728100285</v>
      </c>
      <c r="E144" s="42">
        <v>108.57442635923414</v>
      </c>
      <c r="F144" s="42">
        <v>109.24169896292301</v>
      </c>
      <c r="G144" s="209">
        <v>25.494280090356416</v>
      </c>
      <c r="H144" s="42">
        <v>101.14359340408883</v>
      </c>
      <c r="I144" s="42">
        <v>108.53660011617232</v>
      </c>
      <c r="J144" s="42">
        <v>108.03438961836606</v>
      </c>
      <c r="K144" s="42">
        <v>108.69834328467485</v>
      </c>
      <c r="L144" s="209">
        <v>31.788509869448859</v>
      </c>
    </row>
    <row r="145" spans="2:12" ht="15" customHeight="1" x14ac:dyDescent="0.2">
      <c r="B145" s="13" t="s">
        <v>152</v>
      </c>
      <c r="C145" s="42">
        <v>102.19044139790647</v>
      </c>
      <c r="D145" s="42">
        <v>112.44717212916785</v>
      </c>
      <c r="E145" s="42">
        <v>108.20612296032645</v>
      </c>
      <c r="F145" s="42">
        <v>110.01609840484846</v>
      </c>
      <c r="G145" s="209">
        <v>26.28146417613954</v>
      </c>
      <c r="H145" s="42">
        <v>101.26318907753688</v>
      </c>
      <c r="I145" s="42">
        <v>111.42685261738713</v>
      </c>
      <c r="J145" s="42">
        <v>107.2242857432576</v>
      </c>
      <c r="K145" s="42">
        <v>109.01783789116024</v>
      </c>
      <c r="L145" s="209">
        <v>32.635015288466271</v>
      </c>
    </row>
    <row r="146" spans="2:12" ht="15" customHeight="1" x14ac:dyDescent="0.2">
      <c r="B146" s="13" t="s">
        <v>153</v>
      </c>
      <c r="C146" s="42">
        <v>103.36138608758804</v>
      </c>
      <c r="D146" s="42">
        <v>112.06017330560616</v>
      </c>
      <c r="E146" s="42">
        <v>109.02174473251793</v>
      </c>
      <c r="F146" s="42">
        <v>110.89962059317284</v>
      </c>
      <c r="G146" s="209">
        <v>26.191013740392151</v>
      </c>
      <c r="H146" s="42">
        <v>101.66907817640454</v>
      </c>
      <c r="I146" s="42">
        <v>110.22544251307428</v>
      </c>
      <c r="J146" s="42">
        <v>107.23676130606187</v>
      </c>
      <c r="K146" s="42">
        <v>109.08389121510471</v>
      </c>
      <c r="L146" s="209">
        <v>32.283142860941119</v>
      </c>
    </row>
    <row r="147" spans="2:12" ht="15" customHeight="1" x14ac:dyDescent="0.2">
      <c r="B147" s="13" t="s">
        <v>154</v>
      </c>
      <c r="C147" s="42">
        <v>103.74579244678021</v>
      </c>
      <c r="D147" s="42">
        <v>111.38561082071354</v>
      </c>
      <c r="E147" s="42">
        <v>109.76265889569079</v>
      </c>
      <c r="F147" s="42">
        <v>112.13296821460676</v>
      </c>
      <c r="G147" s="209">
        <v>26.033353130119906</v>
      </c>
      <c r="H147" s="42">
        <v>101.43097169845483</v>
      </c>
      <c r="I147" s="42">
        <v>108.90032715848743</v>
      </c>
      <c r="J147" s="42">
        <v>107.31358723494422</v>
      </c>
      <c r="K147" s="42">
        <v>109.63100919272513</v>
      </c>
      <c r="L147" s="209">
        <v>31.895039285904168</v>
      </c>
    </row>
    <row r="148" spans="2:12" ht="15" customHeight="1" x14ac:dyDescent="0.2">
      <c r="B148" s="13" t="s">
        <v>155</v>
      </c>
      <c r="C148" s="42">
        <v>103.75665896352058</v>
      </c>
      <c r="D148" s="42">
        <v>111.72710048950864</v>
      </c>
      <c r="E148" s="42">
        <v>110.48190824252687</v>
      </c>
      <c r="F148" s="42">
        <v>113.21075742707868</v>
      </c>
      <c r="G148" s="209">
        <v>26.113167040305665</v>
      </c>
      <c r="H148" s="42">
        <v>101.06100187501244</v>
      </c>
      <c r="I148" s="42">
        <v>108.8243667910489</v>
      </c>
      <c r="J148" s="42">
        <v>107.61152534777135</v>
      </c>
      <c r="K148" s="42">
        <v>110.26947747644942</v>
      </c>
      <c r="L148" s="209">
        <v>31.872791796233201</v>
      </c>
    </row>
    <row r="149" spans="2:12" ht="15" customHeight="1" x14ac:dyDescent="0.2">
      <c r="B149" s="13" t="s">
        <v>156</v>
      </c>
      <c r="C149" s="42">
        <v>104.19666836437808</v>
      </c>
      <c r="D149" s="42">
        <v>112.56565153495202</v>
      </c>
      <c r="E149" s="42">
        <v>112.36598106603259</v>
      </c>
      <c r="F149" s="42">
        <v>114.96876118004005</v>
      </c>
      <c r="G149" s="209">
        <v>26.309155510654829</v>
      </c>
      <c r="H149" s="42">
        <v>101.11644611255581</v>
      </c>
      <c r="I149" s="42">
        <v>109.2380285879657</v>
      </c>
      <c r="J149" s="42">
        <v>109.04426070145173</v>
      </c>
      <c r="K149" s="42">
        <v>111.57009842037485</v>
      </c>
      <c r="L149" s="209">
        <v>31.993946246435517</v>
      </c>
    </row>
    <row r="150" spans="2:12" ht="15" customHeight="1" x14ac:dyDescent="0.2">
      <c r="B150" s="13" t="s">
        <v>157</v>
      </c>
      <c r="C150" s="42">
        <v>104.71267669985662</v>
      </c>
      <c r="D150" s="42">
        <v>113.11835259017379</v>
      </c>
      <c r="E150" s="42">
        <v>114.29773770362331</v>
      </c>
      <c r="F150" s="42">
        <v>116.75439196691913</v>
      </c>
      <c r="G150" s="209">
        <v>26.438334330431989</v>
      </c>
      <c r="H150" s="42">
        <v>101.27342035123914</v>
      </c>
      <c r="I150" s="42">
        <v>109.40301434697291</v>
      </c>
      <c r="J150" s="42">
        <v>110.5436629113557</v>
      </c>
      <c r="K150" s="42">
        <v>112.91962910480474</v>
      </c>
      <c r="L150" s="209">
        <v>32.042267747412197</v>
      </c>
    </row>
    <row r="151" spans="2:12" ht="15" customHeight="1" x14ac:dyDescent="0.2">
      <c r="B151" s="13" t="s">
        <v>158</v>
      </c>
      <c r="C151" s="42">
        <v>105.24624364142275</v>
      </c>
      <c r="D151" s="42">
        <v>114.1851913338095</v>
      </c>
      <c r="E151" s="42">
        <v>115.86860602114483</v>
      </c>
      <c r="F151" s="42">
        <v>118.40972874746534</v>
      </c>
      <c r="G151" s="209">
        <v>26.687678833203233</v>
      </c>
      <c r="H151" s="42">
        <v>101.46457348606147</v>
      </c>
      <c r="I151" s="42">
        <v>110.08233012650143</v>
      </c>
      <c r="J151" s="42">
        <v>111.70525696304105</v>
      </c>
      <c r="K151" s="42">
        <v>114.15507298194142</v>
      </c>
      <c r="L151" s="209">
        <v>32.241227695843428</v>
      </c>
    </row>
    <row r="152" spans="2:12" ht="15" customHeight="1" thickBot="1" x14ac:dyDescent="0.25">
      <c r="B152" s="13" t="s">
        <v>649</v>
      </c>
      <c r="C152" s="42">
        <v>105.59934951391816</v>
      </c>
      <c r="D152" s="42">
        <v>114.91324240512272</v>
      </c>
      <c r="E152" s="42">
        <v>117.3904822012553</v>
      </c>
      <c r="F152" s="42">
        <v>119.98446371214042</v>
      </c>
      <c r="G152" s="209">
        <v>26.857840943879868</v>
      </c>
      <c r="H152" s="42">
        <v>101.47769557013159</v>
      </c>
      <c r="I152" s="42">
        <v>110.42805740225536</v>
      </c>
      <c r="J152" s="42">
        <v>112.80860791741765</v>
      </c>
      <c r="K152" s="42">
        <v>115.30134359512611</v>
      </c>
      <c r="L152" s="209">
        <v>32.342485289186854</v>
      </c>
    </row>
    <row r="153" spans="2:12" ht="20.25" customHeight="1" x14ac:dyDescent="0.25">
      <c r="B153" s="375" t="s">
        <v>159</v>
      </c>
      <c r="C153" s="377"/>
      <c r="D153" s="378"/>
      <c r="E153" s="377"/>
      <c r="F153" s="378"/>
      <c r="G153" s="376"/>
      <c r="H153" s="378" t="s">
        <v>159</v>
      </c>
      <c r="I153" s="378"/>
      <c r="J153" s="377"/>
      <c r="K153" s="378"/>
      <c r="L153" s="376"/>
    </row>
    <row r="154" spans="2:12" ht="37.5" customHeight="1" x14ac:dyDescent="0.2">
      <c r="B154" s="562" t="s">
        <v>218</v>
      </c>
      <c r="C154" s="563"/>
      <c r="D154" s="563"/>
      <c r="E154" s="563"/>
      <c r="F154" s="563"/>
      <c r="G154" s="564"/>
      <c r="H154" s="562" t="s">
        <v>219</v>
      </c>
      <c r="I154" s="563"/>
      <c r="J154" s="563"/>
      <c r="K154" s="563"/>
      <c r="L154" s="564"/>
    </row>
    <row r="155" spans="2:12" ht="47.25" customHeight="1" x14ac:dyDescent="0.2">
      <c r="B155" s="562" t="s">
        <v>220</v>
      </c>
      <c r="C155" s="563"/>
      <c r="D155" s="563"/>
      <c r="E155" s="563"/>
      <c r="F155" s="563"/>
      <c r="G155" s="564"/>
      <c r="H155" s="562" t="s">
        <v>221</v>
      </c>
      <c r="I155" s="563"/>
      <c r="J155" s="563"/>
      <c r="K155" s="563"/>
      <c r="L155" s="564"/>
    </row>
    <row r="156" spans="2:12" ht="44.25" customHeight="1" x14ac:dyDescent="0.2">
      <c r="B156" s="562" t="s">
        <v>222</v>
      </c>
      <c r="C156" s="563"/>
      <c r="D156" s="563"/>
      <c r="E156" s="563"/>
      <c r="F156" s="563"/>
      <c r="G156" s="564"/>
      <c r="H156" s="562" t="s">
        <v>223</v>
      </c>
      <c r="I156" s="563"/>
      <c r="J156" s="563"/>
      <c r="K156" s="563"/>
      <c r="L156" s="564"/>
    </row>
    <row r="157" spans="2:12" ht="40.5" customHeight="1" thickBot="1" x14ac:dyDescent="0.25">
      <c r="B157" s="565" t="s">
        <v>224</v>
      </c>
      <c r="C157" s="566"/>
      <c r="D157" s="566"/>
      <c r="E157" s="566"/>
      <c r="F157" s="566"/>
      <c r="G157" s="567"/>
      <c r="H157" s="565" t="s">
        <v>225</v>
      </c>
      <c r="I157" s="566"/>
      <c r="J157" s="566"/>
      <c r="K157" s="566"/>
      <c r="L157" s="567"/>
    </row>
    <row r="158" spans="2:12" ht="24" customHeight="1" x14ac:dyDescent="0.2"/>
  </sheetData>
  <mergeCells count="17">
    <mergeCell ref="B156:G156"/>
    <mergeCell ref="H156:L156"/>
    <mergeCell ref="B157:G157"/>
    <mergeCell ref="H157:L157"/>
    <mergeCell ref="C128:F128"/>
    <mergeCell ref="H128:K128"/>
    <mergeCell ref="B154:G154"/>
    <mergeCell ref="H154:L154"/>
    <mergeCell ref="B155:G155"/>
    <mergeCell ref="H155:L155"/>
    <mergeCell ref="C103:F103"/>
    <mergeCell ref="H103:K103"/>
    <mergeCell ref="B2:K2"/>
    <mergeCell ref="C3:G3"/>
    <mergeCell ref="H3:L3"/>
    <mergeCell ref="C4:F4"/>
    <mergeCell ref="H4:K4"/>
  </mergeCells>
  <phoneticPr fontId="91" type="noConversion"/>
  <hyperlinks>
    <hyperlink ref="A1" location="Contents!A1" display="Back to contents" xr:uid="{52229018-4047-458E-95E6-C865C609D899}"/>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rowBreaks count="1" manualBreakCount="1">
    <brk id="102" min="1"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ED335-BD26-46F0-9249-31B907233956}">
  <sheetPr codeName="Sheet7">
    <tabColor theme="5"/>
  </sheetPr>
  <dimension ref="A1:AP171"/>
  <sheetViews>
    <sheetView showGridLines="0" zoomScaleNormal="100" zoomScaleSheetLayoutView="25" workbookViewId="0"/>
  </sheetViews>
  <sheetFormatPr defaultColWidth="8.77734375" defaultRowHeight="15.75" x14ac:dyDescent="0.25"/>
  <cols>
    <col min="1" max="1" width="9.21875" style="2" customWidth="1"/>
    <col min="2" max="2" width="6.21875" style="2" customWidth="1"/>
    <col min="3" max="3" width="12.21875" style="2" customWidth="1"/>
    <col min="4" max="4" width="12.77734375" style="2" customWidth="1"/>
    <col min="5" max="5" width="11.77734375" style="2" customWidth="1"/>
    <col min="6" max="6" width="13.77734375" style="2" customWidth="1"/>
    <col min="7" max="7" width="14.77734375" style="2" customWidth="1"/>
    <col min="8" max="8" width="12.77734375" style="2" customWidth="1"/>
    <col min="9" max="9" width="8.21875" style="2" customWidth="1"/>
    <col min="10" max="10" width="9.21875" style="2" customWidth="1"/>
    <col min="11" max="11" width="8.21875" style="80" customWidth="1"/>
    <col min="12" max="12" width="11.21875" style="80" customWidth="1"/>
    <col min="13" max="13" width="12.77734375" style="80" customWidth="1"/>
    <col min="14" max="14" width="12.21875" style="80" customWidth="1"/>
    <col min="15" max="15" width="11.21875" style="80" customWidth="1"/>
    <col min="16" max="16" width="12.21875" style="80" customWidth="1"/>
    <col min="17" max="17" width="9.77734375" style="2" customWidth="1"/>
    <col min="18" max="19" width="12" style="2" customWidth="1"/>
    <col min="20" max="20" width="13.77734375" style="2" customWidth="1"/>
    <col min="21" max="21" width="13.21875" style="2" customWidth="1"/>
    <col min="22" max="24" width="14.21875" style="2" customWidth="1"/>
    <col min="25" max="26" width="12.21875" style="2" customWidth="1"/>
    <col min="27" max="27" width="8.77734375" style="2"/>
    <col min="28" max="28" width="9.21875" style="2" bestFit="1" customWidth="1"/>
    <col min="29" max="16384" width="8.77734375" style="2"/>
  </cols>
  <sheetData>
    <row r="1" spans="1:42" ht="35.1" customHeight="1" thickBot="1" x14ac:dyDescent="0.3">
      <c r="A1" s="9" t="s">
        <v>22</v>
      </c>
      <c r="B1" s="22"/>
      <c r="C1" s="478"/>
      <c r="D1" s="162"/>
      <c r="E1" s="162"/>
      <c r="F1" s="162"/>
      <c r="G1" s="162"/>
      <c r="H1" s="162"/>
      <c r="I1" s="162"/>
      <c r="J1" s="162"/>
      <c r="K1" s="295"/>
      <c r="L1" s="295"/>
      <c r="M1" s="162"/>
      <c r="N1" s="296"/>
      <c r="O1" s="296"/>
      <c r="P1" s="296"/>
      <c r="Q1" s="162"/>
      <c r="R1" s="162"/>
      <c r="S1" s="297"/>
      <c r="T1" s="162"/>
      <c r="U1" s="162"/>
      <c r="V1" s="162"/>
      <c r="W1" s="162"/>
      <c r="X1" s="162"/>
      <c r="Y1" s="162"/>
      <c r="Z1" s="162"/>
    </row>
    <row r="2" spans="1:42" ht="19.5" thickBot="1" x14ac:dyDescent="0.35">
      <c r="A2" s="7"/>
      <c r="B2" s="568" t="s">
        <v>226</v>
      </c>
      <c r="C2" s="569"/>
      <c r="D2" s="569"/>
      <c r="E2" s="569"/>
      <c r="F2" s="569"/>
      <c r="G2" s="569"/>
      <c r="H2" s="569"/>
      <c r="I2" s="569"/>
      <c r="J2" s="569"/>
      <c r="K2" s="569"/>
      <c r="L2" s="569"/>
      <c r="M2" s="569"/>
      <c r="N2" s="569"/>
      <c r="O2" s="569"/>
      <c r="P2" s="569"/>
      <c r="Q2" s="569"/>
      <c r="R2" s="569"/>
      <c r="S2" s="569"/>
      <c r="T2" s="569"/>
      <c r="U2" s="569"/>
      <c r="V2" s="569"/>
      <c r="W2" s="569"/>
      <c r="X2" s="569"/>
      <c r="Y2" s="570"/>
      <c r="Z2" s="519"/>
    </row>
    <row r="3" spans="1:42" ht="95.25" customHeight="1" x14ac:dyDescent="0.25">
      <c r="A3" s="7"/>
      <c r="B3" s="95"/>
      <c r="C3" s="215" t="s">
        <v>227</v>
      </c>
      <c r="D3" s="215" t="s">
        <v>228</v>
      </c>
      <c r="E3" s="215" t="s">
        <v>229</v>
      </c>
      <c r="F3" s="215" t="s">
        <v>230</v>
      </c>
      <c r="G3" s="215" t="s">
        <v>231</v>
      </c>
      <c r="H3" s="215" t="s">
        <v>232</v>
      </c>
      <c r="I3" s="215" t="s">
        <v>233</v>
      </c>
      <c r="J3" s="68" t="s">
        <v>234</v>
      </c>
      <c r="K3" s="44" t="s">
        <v>235</v>
      </c>
      <c r="L3" s="44" t="s">
        <v>236</v>
      </c>
      <c r="M3" s="44" t="s">
        <v>237</v>
      </c>
      <c r="N3" s="44" t="s">
        <v>238</v>
      </c>
      <c r="O3" s="44" t="s">
        <v>239</v>
      </c>
      <c r="P3" s="216" t="s">
        <v>240</v>
      </c>
      <c r="Q3" s="68" t="s">
        <v>241</v>
      </c>
      <c r="R3" s="68" t="s">
        <v>242</v>
      </c>
      <c r="S3" s="68" t="s">
        <v>243</v>
      </c>
      <c r="T3" s="45" t="s">
        <v>244</v>
      </c>
      <c r="U3" s="45" t="s">
        <v>245</v>
      </c>
      <c r="V3" s="45" t="s">
        <v>246</v>
      </c>
      <c r="W3" s="45" t="s">
        <v>247</v>
      </c>
      <c r="X3" s="45" t="s">
        <v>248</v>
      </c>
      <c r="Y3" s="46" t="s">
        <v>249</v>
      </c>
      <c r="Z3" s="520"/>
      <c r="AA3" s="515"/>
      <c r="AB3" s="516"/>
      <c r="AE3" s="146"/>
      <c r="AF3" s="146"/>
      <c r="AG3" s="146"/>
      <c r="AJ3" s="146"/>
      <c r="AL3" s="522"/>
      <c r="AM3" s="522"/>
      <c r="AP3" s="522"/>
    </row>
    <row r="4" spans="1:42" x14ac:dyDescent="0.25">
      <c r="A4" s="7"/>
      <c r="B4" s="182" t="s">
        <v>43</v>
      </c>
      <c r="C4" s="75">
        <v>29.684000000000001</v>
      </c>
      <c r="D4" s="75">
        <v>60.337012399999999</v>
      </c>
      <c r="E4" s="75">
        <v>25.806000000000001</v>
      </c>
      <c r="F4" s="75">
        <v>1.6220000000000001</v>
      </c>
      <c r="G4" s="75">
        <v>5.1811154400000001</v>
      </c>
      <c r="H4" s="75">
        <v>63.633961399999997</v>
      </c>
      <c r="I4" s="75">
        <v>32.200000000000003</v>
      </c>
      <c r="J4" s="75">
        <v>955.82480000000032</v>
      </c>
      <c r="K4" s="76">
        <v>47.970559096958844</v>
      </c>
      <c r="L4" s="76">
        <v>56.230423600756538</v>
      </c>
      <c r="M4" s="75">
        <v>202.22499999999999</v>
      </c>
      <c r="N4" s="75">
        <v>169.209</v>
      </c>
      <c r="O4" s="75">
        <v>33.015999999999998</v>
      </c>
      <c r="P4" s="75">
        <v>22.536999999999999</v>
      </c>
      <c r="Q4" s="75">
        <v>2.5663718617933373</v>
      </c>
      <c r="R4" s="75">
        <v>100</v>
      </c>
      <c r="S4" s="75">
        <v>100</v>
      </c>
      <c r="T4" s="75">
        <v>100</v>
      </c>
      <c r="U4" s="75">
        <v>100</v>
      </c>
      <c r="V4" s="75">
        <v>100</v>
      </c>
      <c r="W4" s="75">
        <v>100</v>
      </c>
      <c r="X4" s="75">
        <v>100</v>
      </c>
      <c r="Y4" s="77">
        <v>100</v>
      </c>
      <c r="Z4" s="517"/>
      <c r="AA4" s="3"/>
      <c r="AB4" s="48"/>
      <c r="AC4" s="48"/>
      <c r="AD4" s="48"/>
      <c r="AE4" s="48"/>
      <c r="AF4" s="187"/>
      <c r="AG4" s="48"/>
      <c r="AH4" s="48"/>
      <c r="AI4" s="48"/>
    </row>
    <row r="5" spans="1:42" x14ac:dyDescent="0.25">
      <c r="A5" s="7"/>
      <c r="B5" s="182" t="s">
        <v>44</v>
      </c>
      <c r="C5" s="75">
        <v>29.722000000000001</v>
      </c>
      <c r="D5" s="75">
        <v>60.269694800000003</v>
      </c>
      <c r="E5" s="75">
        <v>25.863</v>
      </c>
      <c r="F5" s="75">
        <v>1.68</v>
      </c>
      <c r="G5" s="75">
        <v>5.3499777100000001</v>
      </c>
      <c r="H5" s="75">
        <v>63.676366199999997</v>
      </c>
      <c r="I5" s="75">
        <v>31.8</v>
      </c>
      <c r="J5" s="75">
        <v>945.15959999999995</v>
      </c>
      <c r="K5" s="76">
        <v>47.389411627392988</v>
      </c>
      <c r="L5" s="76">
        <v>55.448276204595629</v>
      </c>
      <c r="M5" s="75">
        <v>200.18</v>
      </c>
      <c r="N5" s="75">
        <v>167.72800000000001</v>
      </c>
      <c r="O5" s="75">
        <v>32.451999999999998</v>
      </c>
      <c r="P5" s="75">
        <v>23.103000000000002</v>
      </c>
      <c r="Q5" s="75">
        <v>2.5181341221026221</v>
      </c>
      <c r="R5" s="75">
        <v>98.906287960883475</v>
      </c>
      <c r="S5" s="75">
        <v>100.15039221196378</v>
      </c>
      <c r="T5" s="75">
        <v>100.58560540429133</v>
      </c>
      <c r="U5" s="75">
        <v>99.336094790539008</v>
      </c>
      <c r="V5" s="75">
        <v>97.770016004750843</v>
      </c>
      <c r="W5" s="75">
        <v>97.260851813894377</v>
      </c>
      <c r="X5" s="75">
        <v>96.950313543740037</v>
      </c>
      <c r="Y5" s="77">
        <v>98.169814343032357</v>
      </c>
      <c r="Z5" s="521"/>
      <c r="AA5" s="505"/>
      <c r="AB5" s="506"/>
      <c r="AC5" s="510"/>
      <c r="AD5" s="510"/>
      <c r="AE5" s="48"/>
      <c r="AF5" s="187"/>
      <c r="AG5" s="512"/>
      <c r="AH5" s="510"/>
      <c r="AI5" s="511"/>
      <c r="AN5" s="506"/>
      <c r="AO5" s="506"/>
    </row>
    <row r="6" spans="1:42" x14ac:dyDescent="0.25">
      <c r="A6" s="7"/>
      <c r="B6" s="182" t="s">
        <v>45</v>
      </c>
      <c r="C6" s="75">
        <v>29.58</v>
      </c>
      <c r="D6" s="75">
        <v>59.855521199999998</v>
      </c>
      <c r="E6" s="75">
        <v>25.762</v>
      </c>
      <c r="F6" s="75">
        <v>1.84</v>
      </c>
      <c r="G6" s="75">
        <v>5.8561425800000002</v>
      </c>
      <c r="H6" s="75">
        <v>63.578785500000002</v>
      </c>
      <c r="I6" s="75">
        <v>32</v>
      </c>
      <c r="J6" s="75">
        <v>946.56</v>
      </c>
      <c r="K6" s="76">
        <v>47.173475706040477</v>
      </c>
      <c r="L6" s="76">
        <v>55.173734324372035</v>
      </c>
      <c r="M6" s="75">
        <v>199.12799999999999</v>
      </c>
      <c r="N6" s="75">
        <v>166.95599999999999</v>
      </c>
      <c r="O6" s="75">
        <v>32.171999999999997</v>
      </c>
      <c r="P6" s="75">
        <v>22.745999999999999</v>
      </c>
      <c r="Q6" s="75">
        <v>0.36699519712624085</v>
      </c>
      <c r="R6" s="75">
        <v>98.837030626539246</v>
      </c>
      <c r="S6" s="75">
        <v>99.454762067955116</v>
      </c>
      <c r="T6" s="75">
        <v>98.787920671680084</v>
      </c>
      <c r="U6" s="75">
        <v>98.174331117270356</v>
      </c>
      <c r="V6" s="75">
        <v>95.563050060477053</v>
      </c>
      <c r="W6" s="75">
        <v>95.815969973436609</v>
      </c>
      <c r="X6" s="75">
        <v>95.687984978424893</v>
      </c>
      <c r="Y6" s="77">
        <v>96.28603488454003</v>
      </c>
      <c r="Z6" s="521"/>
      <c r="AA6" s="507"/>
      <c r="AB6" s="508"/>
      <c r="AC6" s="511"/>
      <c r="AD6" s="511"/>
      <c r="AE6" s="48"/>
      <c r="AF6" s="187"/>
      <c r="AG6" s="513"/>
      <c r="AH6" s="511"/>
      <c r="AI6" s="511"/>
      <c r="AN6" s="506"/>
      <c r="AO6" s="506"/>
    </row>
    <row r="7" spans="1:42" x14ac:dyDescent="0.25">
      <c r="A7" s="7"/>
      <c r="B7" s="182" t="s">
        <v>46</v>
      </c>
      <c r="C7" s="75">
        <v>29.527999999999999</v>
      </c>
      <c r="D7" s="75">
        <v>59.632045599999998</v>
      </c>
      <c r="E7" s="75">
        <v>25.7</v>
      </c>
      <c r="F7" s="75">
        <v>2.0030000000000001</v>
      </c>
      <c r="G7" s="75">
        <v>6.3524785100000001</v>
      </c>
      <c r="H7" s="75">
        <v>63.677121</v>
      </c>
      <c r="I7" s="75">
        <v>31.9</v>
      </c>
      <c r="J7" s="75">
        <v>941.94320000000005</v>
      </c>
      <c r="K7" s="76">
        <v>47.439504924851072</v>
      </c>
      <c r="L7" s="76">
        <v>55.674831584426556</v>
      </c>
      <c r="M7" s="75">
        <v>198.142</v>
      </c>
      <c r="N7" s="75">
        <v>165.392</v>
      </c>
      <c r="O7" s="75">
        <v>32.75</v>
      </c>
      <c r="P7" s="75">
        <v>23.263999999999999</v>
      </c>
      <c r="Q7" s="75">
        <v>-0.37208675193461938</v>
      </c>
      <c r="R7" s="75">
        <v>98.147357147917802</v>
      </c>
      <c r="S7" s="75">
        <v>99.070373045860606</v>
      </c>
      <c r="T7" s="75">
        <v>97.171520072947231</v>
      </c>
      <c r="U7" s="75">
        <v>96.266195429774939</v>
      </c>
      <c r="V7" s="75">
        <v>93.987986394674323</v>
      </c>
      <c r="W7" s="75">
        <v>96.130699442062877</v>
      </c>
      <c r="X7" s="75">
        <v>94.903576236255844</v>
      </c>
      <c r="Y7" s="77">
        <v>95.796086357599961</v>
      </c>
      <c r="Z7" s="521"/>
      <c r="AA7" s="507"/>
      <c r="AB7" s="508"/>
      <c r="AC7" s="511"/>
      <c r="AD7" s="511"/>
      <c r="AE7" s="48"/>
      <c r="AF7" s="187"/>
      <c r="AG7" s="513"/>
      <c r="AH7" s="511"/>
      <c r="AI7" s="511"/>
      <c r="AN7" s="506"/>
      <c r="AO7" s="506"/>
    </row>
    <row r="8" spans="1:42" x14ac:dyDescent="0.25">
      <c r="A8" s="7"/>
      <c r="B8" s="182" t="s">
        <v>47</v>
      </c>
      <c r="C8" s="75">
        <v>29.366</v>
      </c>
      <c r="D8" s="75">
        <v>59.1877456</v>
      </c>
      <c r="E8" s="75">
        <v>25.521999999999998</v>
      </c>
      <c r="F8" s="75">
        <v>2.2349999999999999</v>
      </c>
      <c r="G8" s="75">
        <v>7.0725609900000004</v>
      </c>
      <c r="H8" s="75">
        <v>63.6924317</v>
      </c>
      <c r="I8" s="75">
        <v>31.5</v>
      </c>
      <c r="J8" s="75">
        <v>925.02899999999988</v>
      </c>
      <c r="K8" s="76">
        <v>47.72137771791418</v>
      </c>
      <c r="L8" s="76">
        <v>56.205246616637808</v>
      </c>
      <c r="M8" s="75">
        <v>195.35899999999998</v>
      </c>
      <c r="N8" s="75">
        <v>162.291</v>
      </c>
      <c r="O8" s="75">
        <v>33.067999999999998</v>
      </c>
      <c r="P8" s="75">
        <v>23.715</v>
      </c>
      <c r="Q8" s="75">
        <v>-3.0211642476288159</v>
      </c>
      <c r="R8" s="75">
        <v>96.978835752371168</v>
      </c>
      <c r="S8" s="75">
        <v>99.133920991312763</v>
      </c>
      <c r="T8" s="75">
        <v>96.946676499388388</v>
      </c>
      <c r="U8" s="75">
        <v>94.83914011501389</v>
      </c>
      <c r="V8" s="75">
        <v>92.9248301819744</v>
      </c>
      <c r="W8" s="75">
        <v>95.216916539753129</v>
      </c>
      <c r="X8" s="75">
        <v>94.149135245364448</v>
      </c>
      <c r="Y8" s="77">
        <v>96.241338250816995</v>
      </c>
      <c r="Z8" s="521"/>
      <c r="AA8" s="507"/>
      <c r="AB8" s="508"/>
      <c r="AC8" s="511"/>
      <c r="AD8" s="511"/>
      <c r="AE8" s="48"/>
      <c r="AF8" s="187"/>
      <c r="AG8" s="513"/>
      <c r="AH8" s="511"/>
      <c r="AI8" s="511"/>
      <c r="AN8" s="506"/>
      <c r="AO8" s="506"/>
    </row>
    <row r="9" spans="1:42" x14ac:dyDescent="0.25">
      <c r="A9" s="7"/>
      <c r="B9" s="182" t="s">
        <v>48</v>
      </c>
      <c r="C9" s="75">
        <v>29.087</v>
      </c>
      <c r="D9" s="75">
        <v>58.5110235</v>
      </c>
      <c r="E9" s="75">
        <v>25.244</v>
      </c>
      <c r="F9" s="75">
        <v>2.448</v>
      </c>
      <c r="G9" s="75">
        <v>7.7628032300000003</v>
      </c>
      <c r="H9" s="75">
        <v>63.435387800000001</v>
      </c>
      <c r="I9" s="75">
        <v>31.7</v>
      </c>
      <c r="J9" s="75">
        <v>922.05790000000002</v>
      </c>
      <c r="K9" s="76">
        <v>48.522039002854932</v>
      </c>
      <c r="L9" s="76">
        <v>57.008718980549965</v>
      </c>
      <c r="M9" s="75">
        <v>198.04500000000002</v>
      </c>
      <c r="N9" s="75">
        <v>165.01900000000001</v>
      </c>
      <c r="O9" s="75">
        <v>33.026000000000003</v>
      </c>
      <c r="P9" s="75">
        <v>23.805</v>
      </c>
      <c r="Q9" s="75">
        <v>0.79734915621889613</v>
      </c>
      <c r="R9" s="75">
        <v>99.69491641338702</v>
      </c>
      <c r="S9" s="75">
        <v>101.26739143568021</v>
      </c>
      <c r="T9" s="75">
        <v>96.97777269661249</v>
      </c>
      <c r="U9" s="75">
        <v>95.471906721165723</v>
      </c>
      <c r="V9" s="75">
        <v>95.239864265160605</v>
      </c>
      <c r="W9" s="75">
        <v>97.446399800698998</v>
      </c>
      <c r="X9" s="75">
        <v>95.723942526071852</v>
      </c>
      <c r="Y9" s="77">
        <v>97.233783890836406</v>
      </c>
      <c r="Z9" s="521"/>
      <c r="AA9" s="507"/>
      <c r="AB9" s="508"/>
      <c r="AC9" s="511"/>
      <c r="AD9" s="511"/>
      <c r="AE9" s="48"/>
      <c r="AF9" s="187"/>
      <c r="AG9" s="513"/>
      <c r="AH9" s="511"/>
      <c r="AI9" s="511"/>
      <c r="AN9" s="506"/>
      <c r="AO9" s="506"/>
    </row>
    <row r="10" spans="1:42" x14ac:dyDescent="0.25">
      <c r="A10" s="7"/>
      <c r="B10" s="182" t="s">
        <v>49</v>
      </c>
      <c r="C10" s="75">
        <v>29.068999999999999</v>
      </c>
      <c r="D10" s="75">
        <v>58.348053</v>
      </c>
      <c r="E10" s="75">
        <v>25.187999999999999</v>
      </c>
      <c r="F10" s="75">
        <v>2.4750000000000001</v>
      </c>
      <c r="G10" s="75">
        <v>7.8461831100000001</v>
      </c>
      <c r="H10" s="75">
        <v>63.315937400000003</v>
      </c>
      <c r="I10" s="75">
        <v>31.5</v>
      </c>
      <c r="J10" s="75">
        <v>915.67349999999999</v>
      </c>
      <c r="K10" s="76">
        <v>48.096395767666465</v>
      </c>
      <c r="L10" s="76">
        <v>56.369334754677524</v>
      </c>
      <c r="M10" s="75">
        <v>197.25199999999998</v>
      </c>
      <c r="N10" s="75">
        <v>164.89</v>
      </c>
      <c r="O10" s="75">
        <v>32.362000000000002</v>
      </c>
      <c r="P10" s="75">
        <v>23.253</v>
      </c>
      <c r="Q10" s="75">
        <v>1.013211336677422</v>
      </c>
      <c r="R10" s="75">
        <v>99.838458625682662</v>
      </c>
      <c r="S10" s="75">
        <v>102.05709103958672</v>
      </c>
      <c r="T10" s="75">
        <v>97.77510073122464</v>
      </c>
      <c r="U10" s="75">
        <v>95.649555161380718</v>
      </c>
      <c r="V10" s="75">
        <v>95.069407964573827</v>
      </c>
      <c r="W10" s="75">
        <v>97.178583733090193</v>
      </c>
      <c r="X10" s="75">
        <v>95.238710629656893</v>
      </c>
      <c r="Y10" s="77">
        <v>97.355126421427016</v>
      </c>
      <c r="Z10" s="521"/>
      <c r="AA10" s="507"/>
      <c r="AB10" s="508"/>
      <c r="AC10" s="511"/>
      <c r="AD10" s="511"/>
      <c r="AE10" s="48"/>
      <c r="AF10" s="187"/>
      <c r="AG10" s="513"/>
      <c r="AH10" s="511"/>
      <c r="AI10" s="511"/>
      <c r="AN10" s="506"/>
      <c r="AO10" s="506"/>
    </row>
    <row r="11" spans="1:42" x14ac:dyDescent="0.25">
      <c r="A11" s="7"/>
      <c r="B11" s="182" t="s">
        <v>50</v>
      </c>
      <c r="C11" s="75">
        <v>29.102</v>
      </c>
      <c r="D11" s="75">
        <v>58.283265200000002</v>
      </c>
      <c r="E11" s="75">
        <v>25.19</v>
      </c>
      <c r="F11" s="75">
        <v>2.4529999999999998</v>
      </c>
      <c r="G11" s="75">
        <v>7.7737284100000004</v>
      </c>
      <c r="H11" s="75">
        <v>63.195946499999998</v>
      </c>
      <c r="I11" s="75">
        <v>31.5</v>
      </c>
      <c r="J11" s="75">
        <v>916.71299999999997</v>
      </c>
      <c r="K11" s="76">
        <v>48.434883123555103</v>
      </c>
      <c r="L11" s="76">
        <v>57.398407397893656</v>
      </c>
      <c r="M11" s="75">
        <v>199.92400000000001</v>
      </c>
      <c r="N11" s="75">
        <v>165.029</v>
      </c>
      <c r="O11" s="75">
        <v>34.895000000000003</v>
      </c>
      <c r="P11" s="75">
        <v>23.527999999999999</v>
      </c>
      <c r="Q11" s="75">
        <v>1.8006907779486658</v>
      </c>
      <c r="R11" s="75">
        <v>99.914687556880679</v>
      </c>
      <c r="S11" s="75">
        <v>102.13501394703358</v>
      </c>
      <c r="T11" s="75">
        <v>97.989812421798348</v>
      </c>
      <c r="U11" s="75">
        <v>95.85959913283493</v>
      </c>
      <c r="V11" s="75">
        <v>97.433681526415441</v>
      </c>
      <c r="W11" s="75">
        <v>99.025026476318899</v>
      </c>
      <c r="X11" s="75">
        <v>94.622408294235683</v>
      </c>
      <c r="Y11" s="77">
        <v>96.725128478552008</v>
      </c>
      <c r="Z11" s="521"/>
      <c r="AA11" s="507"/>
      <c r="AB11" s="508"/>
      <c r="AC11" s="511"/>
      <c r="AD11" s="511"/>
      <c r="AE11" s="48"/>
      <c r="AF11" s="187"/>
      <c r="AG11" s="513"/>
      <c r="AH11" s="511"/>
      <c r="AI11" s="511"/>
      <c r="AN11" s="506"/>
      <c r="AO11" s="506"/>
    </row>
    <row r="12" spans="1:42" x14ac:dyDescent="0.25">
      <c r="A12" s="7"/>
      <c r="B12" s="182" t="s">
        <v>51</v>
      </c>
      <c r="C12" s="75">
        <v>29.013000000000002</v>
      </c>
      <c r="D12" s="75">
        <v>57.9761405</v>
      </c>
      <c r="E12" s="75">
        <v>25.059000000000001</v>
      </c>
      <c r="F12" s="75">
        <v>2.5259999999999998</v>
      </c>
      <c r="G12" s="75">
        <v>8.0091315499999975</v>
      </c>
      <c r="H12" s="75">
        <v>63.023799500000003</v>
      </c>
      <c r="I12" s="75">
        <v>31.6</v>
      </c>
      <c r="J12" s="75">
        <v>916.81080000000031</v>
      </c>
      <c r="K12" s="76">
        <v>47.404088152996785</v>
      </c>
      <c r="L12" s="76">
        <v>56.584850022354729</v>
      </c>
      <c r="M12" s="75">
        <v>201.03399999999999</v>
      </c>
      <c r="N12" s="75">
        <v>164.483</v>
      </c>
      <c r="O12" s="75">
        <v>36.551000000000002</v>
      </c>
      <c r="P12" s="75">
        <v>24.245000000000001</v>
      </c>
      <c r="Q12" s="75">
        <v>3.2232551373347684</v>
      </c>
      <c r="R12" s="75">
        <v>100.10471105788689</v>
      </c>
      <c r="S12" s="75">
        <v>102.00543341974553</v>
      </c>
      <c r="T12" s="75">
        <v>98.802115082951332</v>
      </c>
      <c r="U12" s="75">
        <v>96.961081928185408</v>
      </c>
      <c r="V12" s="75">
        <v>97.93584704834629</v>
      </c>
      <c r="W12" s="75">
        <v>100.03001790679366</v>
      </c>
      <c r="X12" s="75">
        <v>94.102385057507007</v>
      </c>
      <c r="Y12" s="77">
        <v>95.889139204168529</v>
      </c>
      <c r="Z12" s="521"/>
      <c r="AA12" s="507"/>
      <c r="AB12" s="508"/>
      <c r="AC12" s="511"/>
      <c r="AD12" s="511"/>
      <c r="AE12" s="48"/>
      <c r="AF12" s="187"/>
      <c r="AG12" s="513"/>
      <c r="AH12" s="511"/>
      <c r="AI12" s="511"/>
      <c r="AN12" s="506"/>
      <c r="AO12" s="506"/>
    </row>
    <row r="13" spans="1:42" x14ac:dyDescent="0.25">
      <c r="A13" s="7"/>
      <c r="B13" s="182" t="s">
        <v>52</v>
      </c>
      <c r="C13" s="75">
        <v>29.192</v>
      </c>
      <c r="D13" s="75">
        <v>58.2035689</v>
      </c>
      <c r="E13" s="75">
        <v>25.242999999999999</v>
      </c>
      <c r="F13" s="75">
        <v>2.488</v>
      </c>
      <c r="G13" s="75">
        <v>7.8535353499999996</v>
      </c>
      <c r="H13" s="75">
        <v>63.164191000000002</v>
      </c>
      <c r="I13" s="75">
        <v>31.6</v>
      </c>
      <c r="J13" s="75">
        <v>922.46720000000005</v>
      </c>
      <c r="K13" s="76">
        <v>47.059465871836039</v>
      </c>
      <c r="L13" s="76">
        <v>56.250480844399995</v>
      </c>
      <c r="M13" s="75">
        <v>201.71599999999998</v>
      </c>
      <c r="N13" s="75">
        <v>164.68199999999999</v>
      </c>
      <c r="O13" s="75">
        <v>37.033999999999999</v>
      </c>
      <c r="P13" s="75">
        <v>24.937999999999999</v>
      </c>
      <c r="Q13" s="75">
        <v>-0.20026550397044263</v>
      </c>
      <c r="R13" s="75">
        <v>99.495261886598811</v>
      </c>
      <c r="S13" s="75">
        <v>101.38441242874943</v>
      </c>
      <c r="T13" s="75">
        <v>99.31793740792483</v>
      </c>
      <c r="U13" s="75">
        <v>97.467292701522382</v>
      </c>
      <c r="V13" s="75">
        <v>97.551799714204662</v>
      </c>
      <c r="W13" s="75">
        <v>98.908181570126345</v>
      </c>
      <c r="X13" s="75">
        <v>92.340336227013964</v>
      </c>
      <c r="Y13" s="77">
        <v>94.093633750311682</v>
      </c>
      <c r="Z13" s="521"/>
      <c r="AA13" s="507"/>
      <c r="AB13" s="508"/>
      <c r="AC13" s="511"/>
      <c r="AD13" s="511"/>
      <c r="AE13" s="48"/>
      <c r="AF13" s="187"/>
      <c r="AG13" s="513"/>
      <c r="AH13" s="511"/>
      <c r="AI13" s="511"/>
      <c r="AN13" s="506"/>
      <c r="AO13" s="506"/>
    </row>
    <row r="14" spans="1:42" x14ac:dyDescent="0.25">
      <c r="A14" s="7"/>
      <c r="B14" s="182" t="s">
        <v>53</v>
      </c>
      <c r="C14" s="75">
        <v>29.385000000000002</v>
      </c>
      <c r="D14" s="75">
        <v>58.4566722</v>
      </c>
      <c r="E14" s="75">
        <v>25.338999999999999</v>
      </c>
      <c r="F14" s="75">
        <v>2.4700000000000002</v>
      </c>
      <c r="G14" s="75">
        <v>7.7538847899999999</v>
      </c>
      <c r="H14" s="75">
        <v>63.370334999999997</v>
      </c>
      <c r="I14" s="75">
        <v>31.6</v>
      </c>
      <c r="J14" s="75">
        <v>928.56600000000003</v>
      </c>
      <c r="K14" s="76">
        <v>47.061502743877668</v>
      </c>
      <c r="L14" s="76">
        <v>56.163445985370906</v>
      </c>
      <c r="M14" s="75">
        <v>203.53299999999999</v>
      </c>
      <c r="N14" s="75">
        <v>166.56299999999999</v>
      </c>
      <c r="O14" s="75">
        <v>36.97</v>
      </c>
      <c r="P14" s="75">
        <v>24.59</v>
      </c>
      <c r="Q14" s="75">
        <v>0.41265017889948741</v>
      </c>
      <c r="R14" s="75">
        <v>100.25044220381199</v>
      </c>
      <c r="S14" s="75">
        <v>102.15393161274515</v>
      </c>
      <c r="T14" s="75">
        <v>99.245661843033957</v>
      </c>
      <c r="U14" s="75">
        <v>97.396363855812453</v>
      </c>
      <c r="V14" s="75">
        <v>97.647890541089311</v>
      </c>
      <c r="W14" s="75">
        <v>98.732455658130661</v>
      </c>
      <c r="X14" s="75">
        <v>92.769527881030427</v>
      </c>
      <c r="Y14" s="77">
        <v>94.530974612948711</v>
      </c>
      <c r="Z14" s="521"/>
      <c r="AA14" s="507"/>
      <c r="AB14" s="508"/>
      <c r="AC14" s="511"/>
      <c r="AD14" s="511"/>
      <c r="AE14" s="48"/>
      <c r="AF14" s="187"/>
      <c r="AG14" s="513"/>
      <c r="AH14" s="511"/>
      <c r="AI14" s="511"/>
      <c r="AN14" s="506"/>
      <c r="AO14" s="506"/>
    </row>
    <row r="15" spans="1:42" x14ac:dyDescent="0.25">
      <c r="A15" s="7"/>
      <c r="B15" s="182" t="s">
        <v>54</v>
      </c>
      <c r="C15" s="75">
        <v>29.324000000000002</v>
      </c>
      <c r="D15" s="75">
        <v>58.202171399999997</v>
      </c>
      <c r="E15" s="75">
        <v>25.315000000000001</v>
      </c>
      <c r="F15" s="75">
        <v>2.5030000000000001</v>
      </c>
      <c r="G15" s="75">
        <v>7.8643918700000004</v>
      </c>
      <c r="H15" s="75">
        <v>63.170116899999996</v>
      </c>
      <c r="I15" s="75">
        <v>31.8</v>
      </c>
      <c r="J15" s="75">
        <v>932.50320000000011</v>
      </c>
      <c r="K15" s="76">
        <v>47.042210088619896</v>
      </c>
      <c r="L15" s="76">
        <v>56.036113646876274</v>
      </c>
      <c r="M15" s="75">
        <v>203.636</v>
      </c>
      <c r="N15" s="75">
        <v>166.887</v>
      </c>
      <c r="O15" s="75">
        <v>36.749000000000002</v>
      </c>
      <c r="P15" s="75">
        <v>25.327000000000002</v>
      </c>
      <c r="Q15" s="75">
        <v>0.62652506802631791</v>
      </c>
      <c r="R15" s="75">
        <v>100.54067812106467</v>
      </c>
      <c r="S15" s="75">
        <v>101.80534073893972</v>
      </c>
      <c r="T15" s="75">
        <v>98.876595582788681</v>
      </c>
      <c r="U15" s="75">
        <v>97.648315009903939</v>
      </c>
      <c r="V15" s="75">
        <v>97.248156262496252</v>
      </c>
      <c r="W15" s="75">
        <v>97.892328560447154</v>
      </c>
      <c r="X15" s="75">
        <v>92.105518265888577</v>
      </c>
      <c r="Y15" s="77">
        <v>93.264078244075833</v>
      </c>
      <c r="Z15" s="521"/>
      <c r="AA15" s="507"/>
      <c r="AB15" s="508"/>
      <c r="AC15" s="511"/>
      <c r="AD15" s="511"/>
      <c r="AE15" s="48"/>
      <c r="AF15" s="187"/>
      <c r="AG15" s="513"/>
      <c r="AH15" s="511"/>
      <c r="AI15" s="511"/>
      <c r="AN15" s="506"/>
      <c r="AO15" s="506"/>
    </row>
    <row r="16" spans="1:42" ht="18.75" customHeight="1" x14ac:dyDescent="0.25">
      <c r="A16" s="7"/>
      <c r="B16" s="182" t="s">
        <v>55</v>
      </c>
      <c r="C16" s="75">
        <v>29.440999999999999</v>
      </c>
      <c r="D16" s="75">
        <v>58.302473399999997</v>
      </c>
      <c r="E16" s="75">
        <v>25.457999999999998</v>
      </c>
      <c r="F16" s="75">
        <v>2.4830000000000001</v>
      </c>
      <c r="G16" s="75">
        <v>7.7778473899999998</v>
      </c>
      <c r="H16" s="75">
        <v>63.219597200000003</v>
      </c>
      <c r="I16" s="75">
        <v>31.7</v>
      </c>
      <c r="J16" s="75">
        <v>933.27970000000005</v>
      </c>
      <c r="K16" s="76">
        <v>47.088142014448252</v>
      </c>
      <c r="L16" s="76">
        <v>55.987093087743474</v>
      </c>
      <c r="M16" s="75">
        <v>208.18100000000001</v>
      </c>
      <c r="N16" s="75">
        <v>171.11500000000001</v>
      </c>
      <c r="O16" s="75">
        <v>37.066000000000003</v>
      </c>
      <c r="P16" s="75">
        <v>25.016999999999999</v>
      </c>
      <c r="Q16" s="75">
        <v>2.401546872449245</v>
      </c>
      <c r="R16" s="75">
        <v>102.50877261547191</v>
      </c>
      <c r="S16" s="75">
        <v>104.12563022770335</v>
      </c>
      <c r="T16" s="75">
        <v>98.956325632932277</v>
      </c>
      <c r="U16" s="75">
        <v>97.419736819304632</v>
      </c>
      <c r="V16" s="75">
        <v>97.910941885535607</v>
      </c>
      <c r="W16" s="75">
        <v>97.795524270139325</v>
      </c>
      <c r="X16" s="75">
        <v>92.550681896889117</v>
      </c>
      <c r="Y16" s="77">
        <v>94.010471832171234</v>
      </c>
      <c r="Z16" s="521"/>
      <c r="AA16" s="507"/>
      <c r="AB16" s="508"/>
      <c r="AC16" s="511"/>
      <c r="AD16" s="511"/>
      <c r="AE16" s="48"/>
      <c r="AF16" s="187"/>
      <c r="AG16" s="513"/>
      <c r="AH16" s="511"/>
      <c r="AI16" s="511"/>
      <c r="AN16" s="506"/>
      <c r="AO16" s="506"/>
    </row>
    <row r="17" spans="1:41" x14ac:dyDescent="0.25">
      <c r="A17" s="7"/>
      <c r="B17" s="182" t="s">
        <v>56</v>
      </c>
      <c r="C17" s="75">
        <v>29.446999999999999</v>
      </c>
      <c r="D17" s="75">
        <v>58.1830037</v>
      </c>
      <c r="E17" s="75">
        <v>25.439</v>
      </c>
      <c r="F17" s="75">
        <v>2.54</v>
      </c>
      <c r="G17" s="75">
        <v>7.9407259200000002</v>
      </c>
      <c r="H17" s="75">
        <v>63.2016755</v>
      </c>
      <c r="I17" s="75">
        <v>31.3</v>
      </c>
      <c r="J17" s="75">
        <v>921.69110000000001</v>
      </c>
      <c r="K17" s="76">
        <v>46.981934112646123</v>
      </c>
      <c r="L17" s="76">
        <v>55.944111680030915</v>
      </c>
      <c r="M17" s="75">
        <v>206.62100000000001</v>
      </c>
      <c r="N17" s="75">
        <v>169.51400000000001</v>
      </c>
      <c r="O17" s="75">
        <v>37.106999999999999</v>
      </c>
      <c r="P17" s="75">
        <v>25.01</v>
      </c>
      <c r="Q17" s="75">
        <v>2.1410625164213437</v>
      </c>
      <c r="R17" s="75">
        <v>101.62551764446798</v>
      </c>
      <c r="S17" s="75">
        <v>104.54765712945272</v>
      </c>
      <c r="T17" s="75">
        <v>100.15244386499798</v>
      </c>
      <c r="U17" s="75">
        <v>97.353152044374454</v>
      </c>
      <c r="V17" s="75">
        <v>97.786379411585401</v>
      </c>
      <c r="W17" s="75">
        <v>96.814507961947342</v>
      </c>
      <c r="X17" s="75">
        <v>90.362085126874717</v>
      </c>
      <c r="Y17" s="77">
        <v>92.96035594521932</v>
      </c>
      <c r="Z17" s="521"/>
      <c r="AA17" s="507"/>
      <c r="AB17" s="508"/>
      <c r="AC17" s="511"/>
      <c r="AD17" s="511"/>
      <c r="AE17" s="48"/>
      <c r="AF17" s="187"/>
      <c r="AG17" s="513"/>
      <c r="AH17" s="511"/>
      <c r="AI17" s="511"/>
      <c r="AN17" s="506"/>
      <c r="AO17" s="506"/>
    </row>
    <row r="18" spans="1:41" x14ac:dyDescent="0.25">
      <c r="A18" s="7"/>
      <c r="B18" s="182" t="s">
        <v>57</v>
      </c>
      <c r="C18" s="75">
        <v>29.283999999999999</v>
      </c>
      <c r="D18" s="75">
        <v>57.754812200000003</v>
      </c>
      <c r="E18" s="75">
        <v>25.163</v>
      </c>
      <c r="F18" s="75">
        <v>2.661</v>
      </c>
      <c r="G18" s="75">
        <v>8.3299420899999994</v>
      </c>
      <c r="H18" s="75">
        <v>63.002918899999997</v>
      </c>
      <c r="I18" s="75">
        <v>31.7</v>
      </c>
      <c r="J18" s="75">
        <v>928.30279999999982</v>
      </c>
      <c r="K18" s="76">
        <v>46.34494007686807</v>
      </c>
      <c r="L18" s="76">
        <v>55.221838758822251</v>
      </c>
      <c r="M18" s="75">
        <v>205.55599999999998</v>
      </c>
      <c r="N18" s="75">
        <v>168.44</v>
      </c>
      <c r="O18" s="75">
        <v>37.116</v>
      </c>
      <c r="P18" s="75">
        <v>25.337</v>
      </c>
      <c r="Q18" s="75">
        <v>1.8342225778156696</v>
      </c>
      <c r="R18" s="75">
        <v>102.08925844907434</v>
      </c>
      <c r="S18" s="75">
        <v>103.69949911861812</v>
      </c>
      <c r="T18" s="75">
        <v>99.61199156623951</v>
      </c>
      <c r="U18" s="75">
        <v>98.065221492029607</v>
      </c>
      <c r="V18" s="75">
        <v>98.07883024763052</v>
      </c>
      <c r="W18" s="75">
        <v>96.658605363296331</v>
      </c>
      <c r="X18" s="75">
        <v>90.225237906643656</v>
      </c>
      <c r="Y18" s="77">
        <v>91.648348914634852</v>
      </c>
      <c r="Z18" s="521"/>
      <c r="AA18" s="507"/>
      <c r="AB18" s="508"/>
      <c r="AC18" s="511"/>
      <c r="AD18" s="511"/>
      <c r="AE18" s="48"/>
      <c r="AF18" s="187"/>
      <c r="AG18" s="513"/>
      <c r="AH18" s="511"/>
      <c r="AI18" s="511"/>
      <c r="AN18" s="506"/>
      <c r="AO18" s="506"/>
    </row>
    <row r="19" spans="1:41" x14ac:dyDescent="0.25">
      <c r="A19" s="7"/>
      <c r="B19" s="182" t="s">
        <v>58</v>
      </c>
      <c r="C19" s="75">
        <v>29.352</v>
      </c>
      <c r="D19" s="75">
        <v>57.793179500000001</v>
      </c>
      <c r="E19" s="75">
        <v>25.234000000000002</v>
      </c>
      <c r="F19" s="75">
        <v>2.6880000000000002</v>
      </c>
      <c r="G19" s="75">
        <v>8.3895131099999976</v>
      </c>
      <c r="H19" s="75">
        <v>63.085768299999998</v>
      </c>
      <c r="I19" s="75">
        <v>31.6</v>
      </c>
      <c r="J19" s="75">
        <v>927.52320000000032</v>
      </c>
      <c r="K19" s="76">
        <v>45.920976107675692</v>
      </c>
      <c r="L19" s="76">
        <v>54.813953212348522</v>
      </c>
      <c r="M19" s="75">
        <v>206.00799999999998</v>
      </c>
      <c r="N19" s="75">
        <v>168.54499999999999</v>
      </c>
      <c r="O19" s="75">
        <v>37.463000000000001</v>
      </c>
      <c r="P19" s="75">
        <v>24.904</v>
      </c>
      <c r="Q19" s="75">
        <v>1.3176711401239105</v>
      </c>
      <c r="R19" s="75">
        <v>101.86547362075081</v>
      </c>
      <c r="S19" s="75">
        <v>103.79962818317016</v>
      </c>
      <c r="T19" s="75">
        <v>99.778272074137064</v>
      </c>
      <c r="U19" s="75">
        <v>97.919049631197993</v>
      </c>
      <c r="V19" s="75">
        <v>97.083153557999637</v>
      </c>
      <c r="W19" s="75">
        <v>95.873839857216836</v>
      </c>
      <c r="X19" s="75">
        <v>89.176201276181544</v>
      </c>
      <c r="Y19" s="77">
        <v>90.869420287754579</v>
      </c>
      <c r="Z19" s="521"/>
      <c r="AA19" s="507"/>
      <c r="AB19" s="508"/>
      <c r="AC19" s="511"/>
      <c r="AD19" s="511"/>
      <c r="AE19" s="48"/>
      <c r="AF19" s="187"/>
      <c r="AG19" s="513"/>
      <c r="AH19" s="511"/>
      <c r="AI19" s="511"/>
      <c r="AN19" s="506"/>
      <c r="AO19" s="506"/>
    </row>
    <row r="20" spans="1:41" ht="18.75" customHeight="1" x14ac:dyDescent="0.25">
      <c r="A20" s="7"/>
      <c r="B20" s="182" t="s">
        <v>59</v>
      </c>
      <c r="C20" s="75">
        <v>29.47</v>
      </c>
      <c r="D20" s="75">
        <v>57.928567200000003</v>
      </c>
      <c r="E20" s="75">
        <v>25.283999999999999</v>
      </c>
      <c r="F20" s="75">
        <v>2.633</v>
      </c>
      <c r="G20" s="75">
        <v>8.2017257000000008</v>
      </c>
      <c r="H20" s="75">
        <v>63.1042007</v>
      </c>
      <c r="I20" s="75">
        <v>31.7</v>
      </c>
      <c r="J20" s="75">
        <v>934.19899999999996</v>
      </c>
      <c r="K20" s="76">
        <v>45.965222323527549</v>
      </c>
      <c r="L20" s="76">
        <v>54.944181805823469</v>
      </c>
      <c r="M20" s="75">
        <v>208.964</v>
      </c>
      <c r="N20" s="75">
        <v>170.655</v>
      </c>
      <c r="O20" s="75">
        <v>38.308999999999997</v>
      </c>
      <c r="P20" s="75">
        <v>25.457000000000001</v>
      </c>
      <c r="Q20" s="75">
        <v>0.41750718413349208</v>
      </c>
      <c r="R20" s="75">
        <v>102.93675410550858</v>
      </c>
      <c r="S20" s="75">
        <v>104.56036221442831</v>
      </c>
      <c r="T20" s="75">
        <v>100.00000407295505</v>
      </c>
      <c r="U20" s="75">
        <v>98.447208957735157</v>
      </c>
      <c r="V20" s="75">
        <v>98.147739506678377</v>
      </c>
      <c r="W20" s="75">
        <v>96.722160591082798</v>
      </c>
      <c r="X20" s="75">
        <v>89.802758231745017</v>
      </c>
      <c r="Y20" s="77">
        <v>91.219205522466524</v>
      </c>
      <c r="Z20" s="521"/>
      <c r="AA20" s="507"/>
      <c r="AB20" s="508"/>
      <c r="AC20" s="511"/>
      <c r="AD20" s="511"/>
      <c r="AE20" s="48"/>
      <c r="AF20" s="187"/>
      <c r="AG20" s="513"/>
      <c r="AH20" s="511"/>
      <c r="AI20" s="511"/>
      <c r="AN20" s="506"/>
      <c r="AO20" s="506"/>
    </row>
    <row r="21" spans="1:41" x14ac:dyDescent="0.25">
      <c r="A21" s="7"/>
      <c r="B21" s="182" t="s">
        <v>60</v>
      </c>
      <c r="C21" s="75">
        <v>29.689</v>
      </c>
      <c r="D21" s="75">
        <v>58.262849099999997</v>
      </c>
      <c r="E21" s="75">
        <v>25.466999999999999</v>
      </c>
      <c r="F21" s="75">
        <v>2.5750000000000002</v>
      </c>
      <c r="G21" s="75">
        <v>7.9810314900000003</v>
      </c>
      <c r="H21" s="75">
        <v>63.3161293</v>
      </c>
      <c r="I21" s="75">
        <v>31.7</v>
      </c>
      <c r="J21" s="75">
        <v>941.14129999999989</v>
      </c>
      <c r="K21" s="76">
        <v>46.313551973526948</v>
      </c>
      <c r="L21" s="76">
        <v>55.40311883346066</v>
      </c>
      <c r="M21" s="75">
        <v>210.32499999999999</v>
      </c>
      <c r="N21" s="75">
        <v>171.54</v>
      </c>
      <c r="O21" s="75">
        <v>38.784999999999997</v>
      </c>
      <c r="P21" s="75">
        <v>26.079000000000001</v>
      </c>
      <c r="Q21" s="75">
        <v>1.0839212573163337</v>
      </c>
      <c r="R21" s="75">
        <v>102.72705823307413</v>
      </c>
      <c r="S21" s="75">
        <v>104.34735883611953</v>
      </c>
      <c r="T21" s="75">
        <v>99.209732514428026</v>
      </c>
      <c r="U21" s="75">
        <v>97.669208738933051</v>
      </c>
      <c r="V21" s="75">
        <v>97.678436090893356</v>
      </c>
      <c r="W21" s="75">
        <v>96.228907772863977</v>
      </c>
      <c r="X21" s="75">
        <v>88.892238218993199</v>
      </c>
      <c r="Y21" s="77">
        <v>90.29432399531801</v>
      </c>
      <c r="Z21" s="521"/>
      <c r="AA21" s="507"/>
      <c r="AB21" s="508"/>
      <c r="AC21" s="511"/>
      <c r="AD21" s="511"/>
      <c r="AE21" s="48"/>
      <c r="AF21" s="187"/>
      <c r="AG21" s="513"/>
      <c r="AH21" s="511"/>
      <c r="AI21" s="511"/>
      <c r="AN21" s="506"/>
      <c r="AO21" s="506"/>
    </row>
    <row r="22" spans="1:41" x14ac:dyDescent="0.25">
      <c r="A22" s="7"/>
      <c r="B22" s="182" t="s">
        <v>61</v>
      </c>
      <c r="C22" s="75">
        <v>29.788</v>
      </c>
      <c r="D22" s="75">
        <v>58.356352200000003</v>
      </c>
      <c r="E22" s="75">
        <v>25.556000000000001</v>
      </c>
      <c r="F22" s="75">
        <v>2.5369999999999999</v>
      </c>
      <c r="G22" s="75">
        <v>7.8484145400000003</v>
      </c>
      <c r="H22" s="75">
        <v>63.326476599999999</v>
      </c>
      <c r="I22" s="75">
        <v>32</v>
      </c>
      <c r="J22" s="75">
        <v>953.21600000000001</v>
      </c>
      <c r="K22" s="76">
        <v>45.529868193599157</v>
      </c>
      <c r="L22" s="76">
        <v>54.554833170623631</v>
      </c>
      <c r="M22" s="75">
        <v>210.608</v>
      </c>
      <c r="N22" s="75">
        <v>171.50399999999999</v>
      </c>
      <c r="O22" s="75">
        <v>39.103999999999999</v>
      </c>
      <c r="P22" s="75">
        <v>25.771000000000001</v>
      </c>
      <c r="Q22" s="75">
        <v>0.25327274722914961</v>
      </c>
      <c r="R22" s="75">
        <v>102.34782271857416</v>
      </c>
      <c r="S22" s="75">
        <v>102.98749661056529</v>
      </c>
      <c r="T22" s="75">
        <v>98.96806991736301</v>
      </c>
      <c r="U22" s="75">
        <v>98.353361533333</v>
      </c>
      <c r="V22" s="75">
        <v>97.074625767698564</v>
      </c>
      <c r="W22" s="75">
        <v>96.465405666235569</v>
      </c>
      <c r="X22" s="75">
        <v>88.322908952420164</v>
      </c>
      <c r="Y22" s="77">
        <v>88.874927133372751</v>
      </c>
      <c r="Z22" s="521"/>
      <c r="AA22" s="507"/>
      <c r="AB22" s="508"/>
      <c r="AC22" s="511"/>
      <c r="AD22" s="511"/>
      <c r="AE22" s="48"/>
      <c r="AF22" s="187"/>
      <c r="AG22" s="513"/>
      <c r="AH22" s="511"/>
      <c r="AI22" s="511"/>
      <c r="AN22" s="506"/>
      <c r="AO22" s="506"/>
    </row>
    <row r="23" spans="1:41" x14ac:dyDescent="0.25">
      <c r="A23" s="7"/>
      <c r="B23" s="182" t="s">
        <v>62</v>
      </c>
      <c r="C23" s="75">
        <v>29.945</v>
      </c>
      <c r="D23" s="75">
        <v>58.560672699999998</v>
      </c>
      <c r="E23" s="75">
        <v>25.687000000000001</v>
      </c>
      <c r="F23" s="75">
        <v>2.5339999999999998</v>
      </c>
      <c r="G23" s="75">
        <v>7.8019643500000004</v>
      </c>
      <c r="H23" s="75">
        <v>63.516182700000002</v>
      </c>
      <c r="I23" s="75">
        <v>31.9</v>
      </c>
      <c r="J23" s="75">
        <v>955.24549999999999</v>
      </c>
      <c r="K23" s="76">
        <v>45.700002298480705</v>
      </c>
      <c r="L23" s="76">
        <v>54.620865607833224</v>
      </c>
      <c r="M23" s="75">
        <v>211.79500000000002</v>
      </c>
      <c r="N23" s="75">
        <v>172.983</v>
      </c>
      <c r="O23" s="75">
        <v>38.811999999999998</v>
      </c>
      <c r="P23" s="75">
        <v>25.844000000000001</v>
      </c>
      <c r="Q23" s="75">
        <v>0.82315055461130715</v>
      </c>
      <c r="R23" s="75">
        <v>102.70397983181745</v>
      </c>
      <c r="S23" s="75">
        <v>103.66984798070607</v>
      </c>
      <c r="T23" s="75">
        <v>98.615223141640413</v>
      </c>
      <c r="U23" s="75">
        <v>97.696447873958107</v>
      </c>
      <c r="V23" s="75">
        <v>96.862450504447565</v>
      </c>
      <c r="W23" s="75">
        <v>95.788449715429465</v>
      </c>
      <c r="X23" s="75">
        <v>87.572198885726735</v>
      </c>
      <c r="Y23" s="77">
        <v>88.395761884652046</v>
      </c>
      <c r="Z23" s="521"/>
      <c r="AA23" s="507"/>
      <c r="AB23" s="508"/>
      <c r="AC23" s="511"/>
      <c r="AD23" s="511"/>
      <c r="AE23" s="48"/>
      <c r="AF23" s="187"/>
      <c r="AG23" s="513"/>
      <c r="AH23" s="511"/>
      <c r="AI23" s="511"/>
      <c r="AN23" s="506"/>
      <c r="AO23" s="506"/>
    </row>
    <row r="24" spans="1:41" ht="18.75" customHeight="1" x14ac:dyDescent="0.25">
      <c r="A24" s="7"/>
      <c r="B24" s="182" t="s">
        <v>63</v>
      </c>
      <c r="C24" s="75">
        <v>29.884</v>
      </c>
      <c r="D24" s="75">
        <v>58.338701800000003</v>
      </c>
      <c r="E24" s="75">
        <v>25.699000000000002</v>
      </c>
      <c r="F24" s="75">
        <v>2.54</v>
      </c>
      <c r="G24" s="75">
        <v>7.8337034299999999</v>
      </c>
      <c r="H24" s="75">
        <v>63.297218200000003</v>
      </c>
      <c r="I24" s="75">
        <v>32</v>
      </c>
      <c r="J24" s="75">
        <v>956.28800000000001</v>
      </c>
      <c r="K24" s="76">
        <v>45.368127298096979</v>
      </c>
      <c r="L24" s="76">
        <v>54.160549770701614</v>
      </c>
      <c r="M24" s="75">
        <v>212.45400000000001</v>
      </c>
      <c r="N24" s="75">
        <v>173.76400000000001</v>
      </c>
      <c r="O24" s="75">
        <v>38.69</v>
      </c>
      <c r="P24" s="75">
        <v>25.873000000000001</v>
      </c>
      <c r="Q24" s="75">
        <v>0.17753601394319141</v>
      </c>
      <c r="R24" s="75">
        <v>103.11950391563001</v>
      </c>
      <c r="S24" s="75">
        <v>103.7640008151027</v>
      </c>
      <c r="T24" s="75">
        <v>98.76905783932925</v>
      </c>
      <c r="U24" s="75">
        <v>98.155585405499778</v>
      </c>
      <c r="V24" s="75">
        <v>96.212028868062717</v>
      </c>
      <c r="W24" s="75">
        <v>95.003567132063083</v>
      </c>
      <c r="X24" s="75">
        <v>87.531982869865772</v>
      </c>
      <c r="Y24" s="77">
        <v>88.079057762802378</v>
      </c>
      <c r="Z24" s="521"/>
      <c r="AA24" s="507"/>
      <c r="AB24" s="508"/>
      <c r="AC24" s="511"/>
      <c r="AD24" s="511"/>
      <c r="AE24" s="48"/>
      <c r="AF24" s="187"/>
      <c r="AG24" s="513"/>
      <c r="AH24" s="511"/>
      <c r="AI24" s="511"/>
      <c r="AN24" s="506"/>
      <c r="AO24" s="506"/>
    </row>
    <row r="25" spans="1:41" x14ac:dyDescent="0.25">
      <c r="A25" s="7"/>
      <c r="B25" s="182" t="s">
        <v>64</v>
      </c>
      <c r="C25" s="75">
        <v>29.99</v>
      </c>
      <c r="D25" s="75">
        <v>58.4418115</v>
      </c>
      <c r="E25" s="75">
        <v>25.794</v>
      </c>
      <c r="F25" s="75">
        <v>2.5150000000000001</v>
      </c>
      <c r="G25" s="75">
        <v>7.7372711900000004</v>
      </c>
      <c r="H25" s="75">
        <v>63.342817099999998</v>
      </c>
      <c r="I25" s="75">
        <v>32</v>
      </c>
      <c r="J25" s="75">
        <v>959.68</v>
      </c>
      <c r="K25" s="76">
        <v>46.529509090991063</v>
      </c>
      <c r="L25" s="76">
        <v>55.441069729907625</v>
      </c>
      <c r="M25" s="75">
        <v>219.44299999999998</v>
      </c>
      <c r="N25" s="75">
        <v>179.90899999999999</v>
      </c>
      <c r="O25" s="75">
        <v>39.533999999999999</v>
      </c>
      <c r="P25" s="75">
        <v>26.507999999999999</v>
      </c>
      <c r="Q25" s="75">
        <v>3.549159153009418</v>
      </c>
      <c r="R25" s="75">
        <v>106.37300502297059</v>
      </c>
      <c r="S25" s="75">
        <v>107.03783630436419</v>
      </c>
      <c r="T25" s="75">
        <v>99.074563680983786</v>
      </c>
      <c r="U25" s="75">
        <v>98.459193795933174</v>
      </c>
      <c r="V25" s="75">
        <v>98.747735454886922</v>
      </c>
      <c r="W25" s="75">
        <v>97.104032109829546</v>
      </c>
      <c r="X25" s="75">
        <v>89.645221713786498</v>
      </c>
      <c r="Y25" s="77">
        <v>90.20550434949763</v>
      </c>
      <c r="Z25" s="521"/>
      <c r="AA25" s="507"/>
      <c r="AB25" s="508"/>
      <c r="AC25" s="511"/>
      <c r="AD25" s="511"/>
      <c r="AE25" s="48"/>
      <c r="AF25" s="187"/>
      <c r="AG25" s="513"/>
      <c r="AH25" s="511"/>
      <c r="AI25" s="511"/>
      <c r="AN25" s="506"/>
      <c r="AO25" s="506"/>
    </row>
    <row r="26" spans="1:41" x14ac:dyDescent="0.25">
      <c r="A26" s="7"/>
      <c r="B26" s="182" t="s">
        <v>65</v>
      </c>
      <c r="C26" s="75">
        <v>30.163</v>
      </c>
      <c r="D26" s="75">
        <v>58.669182300000003</v>
      </c>
      <c r="E26" s="75">
        <v>25.919</v>
      </c>
      <c r="F26" s="75">
        <v>2.4830000000000001</v>
      </c>
      <c r="G26" s="75">
        <v>7.6058322599999997</v>
      </c>
      <c r="H26" s="75">
        <v>63.498794099999998</v>
      </c>
      <c r="I26" s="75">
        <v>32.200000000000003</v>
      </c>
      <c r="J26" s="75">
        <v>971.24860000000035</v>
      </c>
      <c r="K26" s="76">
        <v>46.205779577347606</v>
      </c>
      <c r="L26" s="76">
        <v>54.859836929391534</v>
      </c>
      <c r="M26" s="75">
        <v>220.06899999999999</v>
      </c>
      <c r="N26" s="75">
        <v>181.06299999999999</v>
      </c>
      <c r="O26" s="75">
        <v>39.006</v>
      </c>
      <c r="P26" s="75">
        <v>27.198</v>
      </c>
      <c r="Q26" s="75">
        <v>4.0950542919596211</v>
      </c>
      <c r="R26" s="75">
        <v>106.53902162553838</v>
      </c>
      <c r="S26" s="75">
        <v>106.53902162553837</v>
      </c>
      <c r="T26" s="75">
        <v>98.644450667087085</v>
      </c>
      <c r="U26" s="75">
        <v>98.644450687634546</v>
      </c>
      <c r="V26" s="75">
        <v>98.030401650980153</v>
      </c>
      <c r="W26" s="75">
        <v>96.681862943722464</v>
      </c>
      <c r="X26" s="75">
        <v>89.514943434655891</v>
      </c>
      <c r="Y26" s="77">
        <v>89.514943434655819</v>
      </c>
      <c r="Z26" s="521"/>
      <c r="AA26" s="507"/>
      <c r="AB26" s="508"/>
      <c r="AC26" s="511"/>
      <c r="AD26" s="511"/>
      <c r="AE26" s="48"/>
      <c r="AF26" s="187"/>
      <c r="AG26" s="513"/>
      <c r="AH26" s="511"/>
      <c r="AI26" s="511"/>
      <c r="AN26" s="506"/>
      <c r="AO26" s="506"/>
    </row>
    <row r="27" spans="1:41" x14ac:dyDescent="0.25">
      <c r="A27" s="7"/>
      <c r="B27" s="182" t="s">
        <v>66</v>
      </c>
      <c r="C27" s="75">
        <v>30.35</v>
      </c>
      <c r="D27" s="75">
        <v>58.919454100000003</v>
      </c>
      <c r="E27" s="75">
        <v>25.925999999999998</v>
      </c>
      <c r="F27" s="75">
        <v>2.3580000000000001</v>
      </c>
      <c r="G27" s="75">
        <v>7.2092454400000001</v>
      </c>
      <c r="H27" s="75">
        <v>63.497117099999997</v>
      </c>
      <c r="I27" s="75">
        <v>32</v>
      </c>
      <c r="J27" s="75">
        <v>971.2</v>
      </c>
      <c r="K27" s="76">
        <v>46.711884983603966</v>
      </c>
      <c r="L27" s="76">
        <v>55.185480873487677</v>
      </c>
      <c r="M27" s="75">
        <v>221.98999999999998</v>
      </c>
      <c r="N27" s="75">
        <v>183.46199999999999</v>
      </c>
      <c r="O27" s="75">
        <v>38.527999999999999</v>
      </c>
      <c r="P27" s="75">
        <v>28.928999999999998</v>
      </c>
      <c r="Q27" s="75">
        <v>5.0801219083505655</v>
      </c>
      <c r="R27" s="75">
        <v>107.92146721200156</v>
      </c>
      <c r="S27" s="75">
        <v>108.59597638207657</v>
      </c>
      <c r="T27" s="75">
        <v>99.299918980615232</v>
      </c>
      <c r="U27" s="75">
        <v>98.683149401847672</v>
      </c>
      <c r="V27" s="75">
        <v>98.468668972626503</v>
      </c>
      <c r="W27" s="75">
        <v>97.388144980990745</v>
      </c>
      <c r="X27" s="75">
        <v>90.125840610187794</v>
      </c>
      <c r="Y27" s="77">
        <v>90.689127114001437</v>
      </c>
      <c r="Z27" s="521"/>
      <c r="AA27" s="507"/>
      <c r="AB27" s="508"/>
      <c r="AC27" s="511"/>
      <c r="AD27" s="511"/>
      <c r="AE27" s="48"/>
      <c r="AF27" s="187"/>
      <c r="AG27" s="513"/>
      <c r="AH27" s="511"/>
      <c r="AI27" s="511"/>
      <c r="AN27" s="506"/>
      <c r="AO27" s="506"/>
    </row>
    <row r="28" spans="1:41" ht="18.75" customHeight="1" x14ac:dyDescent="0.25">
      <c r="A28" s="7"/>
      <c r="B28" s="182" t="s">
        <v>67</v>
      </c>
      <c r="C28" s="75">
        <v>30.594999999999999</v>
      </c>
      <c r="D28" s="75">
        <v>59.281147099999998</v>
      </c>
      <c r="E28" s="75">
        <v>26.015999999999998</v>
      </c>
      <c r="F28" s="75">
        <v>2.2120000000000002</v>
      </c>
      <c r="G28" s="75">
        <v>6.7424635000000004</v>
      </c>
      <c r="H28" s="75">
        <v>63.567138200000002</v>
      </c>
      <c r="I28" s="75">
        <v>32.1</v>
      </c>
      <c r="J28" s="75">
        <v>982.09950000000003</v>
      </c>
      <c r="K28" s="76">
        <v>46.747213913285087</v>
      </c>
      <c r="L28" s="76">
        <v>55.064882066154098</v>
      </c>
      <c r="M28" s="75">
        <v>224.32400000000001</v>
      </c>
      <c r="N28" s="75">
        <v>186.006</v>
      </c>
      <c r="O28" s="75">
        <v>38.317999999999998</v>
      </c>
      <c r="P28" s="75">
        <v>29.35</v>
      </c>
      <c r="Q28" s="75">
        <v>5.7408625218103415</v>
      </c>
      <c r="R28" s="75">
        <v>109.03945286859916</v>
      </c>
      <c r="S28" s="75">
        <v>109.3791396376602</v>
      </c>
      <c r="T28" s="75">
        <v>98.98451178523149</v>
      </c>
      <c r="U28" s="75">
        <v>98.677106467465947</v>
      </c>
      <c r="V28" s="75">
        <v>98.899138210490918</v>
      </c>
      <c r="W28" s="75">
        <v>97.548327996205558</v>
      </c>
      <c r="X28" s="75">
        <v>90.974882897666234</v>
      </c>
      <c r="Y28" s="77">
        <v>91.258293747814676</v>
      </c>
      <c r="Z28" s="521"/>
      <c r="AA28" s="507"/>
      <c r="AB28" s="508"/>
      <c r="AC28" s="511"/>
      <c r="AD28" s="511"/>
      <c r="AE28" s="48"/>
      <c r="AF28" s="187"/>
      <c r="AG28" s="513"/>
      <c r="AH28" s="511"/>
      <c r="AI28" s="511"/>
      <c r="AN28" s="506"/>
      <c r="AO28" s="506"/>
    </row>
    <row r="29" spans="1:41" x14ac:dyDescent="0.25">
      <c r="A29" s="7"/>
      <c r="B29" s="182" t="s">
        <v>68</v>
      </c>
      <c r="C29" s="75">
        <v>30.771000000000001</v>
      </c>
      <c r="D29" s="75">
        <v>59.5068652</v>
      </c>
      <c r="E29" s="75">
        <v>26.164999999999999</v>
      </c>
      <c r="F29" s="75">
        <v>2.0609999999999999</v>
      </c>
      <c r="G29" s="75">
        <v>6.2774122800000001</v>
      </c>
      <c r="H29" s="75">
        <v>63.492554599999998</v>
      </c>
      <c r="I29" s="75">
        <v>32.200000000000003</v>
      </c>
      <c r="J29" s="75">
        <v>990.82620000000031</v>
      </c>
      <c r="K29" s="76">
        <v>46.289062920327886</v>
      </c>
      <c r="L29" s="76">
        <v>54.379587962992851</v>
      </c>
      <c r="M29" s="75">
        <v>223.54</v>
      </c>
      <c r="N29" s="75">
        <v>185.946</v>
      </c>
      <c r="O29" s="75">
        <v>37.594000000000001</v>
      </c>
      <c r="P29" s="75">
        <v>29.143999999999998</v>
      </c>
      <c r="Q29" s="75">
        <v>1.8900809416891429</v>
      </c>
      <c r="R29" s="75">
        <v>108.38354091801182</v>
      </c>
      <c r="S29" s="75">
        <v>108.38354091801182</v>
      </c>
      <c r="T29" s="75">
        <v>99.035796806052844</v>
      </c>
      <c r="U29" s="75">
        <v>99.035796910766919</v>
      </c>
      <c r="V29" s="75">
        <v>97.863667202782707</v>
      </c>
      <c r="W29" s="75">
        <v>96.077353885860774</v>
      </c>
      <c r="X29" s="75">
        <v>89.794615649081237</v>
      </c>
      <c r="Y29" s="77">
        <v>89.794615649081209</v>
      </c>
      <c r="Z29" s="521"/>
      <c r="AA29" s="507"/>
      <c r="AB29" s="508"/>
      <c r="AC29" s="511"/>
      <c r="AD29" s="511"/>
      <c r="AE29" s="48"/>
      <c r="AF29" s="187"/>
      <c r="AG29" s="513"/>
      <c r="AH29" s="511"/>
      <c r="AI29" s="511"/>
      <c r="AN29" s="506"/>
      <c r="AO29" s="506"/>
    </row>
    <row r="30" spans="1:41" x14ac:dyDescent="0.25">
      <c r="A30" s="7"/>
      <c r="B30" s="182" t="s">
        <v>69</v>
      </c>
      <c r="C30" s="75">
        <v>30.899000000000001</v>
      </c>
      <c r="D30" s="75">
        <v>59.642519399999998</v>
      </c>
      <c r="E30" s="75">
        <v>26.369</v>
      </c>
      <c r="F30" s="75">
        <v>1.962</v>
      </c>
      <c r="G30" s="75">
        <v>5.9706034499999996</v>
      </c>
      <c r="H30" s="75">
        <v>63.429652400000002</v>
      </c>
      <c r="I30" s="75">
        <v>32.200000000000003</v>
      </c>
      <c r="J30" s="75">
        <v>994.94780000000003</v>
      </c>
      <c r="K30" s="76">
        <v>45.158242198622695</v>
      </c>
      <c r="L30" s="76">
        <v>53.038819695643454</v>
      </c>
      <c r="M30" s="75">
        <v>223.02</v>
      </c>
      <c r="N30" s="75">
        <v>185.65700000000001</v>
      </c>
      <c r="O30" s="75">
        <v>37.363</v>
      </c>
      <c r="P30" s="75">
        <v>28.445</v>
      </c>
      <c r="Q30" s="75">
        <v>0.78738983663348971</v>
      </c>
      <c r="R30" s="75">
        <v>107.37789905386664</v>
      </c>
      <c r="S30" s="75">
        <v>107.3778990538666</v>
      </c>
      <c r="T30" s="75">
        <v>99.428382263781558</v>
      </c>
      <c r="U30" s="75">
        <v>99.428382335280688</v>
      </c>
      <c r="V30" s="75">
        <v>95.749765898190546</v>
      </c>
      <c r="W30" s="75">
        <v>95.261402360966372</v>
      </c>
      <c r="X30" s="75">
        <v>88.925025903565896</v>
      </c>
      <c r="Y30" s="77">
        <v>88.925025903565839</v>
      </c>
      <c r="Z30" s="521"/>
      <c r="AA30" s="507"/>
      <c r="AB30" s="508"/>
      <c r="AC30" s="511"/>
      <c r="AD30" s="511"/>
      <c r="AE30" s="48"/>
      <c r="AF30" s="187"/>
      <c r="AG30" s="513"/>
      <c r="AH30" s="511"/>
      <c r="AI30" s="511"/>
      <c r="AN30" s="506"/>
      <c r="AO30" s="506"/>
    </row>
    <row r="31" spans="1:41" x14ac:dyDescent="0.25">
      <c r="A31" s="7"/>
      <c r="B31" s="182" t="s">
        <v>70</v>
      </c>
      <c r="C31" s="75">
        <v>31.007999999999999</v>
      </c>
      <c r="D31" s="75">
        <v>59.742211400000002</v>
      </c>
      <c r="E31" s="75">
        <v>26.492000000000001</v>
      </c>
      <c r="F31" s="75">
        <v>1.87</v>
      </c>
      <c r="G31" s="75">
        <v>5.6876939000000002</v>
      </c>
      <c r="H31" s="75">
        <v>63.345086000000002</v>
      </c>
      <c r="I31" s="75">
        <v>32.200000000000003</v>
      </c>
      <c r="J31" s="75">
        <v>998.45759999999996</v>
      </c>
      <c r="K31" s="76">
        <v>45.538496473942494</v>
      </c>
      <c r="L31" s="76">
        <v>53.49262618744244</v>
      </c>
      <c r="M31" s="75">
        <v>225.71899999999999</v>
      </c>
      <c r="N31" s="75">
        <v>187.88900000000001</v>
      </c>
      <c r="O31" s="75">
        <v>37.83</v>
      </c>
      <c r="P31" s="75">
        <v>28.693000000000001</v>
      </c>
      <c r="Q31" s="75">
        <v>0.22498540341944206</v>
      </c>
      <c r="R31" s="75">
        <v>108.16427476038469</v>
      </c>
      <c r="S31" s="75">
        <v>108.16427476038466</v>
      </c>
      <c r="T31" s="75">
        <v>99.732691145405653</v>
      </c>
      <c r="U31" s="75">
        <v>99.732691200837223</v>
      </c>
      <c r="V31" s="75">
        <v>96.835388517703052</v>
      </c>
      <c r="W31" s="75">
        <v>96.32124183949135</v>
      </c>
      <c r="X31" s="75">
        <v>89.49165599629238</v>
      </c>
      <c r="Y31" s="77">
        <v>89.491655996292323</v>
      </c>
      <c r="Z31" s="521"/>
      <c r="AA31" s="507"/>
      <c r="AB31" s="508"/>
      <c r="AC31" s="511"/>
      <c r="AD31" s="511"/>
      <c r="AE31" s="48"/>
      <c r="AF31" s="187"/>
      <c r="AG31" s="513"/>
      <c r="AH31" s="511"/>
      <c r="AI31" s="511"/>
      <c r="AN31" s="506"/>
      <c r="AO31" s="506"/>
    </row>
    <row r="32" spans="1:41" ht="18.75" customHeight="1" x14ac:dyDescent="0.25">
      <c r="A32" s="7"/>
      <c r="B32" s="182" t="s">
        <v>71</v>
      </c>
      <c r="C32" s="75">
        <v>31.218</v>
      </c>
      <c r="D32" s="75">
        <v>60.0346154</v>
      </c>
      <c r="E32" s="75">
        <v>26.693000000000001</v>
      </c>
      <c r="F32" s="75">
        <v>1.8260000000000001</v>
      </c>
      <c r="G32" s="75">
        <v>5.5259653799999997</v>
      </c>
      <c r="H32" s="75">
        <v>63.546153799999999</v>
      </c>
      <c r="I32" s="75">
        <v>32.1</v>
      </c>
      <c r="J32" s="75">
        <v>1002.0978</v>
      </c>
      <c r="K32" s="76">
        <v>45.878589837997055</v>
      </c>
      <c r="L32" s="76">
        <v>53.915140915785244</v>
      </c>
      <c r="M32" s="75">
        <v>228.62299999999999</v>
      </c>
      <c r="N32" s="75">
        <v>190.20699999999999</v>
      </c>
      <c r="O32" s="75">
        <v>38.415999999999997</v>
      </c>
      <c r="P32" s="75">
        <v>29.1</v>
      </c>
      <c r="Q32" s="75">
        <v>-0.33499800950368419</v>
      </c>
      <c r="R32" s="75">
        <v>108.67417287191564</v>
      </c>
      <c r="S32" s="75">
        <v>109.01272169706179</v>
      </c>
      <c r="T32" s="75">
        <v>99.672147483162135</v>
      </c>
      <c r="U32" s="75">
        <v>99.362606619546739</v>
      </c>
      <c r="V32" s="75">
        <v>96.963906769098955</v>
      </c>
      <c r="W32" s="75">
        <v>97.299085530599029</v>
      </c>
      <c r="X32" s="75">
        <v>90.578984249274086</v>
      </c>
      <c r="Y32" s="77">
        <v>90.86116177029983</v>
      </c>
      <c r="Z32" s="521"/>
      <c r="AA32" s="507"/>
      <c r="AB32" s="508"/>
      <c r="AC32" s="511"/>
      <c r="AD32" s="511"/>
      <c r="AE32" s="48"/>
      <c r="AF32" s="187"/>
      <c r="AG32" s="513"/>
      <c r="AH32" s="511"/>
      <c r="AI32" s="511"/>
      <c r="AN32" s="506"/>
      <c r="AO32" s="506"/>
    </row>
    <row r="33" spans="1:41" x14ac:dyDescent="0.25">
      <c r="A33" s="7"/>
      <c r="B33" s="182" t="s">
        <v>72</v>
      </c>
      <c r="C33" s="75">
        <v>31.17</v>
      </c>
      <c r="D33" s="75">
        <v>59.831848899999997</v>
      </c>
      <c r="E33" s="75">
        <v>26.652000000000001</v>
      </c>
      <c r="F33" s="75">
        <v>1.8480000000000001</v>
      </c>
      <c r="G33" s="75">
        <v>5.5969471200000003</v>
      </c>
      <c r="H33" s="75">
        <v>63.379146200000001</v>
      </c>
      <c r="I33" s="75">
        <v>32.1</v>
      </c>
      <c r="J33" s="75">
        <v>1000.557</v>
      </c>
      <c r="K33" s="76">
        <v>46.271240889311656</v>
      </c>
      <c r="L33" s="76">
        <v>54.437588395058633</v>
      </c>
      <c r="M33" s="75">
        <v>230.44499999999999</v>
      </c>
      <c r="N33" s="75">
        <v>191.297</v>
      </c>
      <c r="O33" s="75">
        <v>39.148000000000003</v>
      </c>
      <c r="P33" s="75">
        <v>30.518999999999998</v>
      </c>
      <c r="Q33" s="75">
        <v>0.99787896556620126</v>
      </c>
      <c r="R33" s="75">
        <v>109.4650774749685</v>
      </c>
      <c r="S33" s="75">
        <v>109.80609017738271</v>
      </c>
      <c r="T33" s="75">
        <v>100.28139101522437</v>
      </c>
      <c r="U33" s="75">
        <v>99.969958102714131</v>
      </c>
      <c r="V33" s="75">
        <v>97.887008209992644</v>
      </c>
      <c r="W33" s="75">
        <v>97.984767287073367</v>
      </c>
      <c r="X33" s="75">
        <v>90.705761113173722</v>
      </c>
      <c r="Y33" s="77">
        <v>90.988333577700686</v>
      </c>
      <c r="Z33" s="521"/>
      <c r="AA33" s="507"/>
      <c r="AB33" s="508"/>
      <c r="AC33" s="511"/>
      <c r="AD33" s="511"/>
      <c r="AE33" s="48"/>
      <c r="AF33" s="187"/>
      <c r="AG33" s="513"/>
      <c r="AH33" s="511"/>
      <c r="AI33" s="511"/>
      <c r="AN33" s="506"/>
      <c r="AO33" s="506"/>
    </row>
    <row r="34" spans="1:41" x14ac:dyDescent="0.25">
      <c r="A34" s="7"/>
      <c r="B34" s="182" t="s">
        <v>73</v>
      </c>
      <c r="C34" s="75">
        <v>31.393000000000001</v>
      </c>
      <c r="D34" s="75">
        <v>60.144455499999999</v>
      </c>
      <c r="E34" s="75">
        <v>26.817</v>
      </c>
      <c r="F34" s="75">
        <v>1.76</v>
      </c>
      <c r="G34" s="75">
        <v>5.3087201799999999</v>
      </c>
      <c r="H34" s="75">
        <v>63.516361400000001</v>
      </c>
      <c r="I34" s="75">
        <v>31.9</v>
      </c>
      <c r="J34" s="75">
        <v>1001.4367</v>
      </c>
      <c r="K34" s="76">
        <v>46.58973668400008</v>
      </c>
      <c r="L34" s="76">
        <v>54.735130207793823</v>
      </c>
      <c r="M34" s="75">
        <v>232.83799999999999</v>
      </c>
      <c r="N34" s="75">
        <v>193.52099999999999</v>
      </c>
      <c r="O34" s="75">
        <v>39.317</v>
      </c>
      <c r="P34" s="75">
        <v>31.363</v>
      </c>
      <c r="Q34" s="75">
        <v>2.4944240329953349</v>
      </c>
      <c r="R34" s="75">
        <v>110.05635917399175</v>
      </c>
      <c r="S34" s="75">
        <v>111.09137195619228</v>
      </c>
      <c r="T34" s="75">
        <v>100.58179051167222</v>
      </c>
      <c r="U34" s="75">
        <v>99.644693109611225</v>
      </c>
      <c r="V34" s="75">
        <v>98.294957796908477</v>
      </c>
      <c r="W34" s="75">
        <v>98.171339700138063</v>
      </c>
      <c r="X34" s="75">
        <v>91.1343950762802</v>
      </c>
      <c r="Y34" s="77">
        <v>91.991458352859567</v>
      </c>
      <c r="Z34" s="521"/>
      <c r="AA34" s="507"/>
      <c r="AB34" s="508"/>
      <c r="AC34" s="511"/>
      <c r="AD34" s="511"/>
      <c r="AE34" s="48"/>
      <c r="AF34" s="187"/>
      <c r="AG34" s="513"/>
      <c r="AH34" s="511"/>
      <c r="AI34" s="511"/>
      <c r="AN34" s="506"/>
      <c r="AO34" s="506"/>
    </row>
    <row r="35" spans="1:41" x14ac:dyDescent="0.25">
      <c r="A35" s="7"/>
      <c r="B35" s="182" t="s">
        <v>74</v>
      </c>
      <c r="C35" s="75">
        <v>31.602</v>
      </c>
      <c r="D35" s="75">
        <v>60.425629600000001</v>
      </c>
      <c r="E35" s="75">
        <v>26.922000000000001</v>
      </c>
      <c r="F35" s="75">
        <v>1.6879999999999999</v>
      </c>
      <c r="G35" s="75">
        <v>5.0705917700000001</v>
      </c>
      <c r="H35" s="75">
        <v>63.653224700000003</v>
      </c>
      <c r="I35" s="75">
        <v>32.299999999999997</v>
      </c>
      <c r="J35" s="75">
        <v>1020.7446</v>
      </c>
      <c r="K35" s="76">
        <v>46.41709432539227</v>
      </c>
      <c r="L35" s="76">
        <v>54.516649997540625</v>
      </c>
      <c r="M35" s="75">
        <v>234.40200000000002</v>
      </c>
      <c r="N35" s="75">
        <v>194.88200000000001</v>
      </c>
      <c r="O35" s="75">
        <v>39.520000000000003</v>
      </c>
      <c r="P35" s="75">
        <v>31.6</v>
      </c>
      <c r="Q35" s="75">
        <v>2.065225505700119</v>
      </c>
      <c r="R35" s="75">
        <v>110.3981109507917</v>
      </c>
      <c r="S35" s="75">
        <v>110.05632113360657</v>
      </c>
      <c r="T35" s="75">
        <v>99.270579856200101</v>
      </c>
      <c r="U35" s="75">
        <v>99.578873589534339</v>
      </c>
      <c r="V35" s="75">
        <v>97.808122221861737</v>
      </c>
      <c r="W35" s="75">
        <v>98.202114174550644</v>
      </c>
      <c r="X35" s="75">
        <v>91.278538615009595</v>
      </c>
      <c r="Y35" s="77">
        <v>90.995942520226265</v>
      </c>
      <c r="Z35" s="521"/>
      <c r="AA35" s="507"/>
      <c r="AB35" s="508"/>
      <c r="AC35" s="511"/>
      <c r="AD35" s="511"/>
      <c r="AE35" s="48"/>
      <c r="AF35" s="187"/>
      <c r="AG35" s="513"/>
      <c r="AH35" s="511"/>
      <c r="AI35" s="511"/>
      <c r="AN35" s="506"/>
      <c r="AO35" s="506"/>
    </row>
    <row r="36" spans="1:41" ht="18.75" customHeight="1" x14ac:dyDescent="0.25">
      <c r="A36" s="7"/>
      <c r="B36" s="182" t="s">
        <v>75</v>
      </c>
      <c r="C36" s="75">
        <v>31.635999999999999</v>
      </c>
      <c r="D36" s="75">
        <v>60.372893599999998</v>
      </c>
      <c r="E36" s="75">
        <v>26.922000000000001</v>
      </c>
      <c r="F36" s="75">
        <v>1.6879999999999999</v>
      </c>
      <c r="G36" s="75">
        <v>5.06541832</v>
      </c>
      <c r="H36" s="75">
        <v>63.594206200000002</v>
      </c>
      <c r="I36" s="75">
        <v>32.1</v>
      </c>
      <c r="J36" s="75">
        <v>1015.5155999999999</v>
      </c>
      <c r="K36" s="76">
        <v>46.330210050259417</v>
      </c>
      <c r="L36" s="76">
        <v>54.365830092318191</v>
      </c>
      <c r="M36" s="75">
        <v>236.565</v>
      </c>
      <c r="N36" s="75">
        <v>196.97800000000001</v>
      </c>
      <c r="O36" s="75">
        <v>39.587000000000003</v>
      </c>
      <c r="P36" s="75">
        <v>31.265000000000001</v>
      </c>
      <c r="Q36" s="75">
        <v>2.678920539835139</v>
      </c>
      <c r="R36" s="75">
        <v>111.58546761047735</v>
      </c>
      <c r="S36" s="75">
        <v>111.93308588963771</v>
      </c>
      <c r="T36" s="75">
        <v>100.28403811017117</v>
      </c>
      <c r="U36" s="75">
        <v>99.972597089555137</v>
      </c>
      <c r="V36" s="75">
        <v>98.58379239598149</v>
      </c>
      <c r="W36" s="75">
        <v>99.02860709000889</v>
      </c>
      <c r="X36" s="75">
        <v>92.684124971991551</v>
      </c>
      <c r="Y36" s="77">
        <v>92.972860563804588</v>
      </c>
      <c r="Z36" s="521"/>
      <c r="AA36" s="507"/>
      <c r="AB36" s="508"/>
      <c r="AC36" s="511"/>
      <c r="AD36" s="511"/>
      <c r="AE36" s="48"/>
      <c r="AF36" s="187"/>
      <c r="AG36" s="513"/>
      <c r="AH36" s="511"/>
      <c r="AI36" s="511"/>
      <c r="AN36" s="506"/>
      <c r="AO36" s="506"/>
    </row>
    <row r="37" spans="1:41" x14ac:dyDescent="0.25">
      <c r="A37" s="7"/>
      <c r="B37" s="182" t="s">
        <v>76</v>
      </c>
      <c r="C37" s="75">
        <v>31.812999999999999</v>
      </c>
      <c r="D37" s="75">
        <v>60.591574000000001</v>
      </c>
      <c r="E37" s="75">
        <v>27.027999999999999</v>
      </c>
      <c r="F37" s="75">
        <v>1.645</v>
      </c>
      <c r="G37" s="75">
        <v>4.9166118699999988</v>
      </c>
      <c r="H37" s="75">
        <v>63.724668600000001</v>
      </c>
      <c r="I37" s="75">
        <v>32</v>
      </c>
      <c r="J37" s="75">
        <v>1018.016</v>
      </c>
      <c r="K37" s="76">
        <v>46.403423356724396</v>
      </c>
      <c r="L37" s="76">
        <v>54.838891392519152</v>
      </c>
      <c r="M37" s="75">
        <v>240.81399999999999</v>
      </c>
      <c r="N37" s="75">
        <v>198.88499999999999</v>
      </c>
      <c r="O37" s="75">
        <v>41.929000000000002</v>
      </c>
      <c r="P37" s="75">
        <v>31.765999999999998</v>
      </c>
      <c r="Q37" s="75">
        <v>2.5202755319668091</v>
      </c>
      <c r="R37" s="75">
        <v>112.22389903861867</v>
      </c>
      <c r="S37" s="75">
        <v>112.92529840761</v>
      </c>
      <c r="T37" s="75">
        <v>100.77356657776221</v>
      </c>
      <c r="U37" s="75">
        <v>100.14764377003205</v>
      </c>
      <c r="V37" s="75">
        <v>99.704593677981578</v>
      </c>
      <c r="W37" s="75">
        <v>100.07630689561448</v>
      </c>
      <c r="X37" s="75">
        <v>92.666162267189435</v>
      </c>
      <c r="Y37" s="77">
        <v>93.245325781359313</v>
      </c>
      <c r="Z37" s="521"/>
      <c r="AA37" s="507"/>
      <c r="AB37" s="508"/>
      <c r="AC37" s="511"/>
      <c r="AD37" s="511"/>
      <c r="AE37" s="48"/>
      <c r="AF37" s="187"/>
      <c r="AG37" s="513"/>
      <c r="AH37" s="511"/>
      <c r="AI37" s="511"/>
      <c r="AN37" s="506"/>
      <c r="AO37" s="506"/>
    </row>
    <row r="38" spans="1:41" x14ac:dyDescent="0.25">
      <c r="A38" s="7"/>
      <c r="B38" s="182" t="s">
        <v>77</v>
      </c>
      <c r="C38" s="75">
        <v>31.878</v>
      </c>
      <c r="D38" s="75">
        <v>60.621850299999998</v>
      </c>
      <c r="E38" s="75">
        <v>27.091000000000001</v>
      </c>
      <c r="F38" s="75">
        <v>1.619</v>
      </c>
      <c r="G38" s="75">
        <v>4.8332686499999999</v>
      </c>
      <c r="H38" s="75">
        <v>63.700675099999998</v>
      </c>
      <c r="I38" s="75">
        <v>32</v>
      </c>
      <c r="J38" s="75">
        <v>1020.096</v>
      </c>
      <c r="K38" s="76">
        <v>45.938422556322408</v>
      </c>
      <c r="L38" s="76">
        <v>54.341727253441398</v>
      </c>
      <c r="M38" s="75">
        <v>242.85000000000002</v>
      </c>
      <c r="N38" s="75">
        <v>200.46600000000001</v>
      </c>
      <c r="O38" s="75">
        <v>42.384</v>
      </c>
      <c r="P38" s="75">
        <v>31.234999999999999</v>
      </c>
      <c r="Q38" s="75">
        <v>2.5410548953571643</v>
      </c>
      <c r="R38" s="75">
        <v>112.85295167643432</v>
      </c>
      <c r="S38" s="75">
        <v>113.55828262441202</v>
      </c>
      <c r="T38" s="75">
        <v>101.01207703345409</v>
      </c>
      <c r="U38" s="75">
        <v>100.38467281542842</v>
      </c>
      <c r="V38" s="75">
        <v>99.421494607062954</v>
      </c>
      <c r="W38" s="75">
        <v>99.865581083489246</v>
      </c>
      <c r="X38" s="75">
        <v>92.776331503903137</v>
      </c>
      <c r="Y38" s="77">
        <v>93.356183575802461</v>
      </c>
      <c r="Z38" s="521"/>
      <c r="AA38" s="507"/>
      <c r="AB38" s="508"/>
      <c r="AC38" s="511"/>
      <c r="AD38" s="511"/>
      <c r="AE38" s="48"/>
      <c r="AF38" s="187"/>
      <c r="AG38" s="513"/>
      <c r="AH38" s="511"/>
      <c r="AI38" s="511"/>
      <c r="AN38" s="506"/>
      <c r="AO38" s="506"/>
    </row>
    <row r="39" spans="1:41" x14ac:dyDescent="0.25">
      <c r="A39" s="7"/>
      <c r="B39" s="182" t="s">
        <v>78</v>
      </c>
      <c r="C39" s="75">
        <v>31.914000000000001</v>
      </c>
      <c r="D39" s="75">
        <v>60.610779800000003</v>
      </c>
      <c r="E39" s="75">
        <v>27.111000000000001</v>
      </c>
      <c r="F39" s="75">
        <v>1.587</v>
      </c>
      <c r="G39" s="75">
        <v>4.73717202</v>
      </c>
      <c r="H39" s="75">
        <v>63.624795800000001</v>
      </c>
      <c r="I39" s="75">
        <v>32.1</v>
      </c>
      <c r="J39" s="75">
        <v>1024.4394</v>
      </c>
      <c r="K39" s="76">
        <v>45.638577431748132</v>
      </c>
      <c r="L39" s="76">
        <v>53.99426649069283</v>
      </c>
      <c r="M39" s="75">
        <v>243.54999999999998</v>
      </c>
      <c r="N39" s="75">
        <v>200.87899999999999</v>
      </c>
      <c r="O39" s="75">
        <v>42.670999999999999</v>
      </c>
      <c r="P39" s="75">
        <v>32.189</v>
      </c>
      <c r="Q39" s="75">
        <v>2.3586602060754913</v>
      </c>
      <c r="R39" s="75">
        <v>113.00202726204709</v>
      </c>
      <c r="S39" s="75">
        <v>113.35405849962352</v>
      </c>
      <c r="T39" s="75">
        <v>101.20641629161685</v>
      </c>
      <c r="U39" s="75">
        <v>100.89211074796241</v>
      </c>
      <c r="V39" s="75">
        <v>99.130675136429602</v>
      </c>
      <c r="W39" s="75">
        <v>99.544263356629202</v>
      </c>
      <c r="X39" s="75">
        <v>92.313475132045383</v>
      </c>
      <c r="Y39" s="77">
        <v>92.601056051459778</v>
      </c>
      <c r="Z39" s="521"/>
      <c r="AA39" s="507"/>
      <c r="AB39" s="508"/>
      <c r="AC39" s="511"/>
      <c r="AD39" s="511"/>
      <c r="AE39" s="48"/>
      <c r="AF39" s="187"/>
      <c r="AG39" s="513"/>
      <c r="AH39" s="511"/>
      <c r="AI39" s="511"/>
      <c r="AN39" s="506"/>
      <c r="AO39" s="506"/>
    </row>
    <row r="40" spans="1:41" ht="18.75" customHeight="1" x14ac:dyDescent="0.25">
      <c r="A40" s="7"/>
      <c r="B40" s="182" t="s">
        <v>79</v>
      </c>
      <c r="C40" s="75">
        <v>32.017000000000003</v>
      </c>
      <c r="D40" s="75">
        <v>60.7256657</v>
      </c>
      <c r="E40" s="75">
        <v>27.219000000000001</v>
      </c>
      <c r="F40" s="75">
        <v>1.53</v>
      </c>
      <c r="G40" s="75">
        <v>4.5607654899999988</v>
      </c>
      <c r="H40" s="75">
        <v>63.627569999999999</v>
      </c>
      <c r="I40" s="75">
        <v>32.20000000000001</v>
      </c>
      <c r="J40" s="75">
        <v>1030.9474000000005</v>
      </c>
      <c r="K40" s="76">
        <v>45.7038967265023</v>
      </c>
      <c r="L40" s="76">
        <v>54.00497964454307</v>
      </c>
      <c r="M40" s="75">
        <v>246.542</v>
      </c>
      <c r="N40" s="75">
        <v>203.6</v>
      </c>
      <c r="O40" s="75">
        <v>42.942</v>
      </c>
      <c r="P40" s="75">
        <v>32.829000000000001</v>
      </c>
      <c r="Q40" s="75">
        <v>2.2339649536436523</v>
      </c>
      <c r="R40" s="75">
        <v>114.0782478502548</v>
      </c>
      <c r="S40" s="75">
        <v>114.07824785025473</v>
      </c>
      <c r="T40" s="75">
        <v>101.52692250088813</v>
      </c>
      <c r="U40" s="75">
        <v>101.52692260213205</v>
      </c>
      <c r="V40" s="75">
        <v>99.572680021849649</v>
      </c>
      <c r="W40" s="75">
        <v>100.22134702811189</v>
      </c>
      <c r="X40" s="75">
        <v>92.76618513121295</v>
      </c>
      <c r="Y40" s="77">
        <v>92.766185131212879</v>
      </c>
      <c r="Z40" s="521"/>
      <c r="AA40" s="507"/>
      <c r="AB40" s="508"/>
      <c r="AC40" s="511"/>
      <c r="AD40" s="511"/>
      <c r="AE40" s="48"/>
      <c r="AF40" s="187"/>
      <c r="AG40" s="513"/>
      <c r="AH40" s="511"/>
      <c r="AI40" s="511"/>
      <c r="AN40" s="506"/>
      <c r="AO40" s="506"/>
    </row>
    <row r="41" spans="1:41" x14ac:dyDescent="0.25">
      <c r="A41" s="7"/>
      <c r="B41" s="182" t="s">
        <v>80</v>
      </c>
      <c r="C41" s="75">
        <v>32.137999999999998</v>
      </c>
      <c r="D41" s="75">
        <v>60.8754949</v>
      </c>
      <c r="E41" s="75">
        <v>27.331</v>
      </c>
      <c r="F41" s="75">
        <v>1.488</v>
      </c>
      <c r="G41" s="75">
        <v>4.4251472100000004</v>
      </c>
      <c r="H41" s="75">
        <v>63.694050300000001</v>
      </c>
      <c r="I41" s="75">
        <v>32.299999999999997</v>
      </c>
      <c r="J41" s="75">
        <v>1038.0573999999997</v>
      </c>
      <c r="K41" s="76">
        <v>46.286156866353792</v>
      </c>
      <c r="L41" s="76">
        <v>54.611821723260022</v>
      </c>
      <c r="M41" s="75">
        <v>250.35499999999999</v>
      </c>
      <c r="N41" s="75">
        <v>206.92699999999999</v>
      </c>
      <c r="O41" s="75">
        <v>43.427999999999997</v>
      </c>
      <c r="P41" s="75">
        <v>34.509</v>
      </c>
      <c r="Q41" s="75">
        <v>2.8900835487026821</v>
      </c>
      <c r="R41" s="75">
        <v>115.46726348244648</v>
      </c>
      <c r="S41" s="75">
        <v>115.10977969457511</v>
      </c>
      <c r="T41" s="75">
        <v>101.69174798632325</v>
      </c>
      <c r="U41" s="75">
        <v>102.00756090337934</v>
      </c>
      <c r="V41" s="75">
        <v>100.44530165757637</v>
      </c>
      <c r="W41" s="75">
        <v>100.79675971933946</v>
      </c>
      <c r="X41" s="75">
        <v>92.798836792159662</v>
      </c>
      <c r="Y41" s="77">
        <v>92.511533891874294</v>
      </c>
      <c r="Z41" s="521"/>
      <c r="AA41" s="507"/>
      <c r="AB41" s="508"/>
      <c r="AC41" s="511"/>
      <c r="AD41" s="511"/>
      <c r="AE41" s="48"/>
      <c r="AF41" s="187"/>
      <c r="AG41" s="513"/>
      <c r="AH41" s="511"/>
      <c r="AI41" s="511"/>
      <c r="AN41" s="506"/>
      <c r="AO41" s="506"/>
    </row>
    <row r="42" spans="1:41" x14ac:dyDescent="0.25">
      <c r="A42" s="7"/>
      <c r="B42" s="182" t="s">
        <v>81</v>
      </c>
      <c r="C42" s="75">
        <v>32.134</v>
      </c>
      <c r="D42" s="75">
        <v>60.788468100000003</v>
      </c>
      <c r="E42" s="75">
        <v>27.324000000000002</v>
      </c>
      <c r="F42" s="75">
        <v>1.4319999999999999</v>
      </c>
      <c r="G42" s="75">
        <v>4.2662217699999996</v>
      </c>
      <c r="H42" s="75">
        <v>63.497408299999996</v>
      </c>
      <c r="I42" s="75">
        <v>32</v>
      </c>
      <c r="J42" s="75">
        <v>1028.288</v>
      </c>
      <c r="K42" s="76">
        <v>46.320271307275291</v>
      </c>
      <c r="L42" s="76">
        <v>54.511473624279027</v>
      </c>
      <c r="M42" s="75">
        <v>251.077</v>
      </c>
      <c r="N42" s="75">
        <v>208.06</v>
      </c>
      <c r="O42" s="75">
        <v>43.017000000000003</v>
      </c>
      <c r="P42" s="75">
        <v>35.195999999999998</v>
      </c>
      <c r="Q42" s="75">
        <v>2.9031404551009166</v>
      </c>
      <c r="R42" s="75">
        <v>116.12923137132837</v>
      </c>
      <c r="S42" s="75">
        <v>116.85503906739913</v>
      </c>
      <c r="T42" s="75">
        <v>103.35262867549631</v>
      </c>
      <c r="U42" s="75">
        <v>102.71068691465051</v>
      </c>
      <c r="V42" s="75">
        <v>101.14197149960108</v>
      </c>
      <c r="W42" s="75">
        <v>100.75345620133373</v>
      </c>
      <c r="X42" s="75">
        <v>92.854190922600097</v>
      </c>
      <c r="Y42" s="77">
        <v>93.434529615866296</v>
      </c>
      <c r="Z42" s="521"/>
      <c r="AA42" s="507"/>
      <c r="AB42" s="508"/>
      <c r="AC42" s="511"/>
      <c r="AD42" s="511"/>
      <c r="AE42" s="48"/>
      <c r="AF42" s="187"/>
      <c r="AG42" s="513"/>
      <c r="AH42" s="511"/>
      <c r="AI42" s="511"/>
      <c r="AN42" s="506"/>
      <c r="AO42" s="506"/>
    </row>
    <row r="43" spans="1:41" x14ac:dyDescent="0.25">
      <c r="A43" s="7"/>
      <c r="B43" s="182" t="s">
        <v>82</v>
      </c>
      <c r="C43" s="75">
        <v>32.222000000000001</v>
      </c>
      <c r="D43" s="75">
        <v>60.8766295</v>
      </c>
      <c r="E43" s="75">
        <v>27.446000000000002</v>
      </c>
      <c r="F43" s="75">
        <v>1.4670000000000001</v>
      </c>
      <c r="G43" s="75">
        <v>4.35453709</v>
      </c>
      <c r="H43" s="75">
        <v>63.648214600000003</v>
      </c>
      <c r="I43" s="75">
        <v>31.9</v>
      </c>
      <c r="J43" s="75">
        <v>1027.8818000000001</v>
      </c>
      <c r="K43" s="76">
        <v>46.124744203669209</v>
      </c>
      <c r="L43" s="76">
        <v>54.211003134267045</v>
      </c>
      <c r="M43" s="75">
        <v>253.435</v>
      </c>
      <c r="N43" s="75">
        <v>210.32400000000001</v>
      </c>
      <c r="O43" s="75">
        <v>43.110999999999997</v>
      </c>
      <c r="P43" s="75">
        <v>35.585000000000001</v>
      </c>
      <c r="Q43" s="75">
        <v>3.4238672459157682</v>
      </c>
      <c r="R43" s="75">
        <v>116.87106666069313</v>
      </c>
      <c r="S43" s="75">
        <v>117.97016760107579</v>
      </c>
      <c r="T43" s="75">
        <v>104.16948261954161</v>
      </c>
      <c r="U43" s="75">
        <v>103.19895957270029</v>
      </c>
      <c r="V43" s="75">
        <v>100.49746607229102</v>
      </c>
      <c r="W43" s="75">
        <v>100.78420672811944</v>
      </c>
      <c r="X43" s="75">
        <v>92.673799808689779</v>
      </c>
      <c r="Y43" s="77">
        <v>93.545340245762048</v>
      </c>
      <c r="Z43" s="521"/>
      <c r="AA43" s="507"/>
      <c r="AB43" s="508"/>
      <c r="AC43" s="511"/>
      <c r="AD43" s="511"/>
      <c r="AE43" s="48"/>
      <c r="AF43" s="187"/>
      <c r="AG43" s="513"/>
      <c r="AH43" s="511"/>
      <c r="AI43" s="511"/>
      <c r="AN43" s="506"/>
      <c r="AO43" s="506"/>
    </row>
    <row r="44" spans="1:41" ht="18.75" customHeight="1" x14ac:dyDescent="0.25">
      <c r="A44" s="7"/>
      <c r="B44" s="182" t="s">
        <v>83</v>
      </c>
      <c r="C44" s="75">
        <v>32.409999999999997</v>
      </c>
      <c r="D44" s="75">
        <v>61.154404999999997</v>
      </c>
      <c r="E44" s="75">
        <v>27.658999999999999</v>
      </c>
      <c r="F44" s="75">
        <v>1.4219999999999999</v>
      </c>
      <c r="G44" s="75">
        <v>4.2031213100000002</v>
      </c>
      <c r="H44" s="75">
        <v>63.837575700000002</v>
      </c>
      <c r="I44" s="75">
        <v>31.899999999999991</v>
      </c>
      <c r="J44" s="75">
        <v>1033.8789999999999</v>
      </c>
      <c r="K44" s="76">
        <v>46.552358814043572</v>
      </c>
      <c r="L44" s="76">
        <v>54.884586565214711</v>
      </c>
      <c r="M44" s="75">
        <v>258.43900000000002</v>
      </c>
      <c r="N44" s="75">
        <v>213.84800000000001</v>
      </c>
      <c r="O44" s="75">
        <v>44.591000000000001</v>
      </c>
      <c r="P44" s="75">
        <v>35.283000000000001</v>
      </c>
      <c r="Q44" s="75">
        <v>3.362525127977678</v>
      </c>
      <c r="R44" s="75">
        <v>117.91415759977629</v>
      </c>
      <c r="S44" s="75">
        <v>119.02306817281492</v>
      </c>
      <c r="T44" s="75">
        <v>103.64653995454776</v>
      </c>
      <c r="U44" s="75">
        <v>102.68088905407637</v>
      </c>
      <c r="V44" s="75">
        <v>101.18787667334861</v>
      </c>
      <c r="W44" s="75">
        <v>101.27282257621897</v>
      </c>
      <c r="X44" s="75">
        <v>93.348583021159499</v>
      </c>
      <c r="Y44" s="77">
        <v>94.226469381859999</v>
      </c>
      <c r="Z44" s="521"/>
      <c r="AA44" s="507"/>
      <c r="AB44" s="508"/>
      <c r="AC44" s="511"/>
      <c r="AD44" s="511"/>
      <c r="AE44" s="48"/>
      <c r="AF44" s="187"/>
      <c r="AG44" s="513"/>
      <c r="AH44" s="511"/>
      <c r="AI44" s="511"/>
      <c r="AN44" s="506"/>
      <c r="AO44" s="506"/>
    </row>
    <row r="45" spans="1:41" x14ac:dyDescent="0.25">
      <c r="A45" s="7"/>
      <c r="B45" s="182" t="s">
        <v>84</v>
      </c>
      <c r="C45" s="75">
        <v>32.451000000000001</v>
      </c>
      <c r="D45" s="75">
        <v>61.153302600000004</v>
      </c>
      <c r="E45" s="75">
        <v>27.68</v>
      </c>
      <c r="F45" s="75">
        <v>1.367</v>
      </c>
      <c r="G45" s="75">
        <v>4.0422260300000001</v>
      </c>
      <c r="H45" s="75">
        <v>63.729388499999999</v>
      </c>
      <c r="I45" s="75">
        <v>31.9</v>
      </c>
      <c r="J45" s="75">
        <v>1035.1868999999999</v>
      </c>
      <c r="K45" s="76">
        <v>45.980259617287352</v>
      </c>
      <c r="L45" s="76">
        <v>54.243146625141712</v>
      </c>
      <c r="M45" s="75">
        <v>257.72800000000001</v>
      </c>
      <c r="N45" s="75">
        <v>213.04900000000001</v>
      </c>
      <c r="O45" s="75">
        <v>44.679000000000002</v>
      </c>
      <c r="P45" s="75">
        <v>35.575000000000003</v>
      </c>
      <c r="Q45" s="75">
        <v>1.6603908282586399</v>
      </c>
      <c r="R45" s="75">
        <v>117.38447133495026</v>
      </c>
      <c r="S45" s="75">
        <v>118.48840053245759</v>
      </c>
      <c r="T45" s="75">
        <v>103.74079986454063</v>
      </c>
      <c r="U45" s="75">
        <v>102.77427077905091</v>
      </c>
      <c r="V45" s="75">
        <v>100.33499813780817</v>
      </c>
      <c r="W45" s="75">
        <v>100.47185694404367</v>
      </c>
      <c r="X45" s="75">
        <v>92.113755787956649</v>
      </c>
      <c r="Y45" s="77">
        <v>92.980029353360578</v>
      </c>
      <c r="Z45" s="521"/>
      <c r="AA45" s="507"/>
      <c r="AB45" s="508"/>
      <c r="AC45" s="511"/>
      <c r="AD45" s="511"/>
      <c r="AE45" s="48"/>
      <c r="AF45" s="187"/>
      <c r="AG45" s="513"/>
      <c r="AH45" s="511"/>
      <c r="AI45" s="511"/>
      <c r="AN45" s="506"/>
      <c r="AO45" s="506"/>
    </row>
    <row r="46" spans="1:41" x14ac:dyDescent="0.25">
      <c r="A46" s="7"/>
      <c r="B46" s="182" t="s">
        <v>85</v>
      </c>
      <c r="C46" s="75">
        <v>32.497</v>
      </c>
      <c r="D46" s="75">
        <v>61.152405899999998</v>
      </c>
      <c r="E46" s="75">
        <v>27.736999999999998</v>
      </c>
      <c r="F46" s="75">
        <v>1.3819999999999999</v>
      </c>
      <c r="G46" s="75">
        <v>4.07922312</v>
      </c>
      <c r="H46" s="75">
        <v>63.753034399999997</v>
      </c>
      <c r="I46" s="75">
        <v>32.200000000000003</v>
      </c>
      <c r="J46" s="75">
        <v>1046.4033999999997</v>
      </c>
      <c r="K46" s="76">
        <v>46.27045271113068</v>
      </c>
      <c r="L46" s="76">
        <v>54.542886492039031</v>
      </c>
      <c r="M46" s="75">
        <v>261.661</v>
      </c>
      <c r="N46" s="75">
        <v>216.56299999999999</v>
      </c>
      <c r="O46" s="75">
        <v>45.097999999999999</v>
      </c>
      <c r="P46" s="75">
        <v>35.685000000000002</v>
      </c>
      <c r="Q46" s="75">
        <v>2.536964151868637</v>
      </c>
      <c r="R46" s="75">
        <v>119.07538834105956</v>
      </c>
      <c r="S46" s="75">
        <v>119.07538834105951</v>
      </c>
      <c r="T46" s="75">
        <v>102.95419152178658</v>
      </c>
      <c r="U46" s="75">
        <v>102.95419163227685</v>
      </c>
      <c r="V46" s="75">
        <v>101.15725954946016</v>
      </c>
      <c r="W46" s="75">
        <v>101.28846392435472</v>
      </c>
      <c r="X46" s="75">
        <v>92.873777919187944</v>
      </c>
      <c r="Y46" s="77">
        <v>92.873777919187873</v>
      </c>
      <c r="Z46" s="521"/>
      <c r="AA46" s="507"/>
      <c r="AB46" s="508"/>
      <c r="AC46" s="511"/>
      <c r="AD46" s="511"/>
      <c r="AE46" s="48"/>
      <c r="AF46" s="187"/>
      <c r="AG46" s="513"/>
      <c r="AH46" s="511"/>
      <c r="AI46" s="511"/>
      <c r="AN46" s="506"/>
      <c r="AO46" s="506"/>
    </row>
    <row r="47" spans="1:41" x14ac:dyDescent="0.25">
      <c r="A47" s="7"/>
      <c r="B47" s="182" t="s">
        <v>86</v>
      </c>
      <c r="C47" s="75">
        <v>32.668999999999997</v>
      </c>
      <c r="D47" s="75">
        <v>61.3836643</v>
      </c>
      <c r="E47" s="75">
        <v>27.829000000000001</v>
      </c>
      <c r="F47" s="75">
        <v>1.369</v>
      </c>
      <c r="G47" s="75">
        <v>4.0219754400000003</v>
      </c>
      <c r="H47" s="75">
        <v>63.9559572</v>
      </c>
      <c r="I47" s="75">
        <v>31.999999999999993</v>
      </c>
      <c r="J47" s="75">
        <v>1045.4079999999999</v>
      </c>
      <c r="K47" s="76">
        <v>46.468683074273819</v>
      </c>
      <c r="L47" s="76">
        <v>54.702397927766079</v>
      </c>
      <c r="M47" s="75">
        <v>264.58299999999997</v>
      </c>
      <c r="N47" s="75">
        <v>219.255</v>
      </c>
      <c r="O47" s="75">
        <v>45.328000000000003</v>
      </c>
      <c r="P47" s="75">
        <v>36.563000000000002</v>
      </c>
      <c r="Q47" s="75">
        <v>2.8116032281466419</v>
      </c>
      <c r="R47" s="75">
        <v>120.15701734369458</v>
      </c>
      <c r="S47" s="75">
        <v>120.90799870209264</v>
      </c>
      <c r="T47" s="75">
        <v>103.18593305201992</v>
      </c>
      <c r="U47" s="75">
        <v>102.54502671695563</v>
      </c>
      <c r="V47" s="75">
        <v>100.95654224969759</v>
      </c>
      <c r="W47" s="75">
        <v>101.80698947145243</v>
      </c>
      <c r="X47" s="75">
        <v>93.166216839470124</v>
      </c>
      <c r="Y47" s="77">
        <v>93.748505694716741</v>
      </c>
      <c r="Z47" s="521"/>
      <c r="AA47" s="507"/>
      <c r="AB47" s="508"/>
      <c r="AC47" s="511"/>
      <c r="AD47" s="511"/>
      <c r="AE47" s="48"/>
      <c r="AF47" s="187"/>
      <c r="AG47" s="513"/>
      <c r="AH47" s="511"/>
      <c r="AI47" s="511"/>
      <c r="AN47" s="506"/>
      <c r="AO47" s="506"/>
    </row>
    <row r="48" spans="1:41" ht="18.75" customHeight="1" x14ac:dyDescent="0.25">
      <c r="A48" s="7"/>
      <c r="B48" s="182" t="s">
        <v>87</v>
      </c>
      <c r="C48" s="75">
        <v>32.776000000000003</v>
      </c>
      <c r="D48" s="75">
        <v>61.492279699999997</v>
      </c>
      <c r="E48" s="75">
        <v>27.867000000000001</v>
      </c>
      <c r="F48" s="75">
        <v>1.304</v>
      </c>
      <c r="G48" s="75">
        <v>3.8262910799999998</v>
      </c>
      <c r="H48" s="75">
        <v>63.9387629</v>
      </c>
      <c r="I48" s="75">
        <v>32.313278008298752</v>
      </c>
      <c r="J48" s="75">
        <v>1059.0999999999999</v>
      </c>
      <c r="K48" s="76">
        <v>46.472822319778189</v>
      </c>
      <c r="L48" s="76">
        <v>55.033719385397418</v>
      </c>
      <c r="M48" s="75">
        <v>267.85199999999998</v>
      </c>
      <c r="N48" s="75">
        <v>220.42599999999999</v>
      </c>
      <c r="O48" s="75">
        <v>47.426000000000002</v>
      </c>
      <c r="P48" s="75">
        <v>37.026000000000003</v>
      </c>
      <c r="Q48" s="75">
        <v>2.3066545883666745</v>
      </c>
      <c r="R48" s="75">
        <v>120.63402992638542</v>
      </c>
      <c r="S48" s="75">
        <v>120.21113310237378</v>
      </c>
      <c r="T48" s="75">
        <v>102.36511661146453</v>
      </c>
      <c r="U48" s="75">
        <v>102.72523213086586</v>
      </c>
      <c r="V48" s="75">
        <v>101.94050697512583</v>
      </c>
      <c r="W48" s="75">
        <v>102.83494490218703</v>
      </c>
      <c r="X48" s="75">
        <v>93.744110325980188</v>
      </c>
      <c r="Y48" s="77">
        <v>93.415479287533998</v>
      </c>
      <c r="Z48" s="521"/>
      <c r="AA48" s="507"/>
      <c r="AB48" s="508"/>
      <c r="AC48" s="511"/>
      <c r="AD48" s="511"/>
      <c r="AE48" s="48"/>
      <c r="AF48" s="187"/>
      <c r="AG48" s="513"/>
      <c r="AH48" s="511"/>
      <c r="AI48" s="511"/>
      <c r="AN48" s="506"/>
      <c r="AO48" s="506"/>
    </row>
    <row r="49" spans="1:41" x14ac:dyDescent="0.25">
      <c r="A49" s="7"/>
      <c r="B49" s="182" t="s">
        <v>88</v>
      </c>
      <c r="C49" s="75">
        <v>32.963000000000001</v>
      </c>
      <c r="D49" s="75">
        <v>61.750435500000002</v>
      </c>
      <c r="E49" s="75">
        <v>27.994</v>
      </c>
      <c r="F49" s="75">
        <v>1.3320000000000001</v>
      </c>
      <c r="G49" s="75">
        <v>3.8839481</v>
      </c>
      <c r="H49" s="75">
        <v>64.245705400000006</v>
      </c>
      <c r="I49" s="75">
        <v>32.114795376634412</v>
      </c>
      <c r="J49" s="75">
        <v>1058.5999999999997</v>
      </c>
      <c r="K49" s="76">
        <v>46.758883769017551</v>
      </c>
      <c r="L49" s="76">
        <v>55.375003342275775</v>
      </c>
      <c r="M49" s="75">
        <v>273.34800000000001</v>
      </c>
      <c r="N49" s="75">
        <v>225.012</v>
      </c>
      <c r="O49" s="75">
        <v>48.335999999999999</v>
      </c>
      <c r="P49" s="75">
        <v>37.302999999999997</v>
      </c>
      <c r="Q49" s="75">
        <v>4.4304879672526054</v>
      </c>
      <c r="R49" s="75">
        <v>122.58517621286833</v>
      </c>
      <c r="S49" s="75">
        <v>122.91041022563176</v>
      </c>
      <c r="T49" s="75">
        <v>102.63184955021462</v>
      </c>
      <c r="U49" s="75">
        <v>102.36027486186615</v>
      </c>
      <c r="V49" s="75">
        <v>102.31702157331064</v>
      </c>
      <c r="W49" s="75">
        <v>103.8237974060569</v>
      </c>
      <c r="X49" s="75">
        <v>94.264489456418929</v>
      </c>
      <c r="Y49" s="77">
        <v>94.514585096969853</v>
      </c>
      <c r="Z49" s="521"/>
      <c r="AA49" s="507"/>
      <c r="AB49" s="508"/>
      <c r="AC49" s="511"/>
      <c r="AD49" s="511"/>
      <c r="AE49" s="48"/>
      <c r="AF49" s="187"/>
      <c r="AG49" s="513"/>
      <c r="AH49" s="511"/>
      <c r="AI49" s="511"/>
      <c r="AN49" s="506"/>
      <c r="AO49" s="506"/>
    </row>
    <row r="50" spans="1:41" x14ac:dyDescent="0.25">
      <c r="A50" s="7"/>
      <c r="B50" s="182" t="s">
        <v>89</v>
      </c>
      <c r="C50" s="75">
        <v>32.896000000000001</v>
      </c>
      <c r="D50" s="75">
        <v>61.562646200000003</v>
      </c>
      <c r="E50" s="75">
        <v>27.945</v>
      </c>
      <c r="F50" s="75">
        <v>1.325</v>
      </c>
      <c r="G50" s="75">
        <v>3.8718915300000001</v>
      </c>
      <c r="H50" s="75">
        <v>64.042294400000003</v>
      </c>
      <c r="I50" s="75">
        <v>32.03125</v>
      </c>
      <c r="J50" s="75">
        <v>1053.7000000000005</v>
      </c>
      <c r="K50" s="76">
        <v>46.280471794040366</v>
      </c>
      <c r="L50" s="76">
        <v>55.097620763731136</v>
      </c>
      <c r="M50" s="75">
        <v>274.75299999999999</v>
      </c>
      <c r="N50" s="75">
        <v>224.72</v>
      </c>
      <c r="O50" s="75">
        <v>50.033000000000001</v>
      </c>
      <c r="P50" s="75">
        <v>37.899000000000001</v>
      </c>
      <c r="Q50" s="75">
        <v>2.9942168779053979</v>
      </c>
      <c r="R50" s="75">
        <v>122.64076371619899</v>
      </c>
      <c r="S50" s="75">
        <v>123.28687115431353</v>
      </c>
      <c r="T50" s="75">
        <v>103.67686408241237</v>
      </c>
      <c r="U50" s="75">
        <v>103.13352647126766</v>
      </c>
      <c r="V50" s="75">
        <v>102.65355680822424</v>
      </c>
      <c r="W50" s="75">
        <v>103.99519145843847</v>
      </c>
      <c r="X50" s="75">
        <v>93.932970791433519</v>
      </c>
      <c r="Y50" s="77">
        <v>94.42783717413954</v>
      </c>
      <c r="Z50" s="521"/>
      <c r="AA50" s="507"/>
      <c r="AB50" s="508"/>
      <c r="AC50" s="511"/>
      <c r="AD50" s="511"/>
      <c r="AE50" s="48"/>
      <c r="AF50" s="187"/>
      <c r="AG50" s="513"/>
      <c r="AH50" s="511"/>
      <c r="AI50" s="511"/>
      <c r="AN50" s="506"/>
      <c r="AO50" s="506"/>
    </row>
    <row r="51" spans="1:41" x14ac:dyDescent="0.25">
      <c r="A51" s="7"/>
      <c r="B51" s="182" t="s">
        <v>90</v>
      </c>
      <c r="C51" s="75">
        <v>33.057000000000002</v>
      </c>
      <c r="D51" s="75">
        <v>61.817671799999999</v>
      </c>
      <c r="E51" s="75">
        <v>28.04</v>
      </c>
      <c r="F51" s="75">
        <v>1.2829999999999999</v>
      </c>
      <c r="G51" s="75">
        <v>3.73616773</v>
      </c>
      <c r="H51" s="75">
        <v>64.216923800000004</v>
      </c>
      <c r="I51" s="75">
        <v>31.805668995976649</v>
      </c>
      <c r="J51" s="75">
        <v>1051.4000000000001</v>
      </c>
      <c r="K51" s="76">
        <v>46.312119762116346</v>
      </c>
      <c r="L51" s="76">
        <v>54.984917559256196</v>
      </c>
      <c r="M51" s="75">
        <v>275.16800000000001</v>
      </c>
      <c r="N51" s="75">
        <v>225.68700000000001</v>
      </c>
      <c r="O51" s="75">
        <v>49.481000000000002</v>
      </c>
      <c r="P51" s="75">
        <v>38.537999999999997</v>
      </c>
      <c r="Q51" s="75">
        <v>2.1589990530440861</v>
      </c>
      <c r="R51" s="75">
        <v>122.75120621031095</v>
      </c>
      <c r="S51" s="75">
        <v>124.2730923368411</v>
      </c>
      <c r="T51" s="75">
        <v>103.9098615490653</v>
      </c>
      <c r="U51" s="75">
        <v>102.63734971892771</v>
      </c>
      <c r="V51" s="75">
        <v>101.73017081670231</v>
      </c>
      <c r="W51" s="75">
        <v>103.6507713672523</v>
      </c>
      <c r="X51" s="75">
        <v>93.851126909105062</v>
      </c>
      <c r="Y51" s="77">
        <v>95.014705927281653</v>
      </c>
      <c r="Z51" s="521"/>
      <c r="AA51" s="507"/>
      <c r="AB51" s="508"/>
      <c r="AC51" s="511"/>
      <c r="AD51" s="511"/>
      <c r="AE51" s="48"/>
      <c r="AF51" s="187"/>
      <c r="AG51" s="513"/>
      <c r="AH51" s="511"/>
      <c r="AI51" s="511"/>
      <c r="AN51" s="506"/>
      <c r="AO51" s="506"/>
    </row>
    <row r="52" spans="1:41" ht="18.75" customHeight="1" x14ac:dyDescent="0.25">
      <c r="A52" s="7"/>
      <c r="B52" s="152" t="s">
        <v>91</v>
      </c>
      <c r="C52" s="75">
        <v>32.981000000000002</v>
      </c>
      <c r="D52" s="75">
        <v>61.629449700000002</v>
      </c>
      <c r="E52" s="75">
        <v>28.06</v>
      </c>
      <c r="F52" s="75">
        <v>1.41</v>
      </c>
      <c r="G52" s="75">
        <v>4.0999098600000012</v>
      </c>
      <c r="H52" s="75">
        <v>64.264224999999996</v>
      </c>
      <c r="I52" s="75">
        <v>31.123980473606011</v>
      </c>
      <c r="J52" s="75">
        <v>1026.5</v>
      </c>
      <c r="K52" s="76">
        <v>46.842401651873104</v>
      </c>
      <c r="L52" s="76">
        <v>55.665263289623056</v>
      </c>
      <c r="M52" s="75">
        <v>273.416</v>
      </c>
      <c r="N52" s="75">
        <v>224.06399999999999</v>
      </c>
      <c r="O52" s="75">
        <v>49.351999999999997</v>
      </c>
      <c r="P52" s="75">
        <v>37.956000000000003</v>
      </c>
      <c r="Q52" s="75">
        <v>0.95127675374966358</v>
      </c>
      <c r="R52" s="75">
        <v>121.78159341018655</v>
      </c>
      <c r="S52" s="75">
        <v>125.99183164034662</v>
      </c>
      <c r="T52" s="75">
        <v>103.5090044083824</v>
      </c>
      <c r="U52" s="75">
        <v>100.05006934788899</v>
      </c>
      <c r="V52" s="75">
        <v>100.41412241526891</v>
      </c>
      <c r="W52" s="75">
        <v>103.47504368135831</v>
      </c>
      <c r="X52" s="75">
        <v>93.084048979879356</v>
      </c>
      <c r="Y52" s="77">
        <v>96.302154529813748</v>
      </c>
      <c r="Z52" s="521"/>
      <c r="AA52" s="507"/>
      <c r="AB52" s="508"/>
      <c r="AC52" s="511"/>
      <c r="AD52" s="511"/>
      <c r="AE52" s="48"/>
      <c r="AF52" s="187"/>
      <c r="AG52" s="513"/>
      <c r="AH52" s="511"/>
      <c r="AI52" s="511"/>
      <c r="AN52" s="506"/>
      <c r="AO52" s="506"/>
    </row>
    <row r="53" spans="1:41" ht="18.75" customHeight="1" x14ac:dyDescent="0.25">
      <c r="A53" s="7"/>
      <c r="B53" s="152" t="s">
        <v>92</v>
      </c>
      <c r="C53" s="75">
        <v>32.628</v>
      </c>
      <c r="D53" s="75">
        <v>60.9242834</v>
      </c>
      <c r="E53" s="75">
        <v>27.978000000000002</v>
      </c>
      <c r="F53" s="75">
        <v>1.3879999999999999</v>
      </c>
      <c r="G53" s="75">
        <v>4.08043274</v>
      </c>
      <c r="H53" s="75">
        <v>63.516011599999999</v>
      </c>
      <c r="I53" s="75">
        <v>25.830574966286623</v>
      </c>
      <c r="J53" s="75">
        <v>842.8</v>
      </c>
      <c r="K53" s="76">
        <v>53.132721148231496</v>
      </c>
      <c r="L53" s="76">
        <v>63.193253911355761</v>
      </c>
      <c r="M53" s="75">
        <v>266.654</v>
      </c>
      <c r="N53" s="75">
        <v>218.24</v>
      </c>
      <c r="O53" s="75">
        <v>48.414000000000001</v>
      </c>
      <c r="P53" s="75">
        <v>37.448999999999998</v>
      </c>
      <c r="Q53" s="75">
        <v>-2.9541506080637214</v>
      </c>
      <c r="R53" s="75">
        <v>118.9638254843799</v>
      </c>
      <c r="S53" s="75">
        <v>148.29848679700987</v>
      </c>
      <c r="T53" s="75">
        <v>100.97449017506057</v>
      </c>
      <c r="U53" s="75">
        <v>81.000904973786405</v>
      </c>
      <c r="V53" s="75">
        <v>90.032936036937912</v>
      </c>
      <c r="W53" s="75">
        <v>100.69957049310361</v>
      </c>
      <c r="X53" s="75">
        <v>90.919107481592391</v>
      </c>
      <c r="Y53" s="77">
        <v>113.33836992510975</v>
      </c>
      <c r="Z53" s="521"/>
      <c r="AA53" s="507"/>
      <c r="AB53" s="508"/>
      <c r="AC53" s="511"/>
      <c r="AD53" s="511"/>
      <c r="AE53" s="48"/>
      <c r="AF53" s="187"/>
      <c r="AG53" s="513"/>
      <c r="AH53" s="511"/>
      <c r="AI53" s="511"/>
      <c r="AN53" s="506"/>
      <c r="AO53" s="506"/>
    </row>
    <row r="54" spans="1:41" ht="18.75" customHeight="1" x14ac:dyDescent="0.25">
      <c r="A54" s="7"/>
      <c r="B54" s="152" t="s">
        <v>93</v>
      </c>
      <c r="C54" s="75">
        <v>32.360999999999997</v>
      </c>
      <c r="D54" s="75">
        <v>60.354731600000001</v>
      </c>
      <c r="E54" s="75">
        <v>27.931000000000001</v>
      </c>
      <c r="F54" s="75">
        <v>1.6879999999999999</v>
      </c>
      <c r="G54" s="75">
        <v>4.95756116</v>
      </c>
      <c r="H54" s="75">
        <v>63.502928099999998</v>
      </c>
      <c r="I54" s="75">
        <v>28.311856864744598</v>
      </c>
      <c r="J54" s="75">
        <v>916.2</v>
      </c>
      <c r="K54" s="76">
        <v>48.220403132223744</v>
      </c>
      <c r="L54" s="76">
        <v>57.680925527327375</v>
      </c>
      <c r="M54" s="75">
        <v>273.58100000000002</v>
      </c>
      <c r="N54" s="75">
        <v>222.464</v>
      </c>
      <c r="O54" s="75">
        <v>51.116999999999997</v>
      </c>
      <c r="P54" s="75">
        <v>38.08</v>
      </c>
      <c r="Q54" s="75">
        <v>-0.95429566368090413</v>
      </c>
      <c r="R54" s="75">
        <v>121.47040822615016</v>
      </c>
      <c r="S54" s="75">
        <v>138.15226474080708</v>
      </c>
      <c r="T54" s="75">
        <v>108.64271971006576</v>
      </c>
      <c r="U54" s="75">
        <v>95.524134452735424</v>
      </c>
      <c r="V54" s="75">
        <v>97.15356150854673</v>
      </c>
      <c r="W54" s="75">
        <v>103.41967588111031</v>
      </c>
      <c r="X54" s="75">
        <v>92.484744386667344</v>
      </c>
      <c r="Y54" s="77">
        <v>105.18592204946675</v>
      </c>
      <c r="Z54" s="521"/>
      <c r="AA54" s="507"/>
      <c r="AB54" s="508"/>
      <c r="AC54" s="511"/>
      <c r="AD54" s="511"/>
      <c r="AE54" s="48"/>
      <c r="AF54" s="187"/>
      <c r="AG54" s="513"/>
      <c r="AH54" s="511"/>
      <c r="AI54" s="511"/>
      <c r="AN54" s="506"/>
      <c r="AO54" s="506"/>
    </row>
    <row r="55" spans="1:41" ht="18.75" customHeight="1" x14ac:dyDescent="0.25">
      <c r="A55" s="23"/>
      <c r="B55" s="152" t="s">
        <v>94</v>
      </c>
      <c r="C55" s="75">
        <v>32.270000000000003</v>
      </c>
      <c r="D55" s="75">
        <v>60.102063600000001</v>
      </c>
      <c r="E55" s="75">
        <v>27.96</v>
      </c>
      <c r="F55" s="75">
        <v>1.792</v>
      </c>
      <c r="G55" s="75">
        <v>5.2609946599999997</v>
      </c>
      <c r="H55" s="75">
        <v>63.439618600000003</v>
      </c>
      <c r="I55" s="75">
        <v>30.254105980787109</v>
      </c>
      <c r="J55" s="75">
        <v>976.3</v>
      </c>
      <c r="K55" s="76">
        <v>49.153655051681753</v>
      </c>
      <c r="L55" s="76">
        <v>58.7139970099796</v>
      </c>
      <c r="M55" s="75">
        <v>280.66800000000001</v>
      </c>
      <c r="N55" s="75">
        <v>228.678</v>
      </c>
      <c r="O55" s="75">
        <v>51.99</v>
      </c>
      <c r="P55" s="75">
        <v>38.624000000000002</v>
      </c>
      <c r="Q55" s="75">
        <v>1.6152017746633884</v>
      </c>
      <c r="R55" s="75">
        <v>124.73388587144063</v>
      </c>
      <c r="S55" s="75">
        <v>132.75656294755566</v>
      </c>
      <c r="T55" s="75">
        <v>103.34951351655501</v>
      </c>
      <c r="U55" s="75">
        <v>97.103948359915094</v>
      </c>
      <c r="V55" s="75">
        <v>101.05983500061235</v>
      </c>
      <c r="W55" s="75">
        <v>105.97439984497545</v>
      </c>
      <c r="X55" s="75">
        <v>94.860899041303242</v>
      </c>
      <c r="Y55" s="77">
        <v>100.96219505113575</v>
      </c>
      <c r="Z55" s="521"/>
      <c r="AA55" s="507"/>
      <c r="AB55" s="508"/>
      <c r="AC55" s="511"/>
      <c r="AD55" s="511"/>
      <c r="AE55" s="48"/>
      <c r="AF55" s="187"/>
      <c r="AG55" s="513"/>
      <c r="AH55" s="511"/>
      <c r="AI55" s="511"/>
      <c r="AN55" s="506"/>
      <c r="AO55" s="506"/>
    </row>
    <row r="56" spans="1:41" ht="18.75" customHeight="1" x14ac:dyDescent="0.25">
      <c r="A56" s="49"/>
      <c r="B56" s="152" t="s">
        <v>95</v>
      </c>
      <c r="C56" s="75">
        <v>32.320999999999998</v>
      </c>
      <c r="D56" s="75">
        <v>60.113080500000002</v>
      </c>
      <c r="E56" s="75">
        <v>28.071999999999999</v>
      </c>
      <c r="F56" s="75">
        <v>1.667</v>
      </c>
      <c r="G56" s="75">
        <v>4.90467224</v>
      </c>
      <c r="H56" s="75">
        <v>63.213495299999998</v>
      </c>
      <c r="I56" s="75">
        <v>29.534977259366975</v>
      </c>
      <c r="J56" s="75">
        <v>954.6</v>
      </c>
      <c r="K56" s="76">
        <v>49.395541499423977</v>
      </c>
      <c r="L56" s="76">
        <v>58.783451595623681</v>
      </c>
      <c r="M56" s="75">
        <v>281.048</v>
      </c>
      <c r="N56" s="75">
        <v>229.87299999999999</v>
      </c>
      <c r="O56" s="75">
        <v>51.174999999999997</v>
      </c>
      <c r="P56" s="75">
        <v>39.39</v>
      </c>
      <c r="Q56" s="75">
        <v>2.5487073691806028</v>
      </c>
      <c r="R56" s="75">
        <v>124.88544985573755</v>
      </c>
      <c r="S56" s="75">
        <v>136.15420963560729</v>
      </c>
      <c r="T56" s="75">
        <v>104.5613662256559</v>
      </c>
      <c r="U56" s="75">
        <v>95.90737816171675</v>
      </c>
      <c r="V56" s="75">
        <v>99.191209354746817</v>
      </c>
      <c r="W56" s="75">
        <v>104.74820950689562</v>
      </c>
      <c r="X56" s="75">
        <v>94.878129126810279</v>
      </c>
      <c r="Y56" s="77">
        <v>103.43924530750654</v>
      </c>
      <c r="Z56" s="521"/>
      <c r="AA56" s="507"/>
      <c r="AB56" s="508"/>
      <c r="AC56" s="511"/>
      <c r="AD56" s="511"/>
      <c r="AE56" s="48"/>
      <c r="AF56" s="187"/>
      <c r="AG56" s="513"/>
      <c r="AH56" s="511"/>
      <c r="AI56" s="511"/>
      <c r="AN56" s="506"/>
      <c r="AO56" s="506"/>
    </row>
    <row r="57" spans="1:41" ht="18.75" customHeight="1" x14ac:dyDescent="0.25">
      <c r="A57" s="49"/>
      <c r="B57" s="152" t="s">
        <v>96</v>
      </c>
      <c r="C57" s="75">
        <v>32.442999999999998</v>
      </c>
      <c r="D57" s="75">
        <v>60.255934000000003</v>
      </c>
      <c r="E57" s="75">
        <v>28.190999999999999</v>
      </c>
      <c r="F57" s="75">
        <v>1.5880000000000001</v>
      </c>
      <c r="G57" s="75">
        <v>4.6663336400000004</v>
      </c>
      <c r="H57" s="75">
        <v>63.205304400000003</v>
      </c>
      <c r="I57" s="75">
        <v>30.980488857380635</v>
      </c>
      <c r="J57" s="75">
        <v>1005.1</v>
      </c>
      <c r="K57" s="76">
        <v>48.211092320367719</v>
      </c>
      <c r="L57" s="76">
        <v>57.08963184597372</v>
      </c>
      <c r="M57" s="75">
        <v>288.54899999999998</v>
      </c>
      <c r="N57" s="75">
        <v>237.36199999999999</v>
      </c>
      <c r="O57" s="75">
        <v>51.186999999999998</v>
      </c>
      <c r="P57" s="75">
        <v>40.587000000000003</v>
      </c>
      <c r="Q57" s="75">
        <v>7.9401516659868721</v>
      </c>
      <c r="R57" s="75">
        <v>128.40973365549959</v>
      </c>
      <c r="S57" s="75">
        <v>133.46443442973728</v>
      </c>
      <c r="T57" s="75">
        <v>106.24176207166076</v>
      </c>
      <c r="U57" s="75">
        <v>102.2180661143753</v>
      </c>
      <c r="V57" s="75">
        <v>102.80903055809272</v>
      </c>
      <c r="W57" s="75">
        <v>106.7597134856253</v>
      </c>
      <c r="X57" s="75">
        <v>96.165047113922313</v>
      </c>
      <c r="Y57" s="77">
        <v>99.950473064617157</v>
      </c>
      <c r="Z57" s="521"/>
      <c r="AA57" s="507"/>
      <c r="AB57" s="508"/>
      <c r="AC57" s="511"/>
      <c r="AD57" s="511"/>
      <c r="AE57" s="48"/>
      <c r="AF57" s="187"/>
      <c r="AG57" s="513"/>
      <c r="AH57" s="511"/>
      <c r="AI57" s="511"/>
      <c r="AN57" s="506"/>
      <c r="AO57" s="506"/>
    </row>
    <row r="58" spans="1:41" ht="18.75" customHeight="1" x14ac:dyDescent="0.25">
      <c r="A58" s="49"/>
      <c r="B58" s="152" t="s">
        <v>97</v>
      </c>
      <c r="C58" s="75">
        <v>32.726999999999997</v>
      </c>
      <c r="D58" s="75">
        <v>60.662848199999999</v>
      </c>
      <c r="E58" s="75">
        <v>28.48</v>
      </c>
      <c r="F58" s="75">
        <v>1.496</v>
      </c>
      <c r="G58" s="75">
        <v>4.3713292199999998</v>
      </c>
      <c r="H58" s="75">
        <v>63.435837599999999</v>
      </c>
      <c r="I58" s="75">
        <v>31.512207046169831</v>
      </c>
      <c r="J58" s="75">
        <v>1031.3</v>
      </c>
      <c r="K58" s="76">
        <v>47.411452876379059</v>
      </c>
      <c r="L58" s="76">
        <v>56.207029780313036</v>
      </c>
      <c r="M58" s="75">
        <v>292.09300000000002</v>
      </c>
      <c r="N58" s="75">
        <v>239.96100000000001</v>
      </c>
      <c r="O58" s="75">
        <v>52.131999999999998</v>
      </c>
      <c r="P58" s="75">
        <v>41.05</v>
      </c>
      <c r="Q58" s="75">
        <v>5.7858113206398887</v>
      </c>
      <c r="R58" s="75">
        <v>128.49845685652622</v>
      </c>
      <c r="S58" s="75">
        <v>131.30309485203304</v>
      </c>
      <c r="T58" s="75">
        <v>105.28910684571086</v>
      </c>
      <c r="U58" s="75">
        <v>103.04012838996354</v>
      </c>
      <c r="V58" s="75">
        <v>102.19249575925731</v>
      </c>
      <c r="W58" s="75">
        <v>105.29161042965622</v>
      </c>
      <c r="X58" s="75">
        <v>95.197237043715717</v>
      </c>
      <c r="Y58" s="77">
        <v>97.275034665660556</v>
      </c>
      <c r="Z58" s="521"/>
      <c r="AA58" s="507"/>
      <c r="AB58" s="508"/>
      <c r="AC58" s="511"/>
      <c r="AD58" s="511"/>
      <c r="AE58" s="48"/>
      <c r="AF58" s="187"/>
      <c r="AG58" s="513"/>
      <c r="AH58" s="511"/>
      <c r="AI58" s="511"/>
      <c r="AN58" s="506"/>
      <c r="AO58" s="506"/>
    </row>
    <row r="59" spans="1:41" ht="18.75" customHeight="1" x14ac:dyDescent="0.25">
      <c r="A59" s="23"/>
      <c r="B59" s="152" t="s">
        <v>98</v>
      </c>
      <c r="C59" s="75">
        <v>32.734999999999999</v>
      </c>
      <c r="D59" s="75">
        <v>60.538531200000001</v>
      </c>
      <c r="E59" s="75">
        <v>28.553999999999998</v>
      </c>
      <c r="F59" s="75">
        <v>1.427</v>
      </c>
      <c r="G59" s="75">
        <v>4.1771558999999998</v>
      </c>
      <c r="H59" s="75">
        <v>63.177556299999999</v>
      </c>
      <c r="I59" s="75">
        <v>31.748892622575223</v>
      </c>
      <c r="J59" s="75">
        <v>1039.3</v>
      </c>
      <c r="K59" s="76">
        <v>46.668277703253636</v>
      </c>
      <c r="L59" s="76">
        <v>55.202990609958178</v>
      </c>
      <c r="M59" s="75">
        <v>294.46000000000004</v>
      </c>
      <c r="N59" s="75">
        <v>242.54300000000001</v>
      </c>
      <c r="O59" s="75">
        <v>51.917000000000002</v>
      </c>
      <c r="P59" s="75">
        <v>41.341999999999999</v>
      </c>
      <c r="Q59" s="75">
        <v>3.856712603083956</v>
      </c>
      <c r="R59" s="75">
        <v>129.54451336816084</v>
      </c>
      <c r="S59" s="75">
        <v>131.38515979258835</v>
      </c>
      <c r="T59" s="75">
        <v>105.91799358831175</v>
      </c>
      <c r="U59" s="75">
        <v>104.43413066378929</v>
      </c>
      <c r="V59" s="75">
        <v>101.47935078499793</v>
      </c>
      <c r="W59" s="75">
        <v>103.49059278678317</v>
      </c>
      <c r="X59" s="75">
        <v>93.910787789471897</v>
      </c>
      <c r="Y59" s="77">
        <v>95.245128791383777</v>
      </c>
      <c r="Z59" s="521"/>
      <c r="AA59" s="507"/>
      <c r="AB59" s="508"/>
      <c r="AC59" s="511"/>
      <c r="AD59" s="511"/>
      <c r="AE59" s="48"/>
      <c r="AF59" s="187"/>
      <c r="AG59" s="513"/>
      <c r="AH59" s="511"/>
      <c r="AI59" s="511"/>
      <c r="AN59" s="506"/>
      <c r="AO59" s="506"/>
    </row>
    <row r="60" spans="1:41" ht="18.75" customHeight="1" x14ac:dyDescent="0.25">
      <c r="A60" s="23"/>
      <c r="B60" s="152" t="s">
        <v>99</v>
      </c>
      <c r="C60" s="75">
        <v>32.798999999999999</v>
      </c>
      <c r="D60" s="75">
        <v>60.516993200000002</v>
      </c>
      <c r="E60" s="75">
        <v>28.582000000000001</v>
      </c>
      <c r="F60" s="75">
        <v>1.2909999999999999</v>
      </c>
      <c r="G60" s="75">
        <v>3.7870343200000001</v>
      </c>
      <c r="H60" s="75">
        <v>62.899000000000001</v>
      </c>
      <c r="I60" s="75">
        <v>31.799749992377819</v>
      </c>
      <c r="J60" s="75">
        <v>1043</v>
      </c>
      <c r="K60" s="76">
        <v>46.687233352701547</v>
      </c>
      <c r="L60" s="76">
        <v>55.35236768355125</v>
      </c>
      <c r="M60" s="75">
        <v>303.05599999999998</v>
      </c>
      <c r="N60" s="75">
        <v>249.071</v>
      </c>
      <c r="O60" s="75">
        <v>53.984999999999999</v>
      </c>
      <c r="P60" s="75">
        <v>41.796999999999997</v>
      </c>
      <c r="Q60" s="75">
        <v>6.4182078934883702</v>
      </c>
      <c r="R60" s="75">
        <v>132.90085765619696</v>
      </c>
      <c r="S60" s="75">
        <v>134.5736245585353</v>
      </c>
      <c r="T60" s="75">
        <v>106.61176576324057</v>
      </c>
      <c r="U60" s="75">
        <v>105.28656828868932</v>
      </c>
      <c r="V60" s="75">
        <v>102.83233839682448</v>
      </c>
      <c r="W60" s="75">
        <v>104.62736712091585</v>
      </c>
      <c r="X60" s="75">
        <v>95.055603810329828</v>
      </c>
      <c r="Y60" s="77">
        <v>96.252028504194769</v>
      </c>
      <c r="Z60" s="521"/>
      <c r="AA60" s="507"/>
      <c r="AB60" s="508"/>
      <c r="AC60" s="511"/>
      <c r="AD60" s="511"/>
      <c r="AE60" s="48"/>
      <c r="AF60" s="187"/>
      <c r="AG60" s="513"/>
      <c r="AH60" s="511"/>
      <c r="AI60" s="511"/>
      <c r="AN60" s="506"/>
      <c r="AO60" s="506"/>
    </row>
    <row r="61" spans="1:41" x14ac:dyDescent="0.25">
      <c r="A61" s="7"/>
      <c r="B61" s="152" t="s">
        <v>100</v>
      </c>
      <c r="C61" s="75">
        <v>32.991999999999997</v>
      </c>
      <c r="D61" s="75">
        <v>60.7341409</v>
      </c>
      <c r="E61" s="75">
        <v>28.773</v>
      </c>
      <c r="F61" s="75">
        <v>1.2969999999999999</v>
      </c>
      <c r="G61" s="75">
        <v>3.78255417</v>
      </c>
      <c r="H61" s="75">
        <v>63.121755499999999</v>
      </c>
      <c r="I61" s="75">
        <v>31.713748787584869</v>
      </c>
      <c r="J61" s="75">
        <v>1046.3</v>
      </c>
      <c r="K61" s="76">
        <v>46.04696125250863</v>
      </c>
      <c r="L61" s="76">
        <v>54.86607862122689</v>
      </c>
      <c r="M61" s="75">
        <v>309.08</v>
      </c>
      <c r="N61" s="75">
        <v>252.7</v>
      </c>
      <c r="O61" s="75">
        <v>56.38</v>
      </c>
      <c r="P61" s="75">
        <v>41.674999999999997</v>
      </c>
      <c r="Q61" s="75">
        <v>4.308424344976558</v>
      </c>
      <c r="R61" s="75">
        <v>133.94216988163274</v>
      </c>
      <c r="S61" s="75">
        <v>135.99583887342189</v>
      </c>
      <c r="T61" s="75">
        <v>106.8684547948347</v>
      </c>
      <c r="U61" s="75">
        <v>105.25463753488951</v>
      </c>
      <c r="V61" s="75">
        <v>101.69434100461753</v>
      </c>
      <c r="W61" s="75">
        <v>102.72143847256852</v>
      </c>
      <c r="X61" s="75">
        <v>91.883278857851948</v>
      </c>
      <c r="Y61" s="77">
        <v>93.292079691980874</v>
      </c>
      <c r="Z61" s="521"/>
      <c r="AA61" s="507"/>
      <c r="AB61" s="508"/>
      <c r="AC61" s="511"/>
      <c r="AD61" s="511"/>
      <c r="AE61" s="48"/>
      <c r="AF61" s="187"/>
      <c r="AG61" s="513"/>
      <c r="AH61" s="511"/>
      <c r="AI61" s="511"/>
      <c r="AN61" s="506"/>
      <c r="AO61" s="506"/>
    </row>
    <row r="62" spans="1:41" x14ac:dyDescent="0.25">
      <c r="A62" s="7"/>
      <c r="B62" s="152" t="s">
        <v>101</v>
      </c>
      <c r="C62" s="75">
        <v>32.927999999999997</v>
      </c>
      <c r="D62" s="75">
        <v>60.449405200000001</v>
      </c>
      <c r="E62" s="75">
        <v>28.663</v>
      </c>
      <c r="F62" s="75">
        <v>1.272</v>
      </c>
      <c r="G62" s="75">
        <v>3.71929825</v>
      </c>
      <c r="H62" s="75">
        <v>62.784549900000002</v>
      </c>
      <c r="I62" s="75">
        <v>31.73590864917395</v>
      </c>
      <c r="J62" s="75">
        <v>1045</v>
      </c>
      <c r="K62" s="76">
        <v>45.890626898357972</v>
      </c>
      <c r="L62" s="76">
        <v>54.707620191531348</v>
      </c>
      <c r="M62" s="75">
        <v>313.32600000000002</v>
      </c>
      <c r="N62" s="75">
        <v>255.995</v>
      </c>
      <c r="O62" s="75">
        <v>57.331000000000003</v>
      </c>
      <c r="P62" s="75">
        <v>42.401000000000003</v>
      </c>
      <c r="Q62" s="75">
        <v>6.0008044257452875</v>
      </c>
      <c r="R62" s="75">
        <v>136.20939794258709</v>
      </c>
      <c r="S62" s="75">
        <v>138.20126161301707</v>
      </c>
      <c r="T62" s="75">
        <v>107.109597519917</v>
      </c>
      <c r="U62" s="75">
        <v>105.56585107410501</v>
      </c>
      <c r="V62" s="75">
        <v>102.04814828809587</v>
      </c>
      <c r="W62" s="75">
        <v>102.72506875541058</v>
      </c>
      <c r="X62" s="75">
        <v>91.71776650860663</v>
      </c>
      <c r="Y62" s="77">
        <v>93.059004997293542</v>
      </c>
      <c r="Z62" s="521"/>
      <c r="AA62" s="507"/>
      <c r="AB62" s="508"/>
      <c r="AC62" s="511"/>
      <c r="AD62" s="511"/>
      <c r="AE62" s="509"/>
      <c r="AF62" s="514"/>
      <c r="AG62" s="513"/>
      <c r="AH62" s="511"/>
      <c r="AI62" s="511"/>
      <c r="AN62" s="506"/>
      <c r="AO62" s="506"/>
    </row>
    <row r="63" spans="1:41" x14ac:dyDescent="0.25">
      <c r="A63" s="7"/>
      <c r="B63" s="152" t="s">
        <v>102</v>
      </c>
      <c r="C63" s="75">
        <v>33.121000000000002</v>
      </c>
      <c r="D63" s="75">
        <v>60.621202099999998</v>
      </c>
      <c r="E63" s="75">
        <v>28.844000000000001</v>
      </c>
      <c r="F63" s="75">
        <v>1.351</v>
      </c>
      <c r="G63" s="75">
        <v>3.91912277</v>
      </c>
      <c r="H63" s="75">
        <v>63.093930700000001</v>
      </c>
      <c r="I63" s="75">
        <v>31.768364481748737</v>
      </c>
      <c r="J63" s="75">
        <v>1052.2</v>
      </c>
      <c r="K63" s="76">
        <v>45.926371428272212</v>
      </c>
      <c r="L63" s="76">
        <v>54.46784827852408</v>
      </c>
      <c r="M63" s="75">
        <v>321.25399999999996</v>
      </c>
      <c r="N63" s="75">
        <v>264.16199999999998</v>
      </c>
      <c r="O63" s="75">
        <v>57.091999999999999</v>
      </c>
      <c r="P63" s="75">
        <v>42.814</v>
      </c>
      <c r="Q63" s="75">
        <v>7.8184458229185072</v>
      </c>
      <c r="R63" s="75">
        <v>139.67288096241393</v>
      </c>
      <c r="S63" s="75">
        <v>141.5706109004625</v>
      </c>
      <c r="T63" s="75">
        <v>106.65351371543251</v>
      </c>
      <c r="U63" s="75">
        <v>105.22384161106146</v>
      </c>
      <c r="V63" s="75">
        <v>99.503977629362794</v>
      </c>
      <c r="W63" s="75">
        <v>101.84612078068976</v>
      </c>
      <c r="X63" s="75">
        <v>91.425343081860376</v>
      </c>
      <c r="Y63" s="77">
        <v>92.667535621079907</v>
      </c>
      <c r="Z63" s="521"/>
      <c r="AA63" s="507"/>
      <c r="AB63" s="508"/>
      <c r="AC63" s="511"/>
      <c r="AD63" s="511"/>
      <c r="AE63" s="509"/>
      <c r="AF63" s="514"/>
      <c r="AG63" s="513"/>
      <c r="AH63" s="511"/>
      <c r="AI63" s="511"/>
      <c r="AN63" s="506"/>
      <c r="AO63" s="506"/>
    </row>
    <row r="64" spans="1:41" x14ac:dyDescent="0.25">
      <c r="A64" s="7"/>
      <c r="B64" s="47" t="s">
        <v>103</v>
      </c>
      <c r="C64" s="75">
        <v>33.335000000000001</v>
      </c>
      <c r="D64" s="75">
        <v>60.831401999999997</v>
      </c>
      <c r="E64" s="75">
        <v>28.954999999999998</v>
      </c>
      <c r="F64" s="75">
        <v>1.389</v>
      </c>
      <c r="G64" s="75">
        <v>4.0001151899999998</v>
      </c>
      <c r="H64" s="75">
        <v>63.3661198</v>
      </c>
      <c r="I64" s="75">
        <v>31.756412179391031</v>
      </c>
      <c r="J64" s="75">
        <v>1058.5999999999999</v>
      </c>
      <c r="K64" s="76">
        <v>45.857442792486388</v>
      </c>
      <c r="L64" s="76">
        <v>54.357517881488938</v>
      </c>
      <c r="M64" s="75">
        <v>326.87900000000002</v>
      </c>
      <c r="N64" s="75">
        <v>269.14699999999999</v>
      </c>
      <c r="O64" s="75">
        <v>57.731999999999999</v>
      </c>
      <c r="P64" s="75">
        <v>42.314</v>
      </c>
      <c r="Q64" s="75">
        <v>6.6683125040049918</v>
      </c>
      <c r="R64" s="75">
        <v>141.76310216521503</v>
      </c>
      <c r="S64" s="75">
        <v>143.74331281297327</v>
      </c>
      <c r="T64" s="75">
        <v>106.06858344417046</v>
      </c>
      <c r="U64" s="75">
        <v>104.60738057030913</v>
      </c>
      <c r="V64" s="75">
        <v>98.048135439674851</v>
      </c>
      <c r="W64" s="75">
        <v>101.25109143526782</v>
      </c>
      <c r="X64" s="75">
        <v>92.030281686878581</v>
      </c>
      <c r="Y64" s="77">
        <v>93.31580197339261</v>
      </c>
      <c r="Z64" s="521"/>
      <c r="AA64" s="507"/>
      <c r="AB64" s="508"/>
      <c r="AC64" s="511"/>
      <c r="AD64" s="511"/>
      <c r="AE64" s="509"/>
      <c r="AF64" s="514"/>
      <c r="AG64" s="513"/>
      <c r="AH64" s="511"/>
      <c r="AI64" s="511"/>
      <c r="AN64" s="506"/>
      <c r="AO64" s="506"/>
    </row>
    <row r="65" spans="1:41" x14ac:dyDescent="0.25">
      <c r="A65" s="7"/>
      <c r="B65" s="47" t="s">
        <v>104</v>
      </c>
      <c r="C65" s="75">
        <v>33.335000000000001</v>
      </c>
      <c r="D65" s="75">
        <v>60.649891699999998</v>
      </c>
      <c r="E65" s="75">
        <v>28.984999999999999</v>
      </c>
      <c r="F65" s="75">
        <v>1.472</v>
      </c>
      <c r="G65" s="75">
        <v>4.2290343899999998</v>
      </c>
      <c r="H65" s="75">
        <v>63.328057100000002</v>
      </c>
      <c r="I65" s="75">
        <v>31.615419229038551</v>
      </c>
      <c r="J65" s="75">
        <v>1053.9000000000003</v>
      </c>
      <c r="K65" s="76">
        <v>45.699358195406731</v>
      </c>
      <c r="L65" s="76">
        <v>54.38213619714103</v>
      </c>
      <c r="M65" s="75">
        <v>332.67199999999997</v>
      </c>
      <c r="N65" s="75">
        <v>272.79399999999998</v>
      </c>
      <c r="O65" s="75">
        <v>59.878</v>
      </c>
      <c r="P65" s="75">
        <v>42.356999999999999</v>
      </c>
      <c r="Q65" s="75">
        <v>7.1621487008788787</v>
      </c>
      <c r="R65" s="75">
        <v>143.53530726173906</v>
      </c>
      <c r="S65" s="75">
        <v>146.18932807264082</v>
      </c>
      <c r="T65" s="75">
        <v>106.58566659310958</v>
      </c>
      <c r="U65" s="75">
        <v>104.65063774372686</v>
      </c>
      <c r="V65" s="75">
        <v>100.38165483944201</v>
      </c>
      <c r="W65" s="75">
        <v>101.86794593825007</v>
      </c>
      <c r="X65" s="75">
        <v>90.810785568588372</v>
      </c>
      <c r="Y65" s="77">
        <v>92.489910512487199</v>
      </c>
      <c r="Z65" s="521"/>
      <c r="AA65" s="507"/>
      <c r="AB65" s="508"/>
      <c r="AC65" s="511"/>
      <c r="AD65" s="511"/>
      <c r="AE65" s="509"/>
      <c r="AF65" s="514"/>
      <c r="AG65" s="513"/>
      <c r="AH65" s="511"/>
      <c r="AI65" s="511"/>
      <c r="AN65" s="506"/>
      <c r="AO65" s="506"/>
    </row>
    <row r="66" spans="1:41" x14ac:dyDescent="0.25">
      <c r="A66" s="7"/>
      <c r="B66" s="47" t="s">
        <v>105</v>
      </c>
      <c r="C66" s="75">
        <v>33.356999999999999</v>
      </c>
      <c r="D66" s="75">
        <v>60.510466899999997</v>
      </c>
      <c r="E66" s="75">
        <v>28.995000000000001</v>
      </c>
      <c r="F66" s="75">
        <v>1.4239999999999999</v>
      </c>
      <c r="G66" s="75">
        <v>4.0941893599999988</v>
      </c>
      <c r="H66" s="75">
        <v>63.093640000000001</v>
      </c>
      <c r="I66" s="75">
        <v>31.456665767305221</v>
      </c>
      <c r="J66" s="75">
        <v>1049.3</v>
      </c>
      <c r="K66" s="76">
        <v>46.208848137469658</v>
      </c>
      <c r="L66" s="76">
        <v>54.496653592734013</v>
      </c>
      <c r="M66" s="75">
        <v>334.73199999999997</v>
      </c>
      <c r="N66" s="75">
        <v>277.29899999999998</v>
      </c>
      <c r="O66" s="75">
        <v>57.433</v>
      </c>
      <c r="P66" s="75">
        <v>42.92</v>
      </c>
      <c r="Q66" s="75">
        <v>7.0817231247857881</v>
      </c>
      <c r="R66" s="75">
        <v>145.85537037481876</v>
      </c>
      <c r="S66" s="75">
        <v>149.30199407689787</v>
      </c>
      <c r="T66" s="75">
        <v>106.79642914646575</v>
      </c>
      <c r="U66" s="75">
        <v>104.33104287191671</v>
      </c>
      <c r="V66" s="75">
        <v>100.86734261057414</v>
      </c>
      <c r="W66" s="75">
        <v>101.92775025811103</v>
      </c>
      <c r="X66" s="75">
        <v>92.035668042082165</v>
      </c>
      <c r="Y66" s="77">
        <v>94.21050955868418</v>
      </c>
      <c r="Z66" s="521"/>
      <c r="AA66" s="507"/>
      <c r="AB66" s="508"/>
      <c r="AC66" s="511"/>
      <c r="AD66" s="511"/>
      <c r="AE66" s="509"/>
      <c r="AF66" s="514"/>
      <c r="AG66" s="513"/>
      <c r="AH66" s="511"/>
      <c r="AI66" s="511"/>
      <c r="AN66" s="506"/>
      <c r="AO66" s="506"/>
    </row>
    <row r="67" spans="1:41" x14ac:dyDescent="0.25">
      <c r="A67" s="7"/>
      <c r="B67" s="47" t="s">
        <v>106</v>
      </c>
      <c r="C67" s="75">
        <v>33.384999999999998</v>
      </c>
      <c r="D67" s="75">
        <v>60.381624199999997</v>
      </c>
      <c r="E67" s="75">
        <v>28.957000000000001</v>
      </c>
      <c r="F67" s="75">
        <v>1.34</v>
      </c>
      <c r="G67" s="75">
        <v>3.8588912899999999</v>
      </c>
      <c r="H67" s="75">
        <v>62.805208899999997</v>
      </c>
      <c r="I67" s="75">
        <v>31.633967350606564</v>
      </c>
      <c r="J67" s="75">
        <v>1056.0999999999999</v>
      </c>
      <c r="K67" s="76">
        <v>46.10006228544114</v>
      </c>
      <c r="L67" s="76">
        <v>54.722684937062738</v>
      </c>
      <c r="M67" s="75">
        <v>335.495</v>
      </c>
      <c r="N67" s="75">
        <v>275.96699999999998</v>
      </c>
      <c r="O67" s="75">
        <v>59.527999999999999</v>
      </c>
      <c r="P67" s="75">
        <v>42.293999999999997</v>
      </c>
      <c r="Q67" s="75">
        <v>4.0611759083915677</v>
      </c>
      <c r="R67" s="75">
        <v>145.34524235461589</v>
      </c>
      <c r="S67" s="75">
        <v>147.94593267255456</v>
      </c>
      <c r="T67" s="75">
        <v>105.76771229952767</v>
      </c>
      <c r="U67" s="75">
        <v>103.90845842457972</v>
      </c>
      <c r="V67" s="75">
        <v>101.33136525549719</v>
      </c>
      <c r="W67" s="75">
        <v>102.01252574414232</v>
      </c>
      <c r="X67" s="75">
        <v>91.323461232796632</v>
      </c>
      <c r="Y67" s="77">
        <v>92.957529452582676</v>
      </c>
      <c r="Z67" s="521"/>
      <c r="AA67" s="507"/>
      <c r="AB67" s="508"/>
      <c r="AC67" s="511"/>
      <c r="AD67" s="511"/>
      <c r="AE67" s="509"/>
      <c r="AF67" s="514"/>
      <c r="AG67" s="513"/>
      <c r="AH67" s="511"/>
      <c r="AI67" s="511"/>
      <c r="AN67" s="506"/>
      <c r="AO67" s="506"/>
    </row>
    <row r="68" spans="1:41" x14ac:dyDescent="0.25">
      <c r="A68" s="7"/>
      <c r="B68" s="47" t="s">
        <v>107</v>
      </c>
      <c r="C68" s="75">
        <v>33.347000000000001</v>
      </c>
      <c r="D68" s="75">
        <v>60.1345259</v>
      </c>
      <c r="E68" s="75">
        <v>29.056000000000001</v>
      </c>
      <c r="F68" s="75">
        <v>1.514</v>
      </c>
      <c r="G68" s="75">
        <v>4.3429620499999988</v>
      </c>
      <c r="H68" s="75">
        <v>62.864716700000002</v>
      </c>
      <c r="I68" s="75">
        <v>32.059855459261705</v>
      </c>
      <c r="J68" s="75">
        <v>1069.0999999999999</v>
      </c>
      <c r="K68" s="76">
        <v>46.238369454215359</v>
      </c>
      <c r="L68" s="76">
        <v>54.955747191648697</v>
      </c>
      <c r="M68" s="75">
        <v>343.786</v>
      </c>
      <c r="N68" s="75">
        <v>282.32499999999999</v>
      </c>
      <c r="O68" s="75">
        <v>61.460999999999999</v>
      </c>
      <c r="P68" s="75">
        <v>43.673999999999999</v>
      </c>
      <c r="Q68" s="75">
        <v>4.5315850598052654</v>
      </c>
      <c r="R68" s="75">
        <v>148.1872177232504</v>
      </c>
      <c r="S68" s="75">
        <v>148.83499449184797</v>
      </c>
      <c r="T68" s="75">
        <v>105.24232406940298</v>
      </c>
      <c r="U68" s="75">
        <v>104.7842764087989</v>
      </c>
      <c r="V68" s="75">
        <v>101.7485592464129</v>
      </c>
      <c r="W68" s="75">
        <v>102.79662337751721</v>
      </c>
      <c r="X68" s="75">
        <v>92.913653676641133</v>
      </c>
      <c r="Y68" s="77">
        <v>93.31981088278863</v>
      </c>
      <c r="Z68" s="521"/>
      <c r="AA68" s="507"/>
      <c r="AB68" s="508"/>
      <c r="AC68" s="511"/>
      <c r="AD68" s="511"/>
      <c r="AE68" s="509"/>
      <c r="AF68" s="514"/>
      <c r="AG68" s="513"/>
      <c r="AH68" s="511"/>
      <c r="AI68" s="511"/>
      <c r="AN68" s="506"/>
      <c r="AO68" s="506"/>
    </row>
    <row r="69" spans="1:41" x14ac:dyDescent="0.25">
      <c r="A69" s="7"/>
      <c r="B69" s="47" t="s">
        <v>108</v>
      </c>
      <c r="C69" s="75">
        <v>33.468000000000004</v>
      </c>
      <c r="D69" s="75">
        <v>60.175845500000001</v>
      </c>
      <c r="E69" s="75">
        <v>29.143000000000001</v>
      </c>
      <c r="F69" s="75">
        <v>1.47</v>
      </c>
      <c r="G69" s="75">
        <v>4.2074531999999998</v>
      </c>
      <c r="H69" s="75">
        <v>62.818922299999997</v>
      </c>
      <c r="I69" s="75">
        <v>31.899127524799809</v>
      </c>
      <c r="J69" s="75">
        <v>1067.5999999999999</v>
      </c>
      <c r="K69" s="76">
        <v>45.988682777873748</v>
      </c>
      <c r="L69" s="76">
        <v>54.559625768272767</v>
      </c>
      <c r="M69" s="75">
        <v>348.50800000000004</v>
      </c>
      <c r="N69" s="75">
        <v>286.98200000000003</v>
      </c>
      <c r="O69" s="75">
        <v>61.526000000000003</v>
      </c>
      <c r="P69" s="75">
        <v>43.145000000000003</v>
      </c>
      <c r="Q69" s="75">
        <v>4.6306425431072773</v>
      </c>
      <c r="R69" s="75">
        <v>150.18191426418088</v>
      </c>
      <c r="S69" s="75">
        <v>151.59842962936864</v>
      </c>
      <c r="T69" s="75">
        <v>106.0448555484702</v>
      </c>
      <c r="U69" s="75">
        <v>105.05398670714804</v>
      </c>
      <c r="V69" s="75">
        <v>101.83488544790372</v>
      </c>
      <c r="W69" s="75">
        <v>103.26530859142572</v>
      </c>
      <c r="X69" s="75">
        <v>93.062636799015323</v>
      </c>
      <c r="Y69" s="77">
        <v>93.940403310359699</v>
      </c>
      <c r="Z69" s="521"/>
      <c r="AA69" s="507"/>
      <c r="AB69" s="508"/>
      <c r="AC69" s="511"/>
      <c r="AD69" s="511"/>
      <c r="AE69" s="509"/>
      <c r="AF69" s="514"/>
      <c r="AG69" s="513"/>
      <c r="AH69" s="511"/>
      <c r="AI69" s="511"/>
      <c r="AN69" s="506"/>
      <c r="AO69" s="506"/>
    </row>
    <row r="70" spans="1:41" x14ac:dyDescent="0.25">
      <c r="A70" s="7"/>
      <c r="B70" s="47" t="s">
        <v>109</v>
      </c>
      <c r="C70" s="75">
        <v>33.783999999999999</v>
      </c>
      <c r="D70" s="75">
        <v>60.576285200000001</v>
      </c>
      <c r="E70" s="75">
        <v>29.437999999999999</v>
      </c>
      <c r="F70" s="75">
        <v>1.502</v>
      </c>
      <c r="G70" s="75">
        <v>4.2566457</v>
      </c>
      <c r="H70" s="75">
        <v>63.269441100000002</v>
      </c>
      <c r="I70" s="75">
        <v>32.166114136869524</v>
      </c>
      <c r="J70" s="75">
        <v>1086.7000000000005</v>
      </c>
      <c r="K70" s="76">
        <v>46.246072251397827</v>
      </c>
      <c r="L70" s="76">
        <v>54.734666370801385</v>
      </c>
      <c r="M70" s="75">
        <v>354.93099999999998</v>
      </c>
      <c r="N70" s="75">
        <v>292.959</v>
      </c>
      <c r="O70" s="75">
        <v>61.972000000000001</v>
      </c>
      <c r="P70" s="75">
        <v>44.665999999999997</v>
      </c>
      <c r="Q70" s="75">
        <v>4.0574917426487334</v>
      </c>
      <c r="R70" s="75">
        <v>151.77343998398675</v>
      </c>
      <c r="S70" s="75">
        <v>151.93332793290875</v>
      </c>
      <c r="T70" s="75">
        <v>104.36749617191502</v>
      </c>
      <c r="U70" s="75">
        <v>104.25766439893913</v>
      </c>
      <c r="V70" s="75">
        <v>100.99732289357233</v>
      </c>
      <c r="W70" s="75">
        <v>103.60332047505418</v>
      </c>
      <c r="X70" s="75">
        <v>93.852712601817416</v>
      </c>
      <c r="Y70" s="77">
        <v>93.951583113813783</v>
      </c>
      <c r="Z70" s="521"/>
      <c r="AA70" s="507"/>
      <c r="AB70" s="508"/>
      <c r="AC70" s="511"/>
      <c r="AD70" s="511"/>
      <c r="AE70" s="509"/>
      <c r="AF70" s="514"/>
      <c r="AG70" s="513"/>
      <c r="AH70" s="511"/>
      <c r="AI70" s="511"/>
      <c r="AN70" s="506"/>
      <c r="AO70" s="506"/>
    </row>
    <row r="71" spans="1:41" x14ac:dyDescent="0.25">
      <c r="A71" s="7"/>
      <c r="B71" s="47" t="s">
        <v>110</v>
      </c>
      <c r="C71" s="75">
        <v>33.871000000000002</v>
      </c>
      <c r="D71" s="75">
        <v>60.5726242</v>
      </c>
      <c r="E71" s="75">
        <v>29.474</v>
      </c>
      <c r="F71" s="75">
        <v>1.552</v>
      </c>
      <c r="G71" s="75">
        <v>4.3813341599999998</v>
      </c>
      <c r="H71" s="75">
        <v>63.348116900000001</v>
      </c>
      <c r="I71" s="75">
        <v>31.752826902069611</v>
      </c>
      <c r="J71" s="75">
        <v>1075.5</v>
      </c>
      <c r="K71" s="76">
        <v>46.760648195869301</v>
      </c>
      <c r="L71" s="76">
        <v>55.487123427387196</v>
      </c>
      <c r="M71" s="75">
        <v>364.26300000000003</v>
      </c>
      <c r="N71" s="75">
        <v>299.92200000000003</v>
      </c>
      <c r="O71" s="75">
        <v>64.340999999999994</v>
      </c>
      <c r="P71" s="75">
        <v>44.847999999999999</v>
      </c>
      <c r="Q71" s="75">
        <v>6.7740357150499975</v>
      </c>
      <c r="R71" s="75">
        <v>155.19098098184352</v>
      </c>
      <c r="S71" s="75">
        <v>157.37652597128761</v>
      </c>
      <c r="T71" s="75">
        <v>105.91107054223409</v>
      </c>
      <c r="U71" s="75">
        <v>104.44024510965488</v>
      </c>
      <c r="V71" s="75">
        <v>102.93347781522417</v>
      </c>
      <c r="W71" s="75">
        <v>105.40547429977931</v>
      </c>
      <c r="X71" s="75">
        <v>95.160610765395191</v>
      </c>
      <c r="Y71" s="77">
        <v>96.500751762861228</v>
      </c>
      <c r="Z71" s="521"/>
      <c r="AA71" s="507"/>
      <c r="AB71" s="508"/>
      <c r="AC71" s="511"/>
      <c r="AD71" s="511"/>
      <c r="AE71" s="509"/>
      <c r="AF71" s="514"/>
      <c r="AG71" s="513"/>
      <c r="AH71" s="511"/>
      <c r="AI71" s="511"/>
      <c r="AN71" s="506"/>
      <c r="AO71" s="506"/>
    </row>
    <row r="72" spans="1:41" x14ac:dyDescent="0.25">
      <c r="A72" s="7"/>
      <c r="B72" s="47" t="s">
        <v>111</v>
      </c>
      <c r="C72" s="75">
        <v>33.994</v>
      </c>
      <c r="D72" s="75">
        <v>60.633193599999998</v>
      </c>
      <c r="E72" s="75">
        <v>29.594999999999999</v>
      </c>
      <c r="F72" s="75">
        <v>1.621</v>
      </c>
      <c r="G72" s="75">
        <v>4.5514530400000002</v>
      </c>
      <c r="H72" s="75">
        <v>63.524480500000003</v>
      </c>
      <c r="I72" s="75">
        <v>31.855621580278868</v>
      </c>
      <c r="J72" s="75">
        <v>1082.9000000000001</v>
      </c>
      <c r="K72" s="76">
        <v>46.640155482344383</v>
      </c>
      <c r="L72" s="76">
        <v>55.517121918007938</v>
      </c>
      <c r="M72" s="75">
        <v>370.36500000000001</v>
      </c>
      <c r="N72" s="75">
        <v>304</v>
      </c>
      <c r="O72" s="75">
        <v>66.364999999999995</v>
      </c>
      <c r="P72" s="75">
        <v>44.686</v>
      </c>
      <c r="Q72" s="75">
        <v>5.7162451380480928</v>
      </c>
      <c r="R72" s="75">
        <v>156.65796235156438</v>
      </c>
      <c r="S72" s="75">
        <v>158.3515291016403</v>
      </c>
      <c r="T72" s="75">
        <v>105.79046578146152</v>
      </c>
      <c r="U72" s="75">
        <v>104.65903877830887</v>
      </c>
      <c r="V72" s="75">
        <v>103.53831286982258</v>
      </c>
      <c r="W72" s="75">
        <v>105.43674812655935</v>
      </c>
      <c r="X72" s="75">
        <v>95.546032675686462</v>
      </c>
      <c r="Y72" s="77">
        <v>96.578942727702014</v>
      </c>
      <c r="Z72" s="521"/>
      <c r="AA72" s="507"/>
      <c r="AB72" s="508"/>
      <c r="AC72" s="511"/>
      <c r="AD72" s="511"/>
      <c r="AE72" s="509"/>
      <c r="AF72" s="514"/>
      <c r="AG72" s="513"/>
      <c r="AH72" s="511"/>
      <c r="AI72" s="511"/>
      <c r="AN72" s="506"/>
      <c r="AO72" s="506"/>
    </row>
    <row r="73" spans="1:41" x14ac:dyDescent="0.25">
      <c r="A73" s="7"/>
      <c r="B73" s="47" t="s">
        <v>112</v>
      </c>
      <c r="C73" s="75">
        <v>34.216000000000001</v>
      </c>
      <c r="D73" s="75">
        <v>60.868482399999998</v>
      </c>
      <c r="E73" s="75">
        <v>29.805</v>
      </c>
      <c r="F73" s="75">
        <v>1.6839999999999999</v>
      </c>
      <c r="G73" s="75">
        <v>4.6908078</v>
      </c>
      <c r="H73" s="75">
        <v>63.8642307</v>
      </c>
      <c r="I73" s="75">
        <v>31.850596212298335</v>
      </c>
      <c r="J73" s="75">
        <v>1089.8</v>
      </c>
      <c r="K73" s="76">
        <v>46.188026409258846</v>
      </c>
      <c r="L73" s="76">
        <v>55.347134124482267</v>
      </c>
      <c r="M73" s="75">
        <v>374.233</v>
      </c>
      <c r="N73" s="75">
        <v>304.995</v>
      </c>
      <c r="O73" s="75">
        <v>69.238</v>
      </c>
      <c r="P73" s="75">
        <v>44.161999999999999</v>
      </c>
      <c r="Q73" s="75">
        <v>3.9161844081504471</v>
      </c>
      <c r="R73" s="75">
        <v>156.06331497445657</v>
      </c>
      <c r="S73" s="75">
        <v>157.77534300086742</v>
      </c>
      <c r="T73" s="75">
        <v>105.28450522109412</v>
      </c>
      <c r="U73" s="75">
        <v>104.14205794328973</v>
      </c>
      <c r="V73" s="75">
        <v>102.6180246395881</v>
      </c>
      <c r="W73" s="75">
        <v>104.76956280751186</v>
      </c>
      <c r="X73" s="75">
        <v>93.448367378419988</v>
      </c>
      <c r="Y73" s="77">
        <v>94.473504028890176</v>
      </c>
      <c r="Z73" s="521"/>
      <c r="AA73" s="507"/>
      <c r="AB73" s="508"/>
      <c r="AC73" s="511"/>
      <c r="AD73" s="511"/>
      <c r="AE73" s="509"/>
      <c r="AF73" s="514"/>
      <c r="AG73" s="513"/>
      <c r="AH73" s="511"/>
      <c r="AI73" s="511"/>
      <c r="AN73" s="506"/>
      <c r="AO73" s="506"/>
    </row>
    <row r="74" spans="1:41" x14ac:dyDescent="0.25">
      <c r="A74" s="7"/>
      <c r="B74" s="47" t="s">
        <v>113</v>
      </c>
      <c r="C74" s="75">
        <v>34.198</v>
      </c>
      <c r="D74" s="75">
        <v>60.687476699999998</v>
      </c>
      <c r="E74" s="75">
        <v>29.814</v>
      </c>
      <c r="F74" s="75">
        <v>1.7869999999999999</v>
      </c>
      <c r="G74" s="75">
        <v>4.9659580400000003</v>
      </c>
      <c r="H74" s="75">
        <v>63.8586715</v>
      </c>
      <c r="I74" s="75">
        <v>31.811801859757882</v>
      </c>
      <c r="J74" s="75">
        <v>1087.9000000000001</v>
      </c>
      <c r="K74" s="76">
        <v>46.39461899867861</v>
      </c>
      <c r="L74" s="76">
        <v>55.881897980158143</v>
      </c>
      <c r="M74" s="75">
        <v>381.83000000000004</v>
      </c>
      <c r="N74" s="75">
        <v>309.45800000000003</v>
      </c>
      <c r="O74" s="75">
        <v>72.372</v>
      </c>
      <c r="P74" s="75">
        <v>44.454999999999998</v>
      </c>
      <c r="Q74" s="75">
        <v>4.2996674491859288</v>
      </c>
      <c r="R74" s="75">
        <v>158.29919317948796</v>
      </c>
      <c r="S74" s="75">
        <v>160.23091187511574</v>
      </c>
      <c r="T74" s="75">
        <v>105.54745340709258</v>
      </c>
      <c r="U74" s="75">
        <v>104.27499000925785</v>
      </c>
      <c r="V74" s="75">
        <v>103.89137124397868</v>
      </c>
      <c r="W74" s="75">
        <v>106.06280916164533</v>
      </c>
      <c r="X74" s="75">
        <v>94.304377942098171</v>
      </c>
      <c r="Y74" s="77">
        <v>95.455170478000355</v>
      </c>
      <c r="Z74" s="521"/>
      <c r="AA74" s="507"/>
      <c r="AB74" s="508"/>
      <c r="AC74" s="511"/>
      <c r="AD74" s="511"/>
      <c r="AE74" s="509"/>
      <c r="AF74" s="514"/>
      <c r="AG74" s="513"/>
      <c r="AH74" s="511"/>
      <c r="AI74" s="511"/>
      <c r="AN74" s="506"/>
      <c r="AO74" s="506"/>
    </row>
    <row r="75" spans="1:41" x14ac:dyDescent="0.25">
      <c r="A75" s="7"/>
      <c r="B75" s="47" t="s">
        <v>114</v>
      </c>
      <c r="C75" s="75">
        <v>34.253</v>
      </c>
      <c r="D75" s="75">
        <v>60.640878100000002</v>
      </c>
      <c r="E75" s="75">
        <v>29.867999999999999</v>
      </c>
      <c r="F75" s="75">
        <v>1.875</v>
      </c>
      <c r="G75" s="75">
        <v>5.1898804299999988</v>
      </c>
      <c r="H75" s="75">
        <v>63.9603435</v>
      </c>
      <c r="I75" s="75">
        <v>31.886258137973321</v>
      </c>
      <c r="J75" s="75">
        <v>1092.2000000000005</v>
      </c>
      <c r="K75" s="76">
        <v>46.444067452096348</v>
      </c>
      <c r="L75" s="76">
        <v>55.965513017962735</v>
      </c>
      <c r="M75" s="75">
        <v>385.101</v>
      </c>
      <c r="N75" s="75">
        <v>312.02600000000001</v>
      </c>
      <c r="O75" s="75">
        <v>73.075000000000003</v>
      </c>
      <c r="P75" s="75">
        <v>44.421999999999997</v>
      </c>
      <c r="Q75" s="75">
        <v>2.6633417702307316</v>
      </c>
      <c r="R75" s="75">
        <v>159.32424720196377</v>
      </c>
      <c r="S75" s="75">
        <v>160.89190326768482</v>
      </c>
      <c r="T75" s="75">
        <v>105.18531345128899</v>
      </c>
      <c r="U75" s="75">
        <v>104.16043660209515</v>
      </c>
      <c r="V75" s="75">
        <v>104.30112851295324</v>
      </c>
      <c r="W75" s="75">
        <v>106.31273989978676</v>
      </c>
      <c r="X75" s="75">
        <v>94.488742923695298</v>
      </c>
      <c r="Y75" s="77">
        <v>95.418456094088711</v>
      </c>
      <c r="Z75" s="521"/>
      <c r="AA75" s="507"/>
      <c r="AB75" s="508"/>
      <c r="AC75" s="511"/>
      <c r="AD75" s="511"/>
      <c r="AE75" s="509"/>
      <c r="AF75" s="514"/>
      <c r="AG75" s="513"/>
      <c r="AH75" s="511"/>
      <c r="AI75" s="511"/>
      <c r="AN75" s="506"/>
      <c r="AO75" s="506"/>
    </row>
    <row r="76" spans="1:41" x14ac:dyDescent="0.25">
      <c r="A76" s="7"/>
      <c r="B76" s="47" t="s">
        <v>115</v>
      </c>
      <c r="C76" s="75">
        <v>34.386000000000003</v>
      </c>
      <c r="D76" s="75">
        <v>60.733335699999998</v>
      </c>
      <c r="E76" s="75">
        <v>29.818000000000001</v>
      </c>
      <c r="F76" s="75">
        <v>1.8080000000000001</v>
      </c>
      <c r="G76" s="75">
        <v>4.9953030900000002</v>
      </c>
      <c r="H76" s="75">
        <v>63.926666400000002</v>
      </c>
      <c r="I76" s="75">
        <v>31.629151398825108</v>
      </c>
      <c r="J76" s="75">
        <v>1087.5999999999997</v>
      </c>
      <c r="K76" s="76">
        <v>46.511502778653181</v>
      </c>
      <c r="L76" s="76">
        <v>56.249087233568282</v>
      </c>
      <c r="M76" s="75">
        <v>393.11500000000001</v>
      </c>
      <c r="N76" s="75">
        <v>317.10399999999998</v>
      </c>
      <c r="O76" s="75">
        <v>76.010999999999996</v>
      </c>
      <c r="P76" s="75">
        <v>45.962000000000003</v>
      </c>
      <c r="Q76" s="75">
        <v>3.5304187509487273</v>
      </c>
      <c r="R76" s="75">
        <v>162.18864442927818</v>
      </c>
      <c r="S76" s="75">
        <v>165.11585419319053</v>
      </c>
      <c r="T76" s="75">
        <v>106.29498924036868</v>
      </c>
      <c r="U76" s="75">
        <v>104.41056863907804</v>
      </c>
      <c r="V76" s="75">
        <v>105.4771299982726</v>
      </c>
      <c r="W76" s="75">
        <v>107.85254303752191</v>
      </c>
      <c r="X76" s="75">
        <v>95.940259040089543</v>
      </c>
      <c r="Y76" s="77">
        <v>97.671806054386707</v>
      </c>
      <c r="Z76" s="521"/>
      <c r="AA76" s="507"/>
      <c r="AB76" s="508"/>
      <c r="AC76" s="511"/>
      <c r="AD76" s="511"/>
      <c r="AE76" s="509"/>
      <c r="AF76" s="514"/>
      <c r="AG76" s="513"/>
      <c r="AH76" s="511"/>
      <c r="AI76" s="511"/>
      <c r="AN76" s="506"/>
      <c r="AO76" s="506"/>
    </row>
    <row r="77" spans="1:41" x14ac:dyDescent="0.25">
      <c r="A77" s="7"/>
      <c r="B77" s="47" t="s">
        <v>116</v>
      </c>
      <c r="C77" s="75">
        <v>34.469000000000001</v>
      </c>
      <c r="D77" s="75">
        <v>60.736185499999998</v>
      </c>
      <c r="E77" s="75">
        <v>29.951000000000001</v>
      </c>
      <c r="F77" s="75">
        <v>1.772</v>
      </c>
      <c r="G77" s="75">
        <v>4.8894897999999998</v>
      </c>
      <c r="H77" s="75">
        <v>63.858542399999997</v>
      </c>
      <c r="I77" s="75">
        <v>32.063593373756127</v>
      </c>
      <c r="J77" s="75">
        <v>1105.2</v>
      </c>
      <c r="K77" s="76">
        <v>46.379265473304443</v>
      </c>
      <c r="L77" s="76">
        <v>55.882601861868807</v>
      </c>
      <c r="M77" s="75">
        <v>394.02300000000002</v>
      </c>
      <c r="N77" s="75">
        <v>319.267</v>
      </c>
      <c r="O77" s="75">
        <v>74.756</v>
      </c>
      <c r="P77" s="75">
        <v>45.565752200000006</v>
      </c>
      <c r="Q77" s="75">
        <v>4.1691476789915916</v>
      </c>
      <c r="R77" s="75">
        <v>162.56982504847144</v>
      </c>
      <c r="S77" s="75">
        <v>163.26143815326046</v>
      </c>
      <c r="T77" s="75">
        <v>105.03669050688356</v>
      </c>
      <c r="U77" s="75">
        <v>104.59173084270171</v>
      </c>
      <c r="V77" s="75">
        <v>105.16261863284483</v>
      </c>
      <c r="W77" s="75">
        <v>106.99681805221067</v>
      </c>
      <c r="X77" s="75">
        <v>94.72311946501641</v>
      </c>
      <c r="Y77" s="77">
        <v>95.126095544549983</v>
      </c>
      <c r="Z77" s="521"/>
      <c r="AA77" s="507"/>
      <c r="AB77" s="508"/>
      <c r="AC77" s="511"/>
      <c r="AD77" s="511"/>
      <c r="AE77" s="509"/>
      <c r="AF77" s="514"/>
      <c r="AG77" s="513"/>
      <c r="AH77" s="511"/>
      <c r="AI77" s="511"/>
      <c r="AN77" s="506"/>
      <c r="AO77" s="506"/>
    </row>
    <row r="78" spans="1:41" x14ac:dyDescent="0.25">
      <c r="A78" s="7"/>
      <c r="B78" s="47" t="s">
        <v>117</v>
      </c>
      <c r="C78" s="75">
        <v>34.450538800000004</v>
      </c>
      <c r="D78" s="75">
        <v>60.6266453</v>
      </c>
      <c r="E78" s="75">
        <v>29.95710772</v>
      </c>
      <c r="F78" s="75">
        <v>1.8093694199999999</v>
      </c>
      <c r="G78" s="75">
        <v>4.99</v>
      </c>
      <c r="H78" s="75">
        <v>63.810804500000003</v>
      </c>
      <c r="I78" s="75">
        <v>31.846127498024469</v>
      </c>
      <c r="J78" s="75">
        <v>1097.1162516692812</v>
      </c>
      <c r="K78" s="76">
        <v>46.303060381159426</v>
      </c>
      <c r="L78" s="76">
        <v>55.85290643087523</v>
      </c>
      <c r="M78" s="75">
        <v>397.73675530000003</v>
      </c>
      <c r="N78" s="75">
        <v>321.91955400000001</v>
      </c>
      <c r="O78" s="75">
        <v>75.817201299999994</v>
      </c>
      <c r="P78" s="75">
        <v>45.685162499999997</v>
      </c>
      <c r="Q78" s="75">
        <v>3.5299511321195354</v>
      </c>
      <c r="R78" s="75">
        <v>163.88707734126334</v>
      </c>
      <c r="S78" s="75">
        <v>165.70818196705511</v>
      </c>
      <c r="T78" s="75">
        <v>106.09630821212146</v>
      </c>
      <c r="U78" s="75">
        <v>104.93032799293142</v>
      </c>
      <c r="V78" s="75">
        <v>104.44836513313176</v>
      </c>
      <c r="W78" s="75">
        <v>107.08243436602943</v>
      </c>
      <c r="X78" s="75">
        <v>94.741744763623657</v>
      </c>
      <c r="Y78" s="77">
        <v>95.794510072784306</v>
      </c>
      <c r="Z78" s="521"/>
      <c r="AA78" s="507"/>
      <c r="AB78" s="508"/>
      <c r="AC78" s="511"/>
      <c r="AD78" s="511"/>
      <c r="AE78" s="509"/>
      <c r="AF78" s="514"/>
      <c r="AG78" s="513"/>
      <c r="AH78" s="511"/>
      <c r="AI78" s="511"/>
      <c r="AN78" s="506"/>
      <c r="AO78" s="506"/>
    </row>
    <row r="79" spans="1:41" x14ac:dyDescent="0.25">
      <c r="A79" s="7"/>
      <c r="B79" s="47" t="s">
        <v>118</v>
      </c>
      <c r="C79" s="75">
        <v>34.438244100000013</v>
      </c>
      <c r="D79" s="75">
        <v>60.528220900000001</v>
      </c>
      <c r="E79" s="75">
        <v>29.935015360000012</v>
      </c>
      <c r="F79" s="75">
        <v>1.8430918700000001</v>
      </c>
      <c r="G79" s="75">
        <v>5.08</v>
      </c>
      <c r="H79" s="75">
        <v>63.7676157</v>
      </c>
      <c r="I79" s="75">
        <v>31.861731066637777</v>
      </c>
      <c r="J79" s="75">
        <v>1097.2620730399956</v>
      </c>
      <c r="K79" s="76">
        <v>46.292528939656144</v>
      </c>
      <c r="L79" s="76">
        <v>55.834024184304432</v>
      </c>
      <c r="M79" s="75">
        <v>400.69251499999996</v>
      </c>
      <c r="N79" s="75">
        <v>324.32946999999996</v>
      </c>
      <c r="O79" s="75">
        <v>76.363045</v>
      </c>
      <c r="P79" s="75">
        <v>46.161567300000002</v>
      </c>
      <c r="Q79" s="75">
        <v>3.7103944341042805</v>
      </c>
      <c r="R79" s="75">
        <v>165.23580520232395</v>
      </c>
      <c r="S79" s="75">
        <v>166.99007710494388</v>
      </c>
      <c r="T79" s="75">
        <v>106.28376466500248</v>
      </c>
      <c r="U79" s="75">
        <v>105.16722767103167</v>
      </c>
      <c r="V79" s="75">
        <v>104.3916610011852</v>
      </c>
      <c r="W79" s="75">
        <v>107.04471774067508</v>
      </c>
      <c r="X79" s="75">
        <v>94.659704527096082</v>
      </c>
      <c r="Y79" s="77">
        <v>95.664685619171422</v>
      </c>
      <c r="Z79" s="521"/>
      <c r="AA79" s="507"/>
      <c r="AB79" s="508"/>
      <c r="AC79" s="511"/>
      <c r="AD79" s="511"/>
      <c r="AE79" s="509"/>
      <c r="AF79" s="514"/>
      <c r="AG79" s="513"/>
      <c r="AH79" s="511"/>
      <c r="AI79" s="511"/>
      <c r="AN79" s="506"/>
      <c r="AO79" s="506"/>
    </row>
    <row r="80" spans="1:41" x14ac:dyDescent="0.25">
      <c r="A80" s="7"/>
      <c r="B80" s="47" t="s">
        <v>119</v>
      </c>
      <c r="C80" s="75">
        <v>34.4488293</v>
      </c>
      <c r="D80" s="75">
        <v>60.470207899999998</v>
      </c>
      <c r="E80" s="75">
        <v>29.932811649999994</v>
      </c>
      <c r="F80" s="75">
        <v>1.8513069499999999</v>
      </c>
      <c r="G80" s="75">
        <v>5.0999999999999988</v>
      </c>
      <c r="H80" s="75">
        <v>63.719923999999999</v>
      </c>
      <c r="I80" s="75">
        <v>31.86742273918922</v>
      </c>
      <c r="J80" s="75">
        <v>1097.7954051691067</v>
      </c>
      <c r="K80" s="76">
        <v>46.399146493511616</v>
      </c>
      <c r="L80" s="76">
        <v>55.996963302053459</v>
      </c>
      <c r="M80" s="75">
        <v>404.73311939999996</v>
      </c>
      <c r="N80" s="75">
        <v>327.35324099999997</v>
      </c>
      <c r="O80" s="75">
        <v>77.379878399999996</v>
      </c>
      <c r="P80" s="75">
        <v>46.727696900000005</v>
      </c>
      <c r="Q80" s="75">
        <v>2.8361767941614824</v>
      </c>
      <c r="R80" s="75">
        <v>166.78860112534645</v>
      </c>
      <c r="S80" s="75">
        <v>168.52925321857364</v>
      </c>
      <c r="T80" s="75">
        <v>106.47470789324366</v>
      </c>
      <c r="U80" s="75">
        <v>105.37498523487562</v>
      </c>
      <c r="V80" s="75">
        <v>105.17371348878308</v>
      </c>
      <c r="W80" s="75">
        <v>107.2611980788397</v>
      </c>
      <c r="X80" s="75">
        <v>95.058257383311428</v>
      </c>
      <c r="Y80" s="77">
        <v>96.050311717818573</v>
      </c>
      <c r="Z80" s="521"/>
      <c r="AA80" s="507"/>
      <c r="AB80" s="508"/>
      <c r="AC80" s="511"/>
      <c r="AD80" s="511"/>
      <c r="AE80" s="509"/>
      <c r="AF80" s="514"/>
      <c r="AG80" s="513"/>
      <c r="AH80" s="511"/>
      <c r="AI80" s="511"/>
      <c r="AN80" s="506"/>
      <c r="AO80" s="506"/>
    </row>
    <row r="81" spans="1:41" x14ac:dyDescent="0.25">
      <c r="A81" s="7"/>
      <c r="B81" s="47" t="s">
        <v>120</v>
      </c>
      <c r="C81" s="75">
        <v>34.4569057</v>
      </c>
      <c r="D81" s="75">
        <v>60.407943500000002</v>
      </c>
      <c r="E81" s="75">
        <v>29.928421830000001</v>
      </c>
      <c r="F81" s="75">
        <v>1.8593945799999998</v>
      </c>
      <c r="G81" s="75">
        <v>5.12</v>
      </c>
      <c r="H81" s="75">
        <v>63.6677313</v>
      </c>
      <c r="I81" s="75">
        <v>31.871183117745691</v>
      </c>
      <c r="J81" s="75">
        <v>1098.1823522109464</v>
      </c>
      <c r="K81" s="76">
        <v>46.337528766323899</v>
      </c>
      <c r="L81" s="76">
        <v>55.885802588854915</v>
      </c>
      <c r="M81" s="75">
        <v>407.16821110000001</v>
      </c>
      <c r="N81" s="75">
        <v>329.541853</v>
      </c>
      <c r="O81" s="75">
        <v>77.626358100000004</v>
      </c>
      <c r="P81" s="75">
        <v>47.1768784</v>
      </c>
      <c r="Q81" s="75">
        <v>3.2961318363762704</v>
      </c>
      <c r="R81" s="75">
        <v>167.9283408082353</v>
      </c>
      <c r="S81" s="75">
        <v>169.66086743778342</v>
      </c>
      <c r="T81" s="75">
        <v>106.71268348847822</v>
      </c>
      <c r="U81" s="75">
        <v>105.6229652911767</v>
      </c>
      <c r="V81" s="75">
        <v>105.22524508384898</v>
      </c>
      <c r="W81" s="75">
        <v>107.1368291830676</v>
      </c>
      <c r="X81" s="75">
        <v>94.411079209852218</v>
      </c>
      <c r="Y81" s="77">
        <v>95.385123900987594</v>
      </c>
      <c r="Z81" s="521"/>
      <c r="AA81" s="507"/>
      <c r="AB81" s="508"/>
      <c r="AC81" s="511"/>
      <c r="AD81" s="511"/>
      <c r="AE81" s="509"/>
      <c r="AF81" s="514"/>
      <c r="AG81" s="513"/>
      <c r="AH81" s="511"/>
      <c r="AI81" s="511"/>
      <c r="AN81" s="506"/>
      <c r="AO81" s="506"/>
    </row>
    <row r="82" spans="1:41" x14ac:dyDescent="0.25">
      <c r="A82" s="7"/>
      <c r="B82" s="47" t="s">
        <v>121</v>
      </c>
      <c r="C82" s="75">
        <v>34.480264499999997</v>
      </c>
      <c r="D82" s="75">
        <v>60.365123199999999</v>
      </c>
      <c r="E82" s="75">
        <v>29.937295540000001</v>
      </c>
      <c r="F82" s="75">
        <v>1.85682529</v>
      </c>
      <c r="G82" s="75">
        <v>5.1100000000000012</v>
      </c>
      <c r="H82" s="75">
        <v>63.615895500000001</v>
      </c>
      <c r="I82" s="75">
        <v>31.867851822562987</v>
      </c>
      <c r="J82" s="75">
        <v>1098.811958317847</v>
      </c>
      <c r="K82" s="76">
        <v>46.311281476584881</v>
      </c>
      <c r="L82" s="76">
        <v>55.861046281184656</v>
      </c>
      <c r="M82" s="75">
        <v>409.7781081</v>
      </c>
      <c r="N82" s="75">
        <v>331.58548400000001</v>
      </c>
      <c r="O82" s="75">
        <v>78.192624100000003</v>
      </c>
      <c r="P82" s="75">
        <v>47.607166100000001</v>
      </c>
      <c r="Q82" s="75">
        <v>3.0707577660078478</v>
      </c>
      <c r="R82" s="75">
        <v>168.91965249620344</v>
      </c>
      <c r="S82" s="75">
        <v>170.68024668442482</v>
      </c>
      <c r="T82" s="75">
        <v>106.94747044866237</v>
      </c>
      <c r="U82" s="75">
        <v>105.84428995379672</v>
      </c>
      <c r="V82" s="75">
        <v>105.51017627675756</v>
      </c>
      <c r="W82" s="75">
        <v>107.12082684663072</v>
      </c>
      <c r="X82" s="75">
        <v>94.456536945725489</v>
      </c>
      <c r="Y82" s="77">
        <v>95.441026479824487</v>
      </c>
      <c r="Z82" s="521"/>
      <c r="AA82" s="507"/>
      <c r="AB82" s="508"/>
      <c r="AC82" s="511"/>
      <c r="AD82" s="511"/>
      <c r="AE82" s="509"/>
      <c r="AF82" s="514"/>
      <c r="AG82" s="513"/>
      <c r="AH82" s="511"/>
      <c r="AI82" s="511"/>
      <c r="AN82" s="506"/>
      <c r="AO82" s="506"/>
    </row>
    <row r="83" spans="1:41" x14ac:dyDescent="0.25">
      <c r="A83" s="7"/>
      <c r="B83" s="47" t="s">
        <v>122</v>
      </c>
      <c r="C83" s="75">
        <v>34.518090999999998</v>
      </c>
      <c r="D83" s="75">
        <v>60.347715600000001</v>
      </c>
      <c r="E83" s="75">
        <v>29.95871047</v>
      </c>
      <c r="F83" s="75">
        <v>1.84353441</v>
      </c>
      <c r="G83" s="75">
        <v>5.07</v>
      </c>
      <c r="H83" s="75">
        <v>63.5707527</v>
      </c>
      <c r="I83" s="75">
        <v>31.8638112811757</v>
      </c>
      <c r="J83" s="75">
        <v>1099.8779382499822</v>
      </c>
      <c r="K83" s="76">
        <v>46.209799071439747</v>
      </c>
      <c r="L83" s="76">
        <v>55.741853700742062</v>
      </c>
      <c r="M83" s="75">
        <v>412.29225710000003</v>
      </c>
      <c r="N83" s="75">
        <v>333.57526200000001</v>
      </c>
      <c r="O83" s="75">
        <v>78.716995100000005</v>
      </c>
      <c r="P83" s="75">
        <v>48.031502600000003</v>
      </c>
      <c r="Q83" s="75">
        <v>2.7693933571593776</v>
      </c>
      <c r="R83" s="75">
        <v>169.81183461524594</v>
      </c>
      <c r="S83" s="75">
        <v>171.60348541987602</v>
      </c>
      <c r="T83" s="75">
        <v>107.26145015475977</v>
      </c>
      <c r="U83" s="75">
        <v>106.14157171201268</v>
      </c>
      <c r="V83" s="75">
        <v>105.65534423132569</v>
      </c>
      <c r="W83" s="75">
        <v>107.11366561925063</v>
      </c>
      <c r="X83" s="75">
        <v>94.54855652375953</v>
      </c>
      <c r="Y83" s="77">
        <v>95.546119489592925</v>
      </c>
      <c r="Z83" s="521"/>
      <c r="AA83" s="507"/>
      <c r="AB83" s="508"/>
      <c r="AC83" s="511"/>
      <c r="AD83" s="511"/>
      <c r="AE83" s="509"/>
      <c r="AF83" s="514"/>
      <c r="AG83" s="513"/>
      <c r="AH83" s="511"/>
      <c r="AI83" s="511"/>
      <c r="AN83" s="506"/>
      <c r="AO83" s="506"/>
    </row>
    <row r="84" spans="1:41" x14ac:dyDescent="0.25">
      <c r="A84" s="7"/>
      <c r="B84" s="47" t="s">
        <v>123</v>
      </c>
      <c r="C84" s="75">
        <v>34.5706159</v>
      </c>
      <c r="D84" s="75">
        <v>60.356017399999999</v>
      </c>
      <c r="E84" s="75">
        <v>29.992852439999997</v>
      </c>
      <c r="F84" s="75">
        <v>1.8156759600000001</v>
      </c>
      <c r="G84" s="75">
        <v>4.99</v>
      </c>
      <c r="H84" s="75">
        <v>63.525962999999997</v>
      </c>
      <c r="I84" s="75">
        <v>31.852688412564337</v>
      </c>
      <c r="J84" s="75">
        <v>1101.1670567686497</v>
      </c>
      <c r="K84" s="76">
        <v>46.083969963967469</v>
      </c>
      <c r="L84" s="76">
        <v>55.589122632225731</v>
      </c>
      <c r="M84" s="75">
        <v>414.83118010000004</v>
      </c>
      <c r="N84" s="75">
        <v>335.61252100000002</v>
      </c>
      <c r="O84" s="75">
        <v>79.218659100000011</v>
      </c>
      <c r="P84" s="75">
        <v>48.464456400000003</v>
      </c>
      <c r="Q84" s="75">
        <v>2.3178137922507336</v>
      </c>
      <c r="R84" s="75">
        <v>170.65445032613175</v>
      </c>
      <c r="S84" s="75">
        <v>172.51521219583773</v>
      </c>
      <c r="T84" s="75">
        <v>107.60738414825147</v>
      </c>
      <c r="U84" s="75">
        <v>106.44672296858069</v>
      </c>
      <c r="V84" s="75">
        <v>105.706891537776</v>
      </c>
      <c r="W84" s="75">
        <v>107.10420985443774</v>
      </c>
      <c r="X84" s="75">
        <v>95.013877881492419</v>
      </c>
      <c r="Y84" s="77">
        <v>96.04987899788226</v>
      </c>
      <c r="Z84" s="521"/>
      <c r="AA84" s="507"/>
      <c r="AB84" s="508"/>
      <c r="AC84" s="511"/>
      <c r="AD84" s="511"/>
      <c r="AE84" s="509"/>
      <c r="AF84" s="514"/>
      <c r="AG84" s="513"/>
      <c r="AH84" s="511"/>
      <c r="AI84" s="511"/>
      <c r="AN84" s="506"/>
      <c r="AO84" s="506"/>
    </row>
    <row r="85" spans="1:41" x14ac:dyDescent="0.25">
      <c r="A85" s="196"/>
      <c r="B85" s="47" t="s">
        <v>124</v>
      </c>
      <c r="C85" s="75">
        <v>34.626946199999999</v>
      </c>
      <c r="D85" s="75">
        <v>60.370930999999999</v>
      </c>
      <c r="E85" s="75">
        <v>30.030259859999997</v>
      </c>
      <c r="F85" s="75">
        <v>1.7841433899999999</v>
      </c>
      <c r="G85" s="75">
        <v>4.9000000000000012</v>
      </c>
      <c r="H85" s="75">
        <v>63.481525699999999</v>
      </c>
      <c r="I85" s="75">
        <v>31.846593542671389</v>
      </c>
      <c r="J85" s="75">
        <v>1102.7502813994702</v>
      </c>
      <c r="K85" s="76">
        <v>45.951521082703316</v>
      </c>
      <c r="L85" s="76">
        <v>55.430881447236715</v>
      </c>
      <c r="M85" s="75">
        <v>417.44120499999997</v>
      </c>
      <c r="N85" s="75">
        <v>337.69027299999999</v>
      </c>
      <c r="O85" s="75">
        <v>79.750932000000006</v>
      </c>
      <c r="P85" s="75">
        <v>48.9050765</v>
      </c>
      <c r="Q85" s="75">
        <v>2.1251477728642554</v>
      </c>
      <c r="R85" s="75">
        <v>171.4970662029294</v>
      </c>
      <c r="S85" s="75">
        <v>173.40019504237074</v>
      </c>
      <c r="T85" s="75">
        <v>107.94688156941682</v>
      </c>
      <c r="U85" s="75">
        <v>106.7621261928803</v>
      </c>
      <c r="V85" s="75">
        <v>105.72992442728105</v>
      </c>
      <c r="W85" s="75">
        <v>107.12257236254401</v>
      </c>
      <c r="X85" s="75">
        <v>94.401342938498658</v>
      </c>
      <c r="Y85" s="77">
        <v>95.448928895541513</v>
      </c>
      <c r="Z85" s="521"/>
      <c r="AA85" s="507"/>
      <c r="AB85" s="508"/>
      <c r="AC85" s="511"/>
      <c r="AD85" s="511"/>
      <c r="AE85" s="509"/>
      <c r="AF85" s="514"/>
      <c r="AG85" s="513"/>
      <c r="AH85" s="511"/>
      <c r="AI85" s="511"/>
      <c r="AN85" s="506"/>
      <c r="AO85" s="506"/>
    </row>
    <row r="86" spans="1:41" x14ac:dyDescent="0.25">
      <c r="A86" s="196"/>
      <c r="B86" s="47" t="s">
        <v>125</v>
      </c>
      <c r="C86" s="75">
        <v>34.688705800000008</v>
      </c>
      <c r="D86" s="75">
        <v>60.393896300000002</v>
      </c>
      <c r="E86" s="75">
        <v>30.072336760000013</v>
      </c>
      <c r="F86" s="75">
        <v>1.7490103799999999</v>
      </c>
      <c r="G86" s="75">
        <v>4.8</v>
      </c>
      <c r="H86" s="75">
        <v>63.438966700000002</v>
      </c>
      <c r="I86" s="75">
        <v>31.832243527850391</v>
      </c>
      <c r="J86" s="75">
        <v>1104.2193301561194</v>
      </c>
      <c r="K86" s="76">
        <v>45.834710254922165</v>
      </c>
      <c r="L86" s="76">
        <v>55.297018045811498</v>
      </c>
      <c r="M86" s="75">
        <v>420.35485370000004</v>
      </c>
      <c r="N86" s="75">
        <v>339.975233</v>
      </c>
      <c r="O86" s="75">
        <v>80.379620700000004</v>
      </c>
      <c r="P86" s="75">
        <v>49.377629599999999</v>
      </c>
      <c r="Q86" s="75">
        <v>2.0697753107321581</v>
      </c>
      <c r="R86" s="75">
        <v>172.41590975854442</v>
      </c>
      <c r="S86" s="75">
        <v>174.4078229788548</v>
      </c>
      <c r="T86" s="75">
        <v>108.29023901154319</v>
      </c>
      <c r="U86" s="75">
        <v>107.05345525799642</v>
      </c>
      <c r="V86" s="75">
        <v>105.77226660819245</v>
      </c>
      <c r="W86" s="75">
        <v>107.19490927379469</v>
      </c>
      <c r="X86" s="75">
        <v>94.534686831544633</v>
      </c>
      <c r="Y86" s="77">
        <v>95.626841799965774</v>
      </c>
      <c r="Z86" s="521"/>
      <c r="AA86" s="507"/>
      <c r="AB86" s="508"/>
      <c r="AC86" s="511"/>
      <c r="AD86" s="511"/>
      <c r="AE86" s="509"/>
      <c r="AF86" s="514"/>
      <c r="AG86" s="513"/>
      <c r="AH86" s="511"/>
      <c r="AI86" s="511"/>
      <c r="AN86" s="506"/>
      <c r="AO86" s="506"/>
    </row>
    <row r="87" spans="1:41" x14ac:dyDescent="0.25">
      <c r="A87" s="196"/>
      <c r="B87" s="47" t="s">
        <v>126</v>
      </c>
      <c r="C87" s="75">
        <v>34.7478348</v>
      </c>
      <c r="D87" s="75">
        <v>60.412223900000001</v>
      </c>
      <c r="E87" s="75">
        <v>30.112093119999997</v>
      </c>
      <c r="F87" s="75">
        <v>1.71751812</v>
      </c>
      <c r="G87" s="75">
        <v>4.71</v>
      </c>
      <c r="H87" s="75">
        <v>63.398282999999999</v>
      </c>
      <c r="I87" s="75">
        <v>31.818877989247245</v>
      </c>
      <c r="J87" s="75">
        <v>1105.6371159070302</v>
      </c>
      <c r="K87" s="76">
        <v>45.734823769192076</v>
      </c>
      <c r="L87" s="76">
        <v>55.195672763155287</v>
      </c>
      <c r="M87" s="75">
        <v>423.47874960000001</v>
      </c>
      <c r="N87" s="75">
        <v>342.34504300000003</v>
      </c>
      <c r="O87" s="75">
        <v>81.133706600000011</v>
      </c>
      <c r="P87" s="75">
        <v>49.864554200000001</v>
      </c>
      <c r="Q87" s="75">
        <v>2.1062623969532845</v>
      </c>
      <c r="R87" s="75">
        <v>173.38851743332339</v>
      </c>
      <c r="S87" s="75">
        <v>175.46534052017003</v>
      </c>
      <c r="T87" s="75">
        <v>108.63444998213005</v>
      </c>
      <c r="U87" s="75">
        <v>107.34864315317029</v>
      </c>
      <c r="V87" s="75">
        <v>105.89147411863222</v>
      </c>
      <c r="W87" s="75">
        <v>107.29910451131063</v>
      </c>
      <c r="X87" s="75">
        <v>94.727153164098027</v>
      </c>
      <c r="Y87" s="77">
        <v>95.861781578682056</v>
      </c>
      <c r="Z87" s="521"/>
      <c r="AA87" s="507"/>
      <c r="AB87" s="508"/>
      <c r="AC87" s="511"/>
      <c r="AD87" s="511"/>
      <c r="AE87" s="509"/>
      <c r="AF87" s="514"/>
      <c r="AG87" s="513"/>
      <c r="AH87" s="511"/>
      <c r="AI87" s="511"/>
      <c r="AN87" s="506"/>
      <c r="AO87" s="506"/>
    </row>
    <row r="88" spans="1:41" x14ac:dyDescent="0.25">
      <c r="A88" s="196"/>
      <c r="B88" s="47" t="s">
        <v>127</v>
      </c>
      <c r="C88" s="75">
        <v>34.8078085</v>
      </c>
      <c r="D88" s="75">
        <v>60.431966699999997</v>
      </c>
      <c r="E88" s="75">
        <v>30.152542050000001</v>
      </c>
      <c r="F88" s="75">
        <v>1.6898411799999999</v>
      </c>
      <c r="G88" s="75">
        <v>4.63</v>
      </c>
      <c r="H88" s="75">
        <v>63.365803399999997</v>
      </c>
      <c r="I88" s="75">
        <v>31.806178474546009</v>
      </c>
      <c r="J88" s="75">
        <v>1107.1033686201756</v>
      </c>
      <c r="K88" s="76">
        <v>45.634803352446511</v>
      </c>
      <c r="L88" s="76">
        <v>55.106186919750499</v>
      </c>
      <c r="M88" s="75">
        <v>426.7226799</v>
      </c>
      <c r="N88" s="75">
        <v>344.72488199999998</v>
      </c>
      <c r="O88" s="75">
        <v>81.997797900000009</v>
      </c>
      <c r="P88" s="75">
        <v>50.355029600000002</v>
      </c>
      <c r="Q88" s="75">
        <v>2.1711579850560936</v>
      </c>
      <c r="R88" s="75">
        <v>174.35962805124115</v>
      </c>
      <c r="S88" s="75">
        <v>176.51853484199819</v>
      </c>
      <c r="T88" s="75">
        <v>108.98974150839251</v>
      </c>
      <c r="U88" s="75">
        <v>107.65674437189229</v>
      </c>
      <c r="V88" s="75">
        <v>106.0571358284182</v>
      </c>
      <c r="W88" s="75">
        <v>107.41124237840158</v>
      </c>
      <c r="X88" s="75">
        <v>95.154158660564008</v>
      </c>
      <c r="Y88" s="77">
        <v>96.33234974526097</v>
      </c>
      <c r="Z88" s="521"/>
      <c r="AA88" s="507"/>
      <c r="AB88" s="508"/>
      <c r="AC88" s="511"/>
      <c r="AD88" s="511"/>
      <c r="AE88" s="509"/>
      <c r="AF88" s="514"/>
      <c r="AG88" s="513"/>
      <c r="AH88" s="511"/>
      <c r="AI88" s="511"/>
      <c r="AN88" s="506"/>
      <c r="AO88" s="506"/>
    </row>
    <row r="89" spans="1:41" x14ac:dyDescent="0.25">
      <c r="A89" s="196"/>
      <c r="B89" s="47" t="s">
        <v>128</v>
      </c>
      <c r="C89" s="75">
        <v>34.868812800000001</v>
      </c>
      <c r="D89" s="75">
        <v>60.453441300000001</v>
      </c>
      <c r="E89" s="75">
        <v>30.193843699999999</v>
      </c>
      <c r="F89" s="75">
        <v>1.6621592299999999</v>
      </c>
      <c r="G89" s="75">
        <v>4.55</v>
      </c>
      <c r="H89" s="75">
        <v>63.335192599999999</v>
      </c>
      <c r="I89" s="75">
        <v>31.793827065465145</v>
      </c>
      <c r="J89" s="75">
        <v>1108.6130028868247</v>
      </c>
      <c r="K89" s="76">
        <v>45.554193205400161</v>
      </c>
      <c r="L89" s="76">
        <v>55.044655347545358</v>
      </c>
      <c r="M89" s="75">
        <v>430.11601389999998</v>
      </c>
      <c r="N89" s="75">
        <v>347.18908399999998</v>
      </c>
      <c r="O89" s="75">
        <v>82.926929900000005</v>
      </c>
      <c r="P89" s="75">
        <v>50.859960400000013</v>
      </c>
      <c r="Q89" s="75">
        <v>2.2558583420593248</v>
      </c>
      <c r="R89" s="75">
        <v>175.36579707725517</v>
      </c>
      <c r="S89" s="75">
        <v>177.60613260745879</v>
      </c>
      <c r="T89" s="75">
        <v>109.32838703027936</v>
      </c>
      <c r="U89" s="75">
        <v>107.9493114593369</v>
      </c>
      <c r="V89" s="75">
        <v>106.26956160096465</v>
      </c>
      <c r="W89" s="75">
        <v>107.5525165248381</v>
      </c>
      <c r="X89" s="75">
        <v>94.517836567824844</v>
      </c>
      <c r="Y89" s="77">
        <v>95.725322126753881</v>
      </c>
      <c r="Z89" s="521"/>
      <c r="AA89" s="507"/>
      <c r="AB89" s="508"/>
      <c r="AC89" s="511"/>
      <c r="AD89" s="511"/>
      <c r="AE89" s="509"/>
      <c r="AF89" s="514"/>
      <c r="AG89" s="513"/>
      <c r="AH89" s="511"/>
      <c r="AI89" s="511"/>
      <c r="AN89" s="506"/>
      <c r="AO89" s="506"/>
    </row>
    <row r="90" spans="1:41" x14ac:dyDescent="0.25">
      <c r="A90" s="196"/>
      <c r="B90" s="47" t="s">
        <v>129</v>
      </c>
      <c r="C90" s="75">
        <v>34.934517</v>
      </c>
      <c r="D90" s="75">
        <v>60.481120199999999</v>
      </c>
      <c r="E90" s="75">
        <v>30.23917316</v>
      </c>
      <c r="F90" s="75">
        <v>1.6384698100000001</v>
      </c>
      <c r="G90" s="75">
        <v>4.4800000000000004</v>
      </c>
      <c r="H90" s="75">
        <v>63.317755599999998</v>
      </c>
      <c r="I90" s="75">
        <v>31.780065625664712</v>
      </c>
      <c r="J90" s="75">
        <v>1110.2212436190923</v>
      </c>
      <c r="K90" s="76">
        <v>45.498441902807102</v>
      </c>
      <c r="L90" s="76">
        <v>55.006488911107567</v>
      </c>
      <c r="M90" s="75">
        <v>433.61161979999997</v>
      </c>
      <c r="N90" s="75">
        <v>349.77833299999998</v>
      </c>
      <c r="O90" s="75">
        <v>83.833286799999996</v>
      </c>
      <c r="P90" s="75">
        <v>51.385431299999986</v>
      </c>
      <c r="Q90" s="75">
        <v>2.3158432061655798</v>
      </c>
      <c r="R90" s="75">
        <v>176.40879189103626</v>
      </c>
      <c r="S90" s="75">
        <v>178.73981651894579</v>
      </c>
      <c r="T90" s="75">
        <v>109.64199805248556</v>
      </c>
      <c r="U90" s="75">
        <v>108.21210855130515</v>
      </c>
      <c r="V90" s="75">
        <v>106.49127018311722</v>
      </c>
      <c r="W90" s="75">
        <v>107.70257412863712</v>
      </c>
      <c r="X90" s="75">
        <v>94.70040010019035</v>
      </c>
      <c r="Y90" s="77">
        <v>95.951749097822912</v>
      </c>
      <c r="Z90" s="521"/>
      <c r="AA90" s="507"/>
      <c r="AB90" s="508"/>
      <c r="AC90" s="511"/>
      <c r="AD90" s="511"/>
      <c r="AE90" s="509"/>
      <c r="AF90" s="514"/>
      <c r="AG90" s="513"/>
      <c r="AH90" s="511"/>
      <c r="AI90" s="511"/>
      <c r="AN90" s="506"/>
      <c r="AO90" s="506"/>
    </row>
    <row r="91" spans="1:41" x14ac:dyDescent="0.25">
      <c r="A91" s="196"/>
      <c r="B91" s="47" t="s">
        <v>130</v>
      </c>
      <c r="C91" s="75">
        <v>34.996873200000003</v>
      </c>
      <c r="D91" s="75">
        <v>60.502932199999996</v>
      </c>
      <c r="E91" s="75">
        <v>30.281562210000004</v>
      </c>
      <c r="F91" s="75">
        <v>1.6183948499999998</v>
      </c>
      <c r="G91" s="75">
        <v>4.42</v>
      </c>
      <c r="H91" s="75">
        <v>63.300828899999999</v>
      </c>
      <c r="I91" s="75">
        <v>31.764894155144599</v>
      </c>
      <c r="J91" s="75">
        <v>1111.6719742940379</v>
      </c>
      <c r="K91" s="76">
        <v>45.443278013873098</v>
      </c>
      <c r="L91" s="76">
        <v>54.958747853381794</v>
      </c>
      <c r="M91" s="75">
        <v>437.01916360000007</v>
      </c>
      <c r="N91" s="75">
        <v>352.36623300000002</v>
      </c>
      <c r="O91" s="75">
        <v>84.652930600000019</v>
      </c>
      <c r="P91" s="75">
        <v>51.9129802</v>
      </c>
      <c r="Q91" s="75">
        <v>2.3511927536590704</v>
      </c>
      <c r="R91" s="75">
        <v>177.46521569089256</v>
      </c>
      <c r="S91" s="75">
        <v>179.89608016122565</v>
      </c>
      <c r="T91" s="75">
        <v>109.95638505408807</v>
      </c>
      <c r="U91" s="75">
        <v>108.47058816982916</v>
      </c>
      <c r="V91" s="75">
        <v>106.67685829257395</v>
      </c>
      <c r="W91" s="75">
        <v>107.84918327416841</v>
      </c>
      <c r="X91" s="75">
        <v>94.93228136287857</v>
      </c>
      <c r="Y91" s="77">
        <v>96.232634837525794</v>
      </c>
      <c r="Z91" s="521"/>
      <c r="AA91" s="507"/>
      <c r="AB91" s="508"/>
      <c r="AC91" s="511"/>
      <c r="AD91" s="511"/>
      <c r="AE91" s="509"/>
      <c r="AF91" s="514"/>
      <c r="AG91" s="513"/>
      <c r="AH91" s="511"/>
      <c r="AI91" s="511"/>
      <c r="AN91" s="506"/>
      <c r="AO91" s="506"/>
    </row>
    <row r="92" spans="1:41" x14ac:dyDescent="0.25">
      <c r="A92" s="196"/>
      <c r="B92" s="47" t="s">
        <v>131</v>
      </c>
      <c r="C92" s="75">
        <v>35.071883500000013</v>
      </c>
      <c r="D92" s="75">
        <v>60.546527699999999</v>
      </c>
      <c r="E92" s="75">
        <v>30.334854950000011</v>
      </c>
      <c r="F92" s="75">
        <v>1.5950098599999998</v>
      </c>
      <c r="G92" s="75">
        <v>4.3499999999999988</v>
      </c>
      <c r="H92" s="75">
        <v>63.300081200000001</v>
      </c>
      <c r="I92" s="75">
        <v>31.752130542375575</v>
      </c>
      <c r="J92" s="75">
        <v>1113.6070217247204</v>
      </c>
      <c r="K92" s="76">
        <v>45.400669535391216</v>
      </c>
      <c r="L92" s="76">
        <v>54.910896251374574</v>
      </c>
      <c r="M92" s="75">
        <v>440.52683969999998</v>
      </c>
      <c r="N92" s="75">
        <v>355.14272799999998</v>
      </c>
      <c r="O92" s="75">
        <v>85.384111699999991</v>
      </c>
      <c r="P92" s="75">
        <v>52.470671199999998</v>
      </c>
      <c r="Q92" s="75">
        <v>2.4029113358611243</v>
      </c>
      <c r="R92" s="75">
        <v>178.5493353188497</v>
      </c>
      <c r="S92" s="75">
        <v>181.06780550029885</v>
      </c>
      <c r="T92" s="75">
        <v>110.23665470332782</v>
      </c>
      <c r="U92" s="75">
        <v>108.7033740990455</v>
      </c>
      <c r="V92" s="75">
        <v>106.81896689146089</v>
      </c>
      <c r="W92" s="75">
        <v>107.99037404738552</v>
      </c>
      <c r="X92" s="75">
        <v>95.423792417058905</v>
      </c>
      <c r="Y92" s="77">
        <v>96.76976200789484</v>
      </c>
      <c r="Z92" s="521"/>
      <c r="AA92" s="507"/>
      <c r="AB92" s="508"/>
      <c r="AC92" s="511"/>
      <c r="AD92" s="511"/>
      <c r="AE92" s="509"/>
      <c r="AF92" s="514"/>
      <c r="AG92" s="513"/>
      <c r="AH92" s="511"/>
      <c r="AI92" s="511"/>
      <c r="AN92" s="506"/>
      <c r="AO92" s="506"/>
    </row>
    <row r="93" spans="1:41" x14ac:dyDescent="0.25">
      <c r="A93" s="196"/>
      <c r="B93" s="47" t="s">
        <v>132</v>
      </c>
      <c r="C93" s="75">
        <v>35.140006</v>
      </c>
      <c r="D93" s="75">
        <v>60.578125800000002</v>
      </c>
      <c r="E93" s="75">
        <v>30.382114210000005</v>
      </c>
      <c r="F93" s="75">
        <v>1.5750770600000001</v>
      </c>
      <c r="G93" s="75">
        <v>4.29</v>
      </c>
      <c r="H93" s="75">
        <v>63.293413200000003</v>
      </c>
      <c r="I93" s="75">
        <v>31.740077514513963</v>
      </c>
      <c r="J93" s="75">
        <v>1115.3465147324898</v>
      </c>
      <c r="K93" s="76">
        <v>45.363648117880253</v>
      </c>
      <c r="L93" s="76">
        <v>54.865845491481799</v>
      </c>
      <c r="M93" s="75">
        <v>444.0295046</v>
      </c>
      <c r="N93" s="75">
        <v>357.94312000000002</v>
      </c>
      <c r="O93" s="75">
        <v>86.086384600000002</v>
      </c>
      <c r="P93" s="75">
        <v>53.034710199999999</v>
      </c>
      <c r="Q93" s="75">
        <v>2.4585883228232852</v>
      </c>
      <c r="R93" s="75">
        <v>179.6773200864225</v>
      </c>
      <c r="S93" s="75">
        <v>182.28089405695957</v>
      </c>
      <c r="T93" s="75">
        <v>110.51740463542718</v>
      </c>
      <c r="U93" s="75">
        <v>108.9388507714925</v>
      </c>
      <c r="V93" s="75">
        <v>106.95996871060355</v>
      </c>
      <c r="W93" s="75">
        <v>108.14981646006599</v>
      </c>
      <c r="X93" s="75">
        <v>94.94540436028025</v>
      </c>
      <c r="Y93" s="77">
        <v>96.321189480492563</v>
      </c>
      <c r="Z93" s="521"/>
      <c r="AA93" s="507"/>
      <c r="AB93" s="508"/>
      <c r="AC93" s="511"/>
      <c r="AD93" s="511"/>
      <c r="AE93" s="509"/>
      <c r="AF93" s="514"/>
      <c r="AG93" s="513"/>
      <c r="AH93" s="511"/>
      <c r="AI93" s="511"/>
      <c r="AN93" s="506"/>
      <c r="AO93" s="506"/>
    </row>
    <row r="94" spans="1:41" x14ac:dyDescent="0.25">
      <c r="A94" s="196"/>
      <c r="B94" s="47" t="s">
        <v>133</v>
      </c>
      <c r="C94" s="75">
        <v>35.206641600000005</v>
      </c>
      <c r="D94" s="75">
        <v>60.608347000000002</v>
      </c>
      <c r="E94" s="75">
        <v>30.428014460000004</v>
      </c>
      <c r="F94" s="75">
        <v>1.5550182099999998</v>
      </c>
      <c r="G94" s="75">
        <v>4.2300000000000004</v>
      </c>
      <c r="H94" s="75">
        <v>63.285315900000001</v>
      </c>
      <c r="I94" s="75">
        <v>31.728734250457233</v>
      </c>
      <c r="J94" s="75">
        <v>1117.0621754034285</v>
      </c>
      <c r="K94" s="76">
        <v>45.334674733579696</v>
      </c>
      <c r="L94" s="76">
        <v>54.823104134213985</v>
      </c>
      <c r="M94" s="75">
        <v>447.56209909999995</v>
      </c>
      <c r="N94" s="75">
        <v>360.82190299999996</v>
      </c>
      <c r="O94" s="75">
        <v>86.740196100000006</v>
      </c>
      <c r="P94" s="75">
        <v>53.613237999999996</v>
      </c>
      <c r="Q94" s="75">
        <v>2.5170940127299923</v>
      </c>
      <c r="R94" s="75">
        <v>180.84916702965481</v>
      </c>
      <c r="S94" s="75">
        <v>183.53531320812041</v>
      </c>
      <c r="T94" s="75">
        <v>110.79692877097438</v>
      </c>
      <c r="U94" s="75">
        <v>109.17535127453642</v>
      </c>
      <c r="V94" s="75">
        <v>107.10178141175128</v>
      </c>
      <c r="W94" s="75">
        <v>108.31263016643878</v>
      </c>
      <c r="X94" s="75">
        <v>95.210387989152892</v>
      </c>
      <c r="Y94" s="77">
        <v>96.6245444602487</v>
      </c>
      <c r="Z94" s="521"/>
      <c r="AA94" s="507"/>
      <c r="AB94" s="508"/>
      <c r="AC94" s="511"/>
      <c r="AD94" s="511"/>
      <c r="AE94" s="509"/>
      <c r="AF94" s="514"/>
      <c r="AG94" s="513"/>
      <c r="AH94" s="511"/>
      <c r="AI94" s="511"/>
      <c r="AN94" s="506"/>
      <c r="AO94" s="506"/>
    </row>
    <row r="95" spans="1:41" x14ac:dyDescent="0.25">
      <c r="A95" s="196"/>
      <c r="B95" s="47" t="s">
        <v>134</v>
      </c>
      <c r="C95" s="75">
        <v>35.265162400000001</v>
      </c>
      <c r="D95" s="75">
        <v>60.624533800000002</v>
      </c>
      <c r="E95" s="75">
        <v>30.466830890000001</v>
      </c>
      <c r="F95" s="75">
        <v>1.5422297300000001</v>
      </c>
      <c r="G95" s="75">
        <v>4.1900000000000004</v>
      </c>
      <c r="H95" s="75">
        <v>63.275789400000001</v>
      </c>
      <c r="I95" s="75">
        <v>31.718099976740543</v>
      </c>
      <c r="J95" s="75">
        <v>1118.5439452252726</v>
      </c>
      <c r="K95" s="76">
        <v>45.303133292127242</v>
      </c>
      <c r="L95" s="76">
        <v>54.779576840618141</v>
      </c>
      <c r="M95" s="75">
        <v>451.06502820000003</v>
      </c>
      <c r="N95" s="75">
        <v>363.66004900000001</v>
      </c>
      <c r="O95" s="75">
        <v>87.4049792</v>
      </c>
      <c r="P95" s="75">
        <v>54.188630500000002</v>
      </c>
      <c r="Q95" s="75">
        <v>2.5775456918353701</v>
      </c>
      <c r="R95" s="75">
        <v>182.03946271243947</v>
      </c>
      <c r="S95" s="75">
        <v>184.80522804452414</v>
      </c>
      <c r="T95" s="75">
        <v>111.09363768139133</v>
      </c>
      <c r="U95" s="75">
        <v>109.43102810138841</v>
      </c>
      <c r="V95" s="75">
        <v>107.26248181549107</v>
      </c>
      <c r="W95" s="75">
        <v>108.48258026561567</v>
      </c>
      <c r="X95" s="75">
        <v>95.503894239662714</v>
      </c>
      <c r="Y95" s="77">
        <v>96.954905772169695</v>
      </c>
      <c r="Z95" s="521"/>
      <c r="AA95" s="507"/>
      <c r="AB95" s="508"/>
      <c r="AC95" s="511"/>
      <c r="AD95" s="511"/>
      <c r="AE95" s="509"/>
      <c r="AF95" s="514"/>
      <c r="AG95" s="513"/>
      <c r="AH95" s="511"/>
      <c r="AI95" s="511"/>
      <c r="AN95" s="506"/>
      <c r="AO95" s="506"/>
    </row>
    <row r="96" spans="1:41" x14ac:dyDescent="0.25">
      <c r="A96" s="196"/>
      <c r="B96" s="47" t="s">
        <v>135</v>
      </c>
      <c r="C96" s="75">
        <v>35.317379200000005</v>
      </c>
      <c r="D96" s="75">
        <v>60.629853599999997</v>
      </c>
      <c r="E96" s="75">
        <v>30.500135180000004</v>
      </c>
      <c r="F96" s="75">
        <v>1.5348973100000001</v>
      </c>
      <c r="G96" s="75">
        <v>4.165</v>
      </c>
      <c r="H96" s="75">
        <v>63.264833899999999</v>
      </c>
      <c r="I96" s="75">
        <v>31.708173967448843</v>
      </c>
      <c r="J96" s="75">
        <v>1119.8496022819661</v>
      </c>
      <c r="K96" s="76">
        <v>45.260770395702856</v>
      </c>
      <c r="L96" s="76">
        <v>54.728133409696987</v>
      </c>
      <c r="M96" s="75">
        <v>454.4966963</v>
      </c>
      <c r="N96" s="75">
        <v>366.40219300000001</v>
      </c>
      <c r="O96" s="75">
        <v>88.0945033</v>
      </c>
      <c r="P96" s="75">
        <v>54.752576399999995</v>
      </c>
      <c r="Q96" s="75">
        <v>2.6113251984288155</v>
      </c>
      <c r="R96" s="75">
        <v>183.21183910365798</v>
      </c>
      <c r="S96" s="75">
        <v>186.05364109563826</v>
      </c>
      <c r="T96" s="75">
        <v>111.40788245540347</v>
      </c>
      <c r="U96" s="75">
        <v>109.70622721071022</v>
      </c>
      <c r="V96" s="75">
        <v>107.42969720662158</v>
      </c>
      <c r="W96" s="75">
        <v>108.6478960555207</v>
      </c>
      <c r="X96" s="75">
        <v>95.995643840966508</v>
      </c>
      <c r="Y96" s="77">
        <v>97.484633926014041</v>
      </c>
      <c r="Z96" s="521"/>
      <c r="AA96" s="507"/>
      <c r="AB96" s="508"/>
      <c r="AC96" s="511"/>
      <c r="AD96" s="511"/>
      <c r="AE96" s="509"/>
      <c r="AF96" s="514"/>
      <c r="AG96" s="513"/>
      <c r="AH96" s="511"/>
      <c r="AI96" s="511"/>
      <c r="AN96" s="506"/>
      <c r="AO96" s="506"/>
    </row>
    <row r="97" spans="1:41" x14ac:dyDescent="0.25">
      <c r="A97" s="7"/>
      <c r="B97" s="47" t="s">
        <v>645</v>
      </c>
      <c r="C97" s="75">
        <v>35.369441000000002</v>
      </c>
      <c r="D97" s="75">
        <v>60.634892800000003</v>
      </c>
      <c r="E97" s="75">
        <v>30.533241690000001</v>
      </c>
      <c r="F97" s="75">
        <v>1.52753378</v>
      </c>
      <c r="G97" s="75">
        <v>4.1399973499999998</v>
      </c>
      <c r="H97" s="75">
        <v>63.253589699999999</v>
      </c>
      <c r="I97" s="75">
        <v>31.698955544134336</v>
      </c>
      <c r="J97" s="75">
        <v>1121.1743372972194</v>
      </c>
      <c r="K97" s="76">
        <v>45.214998377750156</v>
      </c>
      <c r="L97" s="76">
        <v>54.669525613949766</v>
      </c>
      <c r="M97" s="75">
        <v>457.87920510000004</v>
      </c>
      <c r="N97" s="75">
        <v>369.12728100000004</v>
      </c>
      <c r="O97" s="75">
        <v>88.751924100000011</v>
      </c>
      <c r="P97" s="75">
        <v>55.316797899999997</v>
      </c>
      <c r="Q97" s="75">
        <v>2.6141379204771109</v>
      </c>
      <c r="R97" s="75">
        <v>184.37433304529873</v>
      </c>
      <c r="S97" s="75">
        <v>187.28861636443386</v>
      </c>
      <c r="T97" s="75">
        <v>111.72585724165143</v>
      </c>
      <c r="U97" s="75">
        <v>109.98735975002316</v>
      </c>
      <c r="V97" s="75">
        <v>107.58873220361683</v>
      </c>
      <c r="W97" s="75">
        <v>108.79697446746594</v>
      </c>
      <c r="X97" s="75">
        <v>95.517257915253865</v>
      </c>
      <c r="Y97" s="77">
        <v>97.027036130226691</v>
      </c>
      <c r="Z97" s="521"/>
      <c r="AA97" s="507"/>
      <c r="AB97" s="508"/>
      <c r="AC97" s="511"/>
      <c r="AD97" s="511"/>
      <c r="AE97" s="509"/>
      <c r="AF97" s="514"/>
      <c r="AG97" s="513"/>
      <c r="AH97" s="511"/>
      <c r="AI97" s="511"/>
      <c r="AN97" s="506"/>
      <c r="AO97" s="506"/>
    </row>
    <row r="98" spans="1:41" x14ac:dyDescent="0.25">
      <c r="A98" s="7"/>
      <c r="B98" s="47" t="s">
        <v>646</v>
      </c>
      <c r="C98" s="75">
        <v>35.412058999999999</v>
      </c>
      <c r="D98" s="75">
        <v>60.623837999999999</v>
      </c>
      <c r="E98" s="75">
        <v>30.558134800000001</v>
      </c>
      <c r="F98" s="75">
        <v>1.52937436</v>
      </c>
      <c r="G98" s="75">
        <v>4.1399973499999998</v>
      </c>
      <c r="H98" s="75">
        <v>63.242057500000001</v>
      </c>
      <c r="I98" s="75">
        <v>31.690444075739187</v>
      </c>
      <c r="J98" s="75">
        <v>1122.223873954996</v>
      </c>
      <c r="K98" s="76">
        <v>45.181747765674672</v>
      </c>
      <c r="L98" s="76">
        <v>54.631987199963781</v>
      </c>
      <c r="M98" s="75">
        <v>461.23006359999999</v>
      </c>
      <c r="N98" s="75">
        <v>371.78155599999997</v>
      </c>
      <c r="O98" s="75">
        <v>89.448507599999999</v>
      </c>
      <c r="P98" s="75">
        <v>55.873207300000004</v>
      </c>
      <c r="Q98" s="75">
        <v>2.5986673203020061</v>
      </c>
      <c r="R98" s="75">
        <v>185.54883523229284</v>
      </c>
      <c r="S98" s="75">
        <v>188.53230583328357</v>
      </c>
      <c r="T98" s="75">
        <v>112.03140625662948</v>
      </c>
      <c r="U98" s="75">
        <v>110.25854071998616</v>
      </c>
      <c r="V98" s="75">
        <v>107.78647656031231</v>
      </c>
      <c r="W98" s="75">
        <v>108.96339628295219</v>
      </c>
      <c r="X98" s="75">
        <v>95.769498742175998</v>
      </c>
      <c r="Y98" s="77">
        <v>97.309392450542177</v>
      </c>
      <c r="Z98" s="521"/>
      <c r="AA98" s="507"/>
      <c r="AB98" s="508"/>
      <c r="AC98" s="511"/>
      <c r="AD98" s="511"/>
      <c r="AE98" s="509"/>
      <c r="AF98" s="514"/>
      <c r="AG98" s="513"/>
      <c r="AH98" s="511"/>
      <c r="AI98" s="511"/>
      <c r="AN98" s="506"/>
      <c r="AO98" s="506"/>
    </row>
    <row r="99" spans="1:41" x14ac:dyDescent="0.25">
      <c r="A99" s="7"/>
      <c r="B99" s="47" t="s">
        <v>647</v>
      </c>
      <c r="C99" s="75">
        <v>35.454497000000003</v>
      </c>
      <c r="D99" s="75">
        <v>60.612506099999997</v>
      </c>
      <c r="E99" s="75">
        <v>30.582814730000003</v>
      </c>
      <c r="F99" s="75">
        <v>1.5312071699999998</v>
      </c>
      <c r="G99" s="75">
        <v>4.1399973499999998</v>
      </c>
      <c r="H99" s="75">
        <v>63.2302362</v>
      </c>
      <c r="I99" s="75">
        <v>31.682638978523645</v>
      </c>
      <c r="J99" s="75">
        <v>1123.2920284737247</v>
      </c>
      <c r="K99" s="76">
        <v>45.152554815498107</v>
      </c>
      <c r="L99" s="76">
        <v>54.597773363509162</v>
      </c>
      <c r="M99" s="75">
        <v>464.61681600000003</v>
      </c>
      <c r="N99" s="75">
        <v>374.47612400000003</v>
      </c>
      <c r="O99" s="75">
        <v>90.140692000000001</v>
      </c>
      <c r="P99" s="75">
        <v>56.4384722</v>
      </c>
      <c r="Q99" s="75">
        <v>2.5837021435854313</v>
      </c>
      <c r="R99" s="75">
        <v>186.74282021271213</v>
      </c>
      <c r="S99" s="75">
        <v>189.79223337189111</v>
      </c>
      <c r="T99" s="75">
        <v>112.33734806739265</v>
      </c>
      <c r="U99" s="75">
        <v>110.53241133797891</v>
      </c>
      <c r="V99" s="75">
        <v>107.99256104355098</v>
      </c>
      <c r="W99" s="75">
        <v>109.13298628077706</v>
      </c>
      <c r="X99" s="75">
        <v>96.050094820367576</v>
      </c>
      <c r="Y99" s="77">
        <v>97.618542928583835</v>
      </c>
      <c r="Z99" s="521"/>
      <c r="AA99" s="507"/>
      <c r="AB99" s="508"/>
      <c r="AC99" s="511"/>
      <c r="AD99" s="511"/>
      <c r="AE99" s="509"/>
      <c r="AF99" s="514"/>
      <c r="AG99" s="513"/>
      <c r="AH99" s="511"/>
      <c r="AI99" s="511"/>
      <c r="AN99" s="506"/>
      <c r="AO99" s="506"/>
    </row>
    <row r="100" spans="1:41" x14ac:dyDescent="0.25">
      <c r="A100" s="7"/>
      <c r="B100" s="47" t="s">
        <v>648</v>
      </c>
      <c r="C100" s="75">
        <v>35.496917000000003</v>
      </c>
      <c r="D100" s="75">
        <v>60.601174700000001</v>
      </c>
      <c r="E100" s="75">
        <v>30.607421180000003</v>
      </c>
      <c r="F100" s="75">
        <v>1.5330402300000001</v>
      </c>
      <c r="G100" s="75">
        <v>4.1399999999999988</v>
      </c>
      <c r="H100" s="75">
        <v>63.218417199999998</v>
      </c>
      <c r="I100" s="75">
        <v>31.674835803639709</v>
      </c>
      <c r="J100" s="75">
        <v>1124.3590160073984</v>
      </c>
      <c r="K100" s="76">
        <v>45.116519021686344</v>
      </c>
      <c r="L100" s="76">
        <v>54.554351037795335</v>
      </c>
      <c r="M100" s="75">
        <v>467.92385899999999</v>
      </c>
      <c r="N100" s="75">
        <v>377.11308200000002</v>
      </c>
      <c r="O100" s="75">
        <v>90.810777000000002</v>
      </c>
      <c r="P100" s="75">
        <v>56.997860099999997</v>
      </c>
      <c r="Q100" s="75">
        <v>2.5624905414377341</v>
      </c>
      <c r="R100" s="75">
        <v>187.9066251514833</v>
      </c>
      <c r="S100" s="75">
        <v>191.0220898187734</v>
      </c>
      <c r="T100" s="75">
        <v>112.64431935827457</v>
      </c>
      <c r="U100" s="75">
        <v>110.80715264625569</v>
      </c>
      <c r="V100" s="75">
        <v>108.18037667817129</v>
      </c>
      <c r="W100" s="75">
        <v>109.27756431277102</v>
      </c>
      <c r="X100" s="75">
        <v>96.525121258245434</v>
      </c>
      <c r="Y100" s="77">
        <v>98.125493807874847</v>
      </c>
      <c r="Z100" s="521"/>
      <c r="AA100" s="507"/>
      <c r="AB100" s="508"/>
      <c r="AC100" s="511"/>
      <c r="AD100" s="511"/>
      <c r="AE100" s="509"/>
      <c r="AF100" s="514"/>
      <c r="AG100" s="513"/>
      <c r="AH100" s="511"/>
      <c r="AI100" s="511"/>
      <c r="AN100" s="506"/>
      <c r="AO100" s="506"/>
    </row>
    <row r="101" spans="1:41" x14ac:dyDescent="0.25">
      <c r="A101" s="7"/>
      <c r="B101" s="379">
        <v>2008</v>
      </c>
      <c r="C101" s="380">
        <v>29.628499999999999</v>
      </c>
      <c r="D101" s="380">
        <v>60.023568500000003</v>
      </c>
      <c r="E101" s="380">
        <v>25.78275</v>
      </c>
      <c r="F101" s="380">
        <v>1.7862499999999999</v>
      </c>
      <c r="G101" s="380">
        <v>5.6849285600000004</v>
      </c>
      <c r="H101" s="380">
        <v>63.641558525000001</v>
      </c>
      <c r="I101" s="380">
        <v>31.975000000000001</v>
      </c>
      <c r="J101" s="380">
        <v>947.3719000000001</v>
      </c>
      <c r="K101" s="381">
        <v>47.492630523830414</v>
      </c>
      <c r="L101" s="381">
        <v>55.630729170892579</v>
      </c>
      <c r="M101" s="380">
        <v>799.67499999999995</v>
      </c>
      <c r="N101" s="380">
        <v>669.28499999999997</v>
      </c>
      <c r="O101" s="380">
        <v>130.38999999999999</v>
      </c>
      <c r="P101" s="380">
        <v>91.65</v>
      </c>
      <c r="Q101" s="380">
        <v>1.2583379123622729</v>
      </c>
      <c r="R101" s="380">
        <v>100</v>
      </c>
      <c r="S101" s="380">
        <v>100</v>
      </c>
      <c r="T101" s="380">
        <v>100</v>
      </c>
      <c r="U101" s="380">
        <v>100</v>
      </c>
      <c r="V101" s="380">
        <v>100</v>
      </c>
      <c r="W101" s="380">
        <v>100</v>
      </c>
      <c r="X101" s="380">
        <v>100</v>
      </c>
      <c r="Y101" s="382">
        <v>100</v>
      </c>
      <c r="Z101" s="517"/>
      <c r="AA101"/>
      <c r="AB101"/>
      <c r="AC101" s="3"/>
      <c r="AD101" s="3"/>
      <c r="AE101" s="514"/>
      <c r="AF101" s="514"/>
      <c r="AG101" s="187"/>
      <c r="AH101" s="48"/>
    </row>
    <row r="102" spans="1:41" x14ac:dyDescent="0.25">
      <c r="A102" s="7"/>
      <c r="B102" s="47">
        <v>2009</v>
      </c>
      <c r="C102" s="75">
        <v>29.155999999999999</v>
      </c>
      <c r="D102" s="75">
        <v>58.582521825000001</v>
      </c>
      <c r="E102" s="75">
        <v>25.286000000000001</v>
      </c>
      <c r="F102" s="75">
        <v>2.4027500000000002</v>
      </c>
      <c r="G102" s="75">
        <v>7.6138189350000003</v>
      </c>
      <c r="H102" s="75">
        <v>63.40992585</v>
      </c>
      <c r="I102" s="75">
        <v>31.55</v>
      </c>
      <c r="J102" s="75">
        <v>919.86834999999996</v>
      </c>
      <c r="K102" s="76">
        <v>48.193381449976116</v>
      </c>
      <c r="L102" s="76">
        <v>56.744784068282449</v>
      </c>
      <c r="M102" s="75">
        <v>790.58</v>
      </c>
      <c r="N102" s="75">
        <v>657.22900000000004</v>
      </c>
      <c r="O102" s="75">
        <v>133.351</v>
      </c>
      <c r="P102" s="75">
        <v>94.301000000000002</v>
      </c>
      <c r="Q102" s="75">
        <v>0.12781302905986447</v>
      </c>
      <c r="R102" s="75">
        <v>100.12781302905984</v>
      </c>
      <c r="S102" s="75">
        <v>101.47660290346082</v>
      </c>
      <c r="T102" s="75">
        <v>98.271146275442248</v>
      </c>
      <c r="U102" s="75">
        <v>96.958841276412045</v>
      </c>
      <c r="V102" s="75">
        <v>98.282234213833064</v>
      </c>
      <c r="W102" s="75">
        <v>99.912490211274232</v>
      </c>
      <c r="X102" s="75">
        <v>98.005676081624586</v>
      </c>
      <c r="Y102" s="77">
        <v>99.325879325196382</v>
      </c>
      <c r="Z102" s="517"/>
      <c r="AA102"/>
      <c r="AB102"/>
      <c r="AC102" s="3"/>
      <c r="AD102" s="3"/>
      <c r="AE102" s="3"/>
      <c r="AF102" s="3"/>
      <c r="AG102" s="3"/>
      <c r="AH102" s="48"/>
    </row>
    <row r="103" spans="1:41" x14ac:dyDescent="0.25">
      <c r="A103" s="7"/>
      <c r="B103" s="47">
        <v>2010</v>
      </c>
      <c r="C103" s="75">
        <v>29.2285</v>
      </c>
      <c r="D103" s="75">
        <v>58.209638249999998</v>
      </c>
      <c r="E103" s="75">
        <v>25.239000000000001</v>
      </c>
      <c r="F103" s="75">
        <v>2.49675</v>
      </c>
      <c r="G103" s="75">
        <v>7.87023589</v>
      </c>
      <c r="H103" s="75">
        <v>63.182110600000001</v>
      </c>
      <c r="I103" s="75">
        <v>31.650000000000002</v>
      </c>
      <c r="J103" s="75">
        <v>925.08680000000004</v>
      </c>
      <c r="K103" s="79">
        <v>47.140525757826119</v>
      </c>
      <c r="L103" s="79">
        <v>56.25678053320906</v>
      </c>
      <c r="M103" s="67">
        <v>809.91899999999998</v>
      </c>
      <c r="N103" s="75">
        <v>662.61500000000001</v>
      </c>
      <c r="O103" s="75">
        <v>147.304</v>
      </c>
      <c r="P103" s="75">
        <v>99.1</v>
      </c>
      <c r="Q103" s="75">
        <v>1.0072470821451907</v>
      </c>
      <c r="R103" s="75">
        <v>101.13634750421083</v>
      </c>
      <c r="S103" s="75">
        <v>102.17487239959375</v>
      </c>
      <c r="T103" s="75">
        <v>99.923656534065969</v>
      </c>
      <c r="U103" s="75">
        <v>98.904700374372055</v>
      </c>
      <c r="V103" s="75">
        <v>100.79072415165233</v>
      </c>
      <c r="W103" s="75">
        <v>101.63292385666878</v>
      </c>
      <c r="X103" s="75">
        <v>95.83212740767614</v>
      </c>
      <c r="Y103" s="77">
        <v>96.816185588007741</v>
      </c>
      <c r="Z103" s="517"/>
      <c r="AA103"/>
      <c r="AB103"/>
      <c r="AC103" s="3"/>
      <c r="AD103" s="3"/>
      <c r="AE103" s="3"/>
      <c r="AF103" s="3"/>
      <c r="AG103" s="3"/>
      <c r="AH103" s="48"/>
    </row>
    <row r="104" spans="1:41" x14ac:dyDescent="0.25">
      <c r="A104" s="50"/>
      <c r="B104" s="47">
        <v>2011</v>
      </c>
      <c r="C104" s="75">
        <v>29.381</v>
      </c>
      <c r="D104" s="75">
        <v>58.008367200000002</v>
      </c>
      <c r="E104" s="75">
        <v>25.323499999999999</v>
      </c>
      <c r="F104" s="75">
        <v>2.593</v>
      </c>
      <c r="G104" s="75">
        <v>8.1095071274999988</v>
      </c>
      <c r="H104" s="75">
        <v>63.127489975000003</v>
      </c>
      <c r="I104" s="75">
        <v>31.575000000000003</v>
      </c>
      <c r="J104" s="75">
        <v>927.69920000000002</v>
      </c>
      <c r="K104" s="79">
        <v>46.581294593534516</v>
      </c>
      <c r="L104" s="79">
        <v>55.488893346786874</v>
      </c>
      <c r="M104" s="67">
        <v>826.36599999999999</v>
      </c>
      <c r="N104" s="75">
        <v>677.61400000000003</v>
      </c>
      <c r="O104" s="75">
        <v>148.75200000000001</v>
      </c>
      <c r="P104" s="75">
        <v>100.268</v>
      </c>
      <c r="Q104" s="75">
        <v>1.9223716662271073</v>
      </c>
      <c r="R104" s="75">
        <v>103.08056399288877</v>
      </c>
      <c r="S104" s="75">
        <v>104.38641436809563</v>
      </c>
      <c r="T104" s="75">
        <v>100.49275284318</v>
      </c>
      <c r="U104" s="75">
        <v>99.229083551177965</v>
      </c>
      <c r="V104" s="75">
        <v>100.9135193195354</v>
      </c>
      <c r="W104" s="75">
        <v>99.46942346584899</v>
      </c>
      <c r="X104" s="75">
        <v>93.500788639692018</v>
      </c>
      <c r="Y104" s="77">
        <v>94.685280023884516</v>
      </c>
      <c r="Z104" s="517"/>
      <c r="AA104"/>
      <c r="AB104"/>
      <c r="AC104" s="3"/>
      <c r="AD104" s="3"/>
      <c r="AE104" s="3"/>
      <c r="AF104" s="3"/>
      <c r="AG104" s="3"/>
      <c r="AH104" s="48"/>
    </row>
    <row r="105" spans="1:41" x14ac:dyDescent="0.25">
      <c r="A105" s="50"/>
      <c r="B105" s="47">
        <v>2012</v>
      </c>
      <c r="C105" s="75">
        <v>29.722999999999999</v>
      </c>
      <c r="D105" s="75">
        <v>58.277110300000004</v>
      </c>
      <c r="E105" s="75">
        <v>25.4985</v>
      </c>
      <c r="F105" s="75">
        <v>2.56975</v>
      </c>
      <c r="G105" s="75">
        <v>7.9582840200000007</v>
      </c>
      <c r="H105" s="75">
        <v>63.315747325000004</v>
      </c>
      <c r="I105" s="75">
        <v>31.825000000000003</v>
      </c>
      <c r="J105" s="75">
        <v>945.95044999999993</v>
      </c>
      <c r="K105" s="79">
        <v>45.874968345387259</v>
      </c>
      <c r="L105" s="79">
        <v>54.87823719236944</v>
      </c>
      <c r="M105" s="67">
        <v>841.69200000000001</v>
      </c>
      <c r="N105" s="75">
        <v>686.68200000000002</v>
      </c>
      <c r="O105" s="75">
        <v>155.01</v>
      </c>
      <c r="P105" s="75">
        <v>103.151</v>
      </c>
      <c r="Q105" s="75">
        <v>0.64272568852099532</v>
      </c>
      <c r="R105" s="75">
        <v>103.74308925754339</v>
      </c>
      <c r="S105" s="75">
        <v>104.2320590419466</v>
      </c>
      <c r="T105" s="75">
        <v>100.06253602204244</v>
      </c>
      <c r="U105" s="75">
        <v>99.586359570235331</v>
      </c>
      <c r="V105" s="75">
        <v>100.63053619066281</v>
      </c>
      <c r="W105" s="75">
        <v>98.971603253930212</v>
      </c>
      <c r="X105" s="75">
        <v>91.513518374227274</v>
      </c>
      <c r="Y105" s="77">
        <v>91.944846819039029</v>
      </c>
      <c r="Z105" s="517"/>
      <c r="AA105"/>
      <c r="AB105"/>
      <c r="AC105" s="3"/>
      <c r="AD105" s="3"/>
      <c r="AE105" s="3"/>
      <c r="AF105" s="3"/>
      <c r="AG105" s="3"/>
      <c r="AH105" s="48"/>
    </row>
    <row r="106" spans="1:41" x14ac:dyDescent="0.25">
      <c r="A106" s="50"/>
      <c r="B106" s="47">
        <v>2013</v>
      </c>
      <c r="C106" s="75">
        <v>30.09675</v>
      </c>
      <c r="D106" s="75">
        <v>58.592287424999995</v>
      </c>
      <c r="E106" s="75">
        <v>25.834499999999998</v>
      </c>
      <c r="F106" s="75">
        <v>2.4740000000000002</v>
      </c>
      <c r="G106" s="75">
        <v>7.5965130800000003</v>
      </c>
      <c r="H106" s="75">
        <v>63.408986624999997</v>
      </c>
      <c r="I106" s="75">
        <v>32.049999999999997</v>
      </c>
      <c r="J106" s="75">
        <v>964.60415000000012</v>
      </c>
      <c r="K106" s="79">
        <v>46.208648953200324</v>
      </c>
      <c r="L106" s="79">
        <v>54.914726741014341</v>
      </c>
      <c r="M106" s="67">
        <v>873.95600000000002</v>
      </c>
      <c r="N106" s="75">
        <v>718.19799999999998</v>
      </c>
      <c r="O106" s="75">
        <v>155.75800000000001</v>
      </c>
      <c r="P106" s="75">
        <v>108.508</v>
      </c>
      <c r="Q106" s="75">
        <v>3.229328030507661</v>
      </c>
      <c r="R106" s="75">
        <v>107.09329391865182</v>
      </c>
      <c r="S106" s="75">
        <v>106.84268558654894</v>
      </c>
      <c r="T106" s="75">
        <v>99.80908726807823</v>
      </c>
      <c r="U106" s="75">
        <v>100.03977700137254</v>
      </c>
      <c r="V106" s="75">
        <v>101.06830818009372</v>
      </c>
      <c r="W106" s="75">
        <v>99.221517083427045</v>
      </c>
      <c r="X106" s="75">
        <v>92.106445057402652</v>
      </c>
      <c r="Y106" s="77">
        <v>91.890907354460253</v>
      </c>
      <c r="Z106" s="517"/>
      <c r="AA106"/>
      <c r="AB106"/>
      <c r="AC106" s="3"/>
      <c r="AD106" s="3"/>
      <c r="AE106" s="3"/>
      <c r="AF106" s="3"/>
      <c r="AG106" s="3"/>
      <c r="AH106" s="48"/>
    </row>
    <row r="107" spans="1:41" x14ac:dyDescent="0.25">
      <c r="A107" s="50"/>
      <c r="B107" s="47">
        <v>2014</v>
      </c>
      <c r="C107" s="75">
        <v>30.818249999999999</v>
      </c>
      <c r="D107" s="75">
        <v>59.543185774999998</v>
      </c>
      <c r="E107" s="75">
        <v>26.2605</v>
      </c>
      <c r="F107" s="75">
        <v>2.0262500000000001</v>
      </c>
      <c r="G107" s="75">
        <v>6.1695432824999994</v>
      </c>
      <c r="H107" s="75">
        <v>63.458607800000003</v>
      </c>
      <c r="I107" s="75">
        <v>32.175000000000004</v>
      </c>
      <c r="J107" s="75">
        <v>991.58277500000008</v>
      </c>
      <c r="K107" s="79">
        <v>45.925316762183307</v>
      </c>
      <c r="L107" s="79">
        <v>53.983966431048295</v>
      </c>
      <c r="M107" s="67">
        <v>896.60300000000007</v>
      </c>
      <c r="N107" s="75">
        <v>745.49800000000005</v>
      </c>
      <c r="O107" s="75">
        <v>151.10499999999999</v>
      </c>
      <c r="P107" s="75">
        <v>115.63200000000001</v>
      </c>
      <c r="Q107" s="75">
        <v>2.1173088576124099</v>
      </c>
      <c r="R107" s="75">
        <v>109.36078971670032</v>
      </c>
      <c r="S107" s="75">
        <v>108.68100236803399</v>
      </c>
      <c r="T107" s="75">
        <v>100.16047000403428</v>
      </c>
      <c r="U107" s="75">
        <v>100.78511733524019</v>
      </c>
      <c r="V107" s="75">
        <v>100.52331453619475</v>
      </c>
      <c r="W107" s="75">
        <v>98.972477424321767</v>
      </c>
      <c r="X107" s="75">
        <v>92.702214506411423</v>
      </c>
      <c r="Y107" s="77">
        <v>92.125976964802035</v>
      </c>
      <c r="Z107" s="517"/>
      <c r="AA107"/>
      <c r="AB107"/>
      <c r="AC107" s="48"/>
      <c r="AD107" s="48"/>
      <c r="AE107" s="48"/>
      <c r="AF107" s="48"/>
      <c r="AG107" s="48"/>
      <c r="AH107" s="48"/>
    </row>
    <row r="108" spans="1:41" x14ac:dyDescent="0.25">
      <c r="A108" s="7"/>
      <c r="B108" s="47">
        <v>2015</v>
      </c>
      <c r="C108" s="75">
        <v>31.345749999999999</v>
      </c>
      <c r="D108" s="75">
        <v>60.109137349999997</v>
      </c>
      <c r="E108" s="75">
        <v>26.771000000000001</v>
      </c>
      <c r="F108" s="75">
        <v>1.7805</v>
      </c>
      <c r="G108" s="75">
        <v>5.3755561125</v>
      </c>
      <c r="H108" s="75">
        <v>63.523721524999999</v>
      </c>
      <c r="I108" s="75">
        <v>32.099999999999994</v>
      </c>
      <c r="J108" s="75">
        <v>1006.209025</v>
      </c>
      <c r="K108" s="79">
        <v>46.290539082663216</v>
      </c>
      <c r="L108" s="79">
        <v>54.402556825254564</v>
      </c>
      <c r="M108" s="67">
        <v>926.30799999999999</v>
      </c>
      <c r="N108" s="75">
        <v>769.90700000000004</v>
      </c>
      <c r="O108" s="75">
        <v>156.40100000000001</v>
      </c>
      <c r="P108" s="75">
        <v>122.58199999999999</v>
      </c>
      <c r="Q108" s="75">
        <v>1.3048370490689187</v>
      </c>
      <c r="R108" s="75">
        <v>110.78776981807819</v>
      </c>
      <c r="S108" s="75">
        <v>110.35635326894241</v>
      </c>
      <c r="T108" s="75">
        <v>100.82231835929072</v>
      </c>
      <c r="U108" s="75">
        <v>101.20996909778435</v>
      </c>
      <c r="V108" s="75">
        <v>100.93796671130748</v>
      </c>
      <c r="W108" s="75">
        <v>100.62942911669059</v>
      </c>
      <c r="X108" s="75">
        <v>93.874184387172804</v>
      </c>
      <c r="Y108" s="77">
        <v>93.508630709652692</v>
      </c>
      <c r="Z108" s="517"/>
      <c r="AA108"/>
      <c r="AB108"/>
      <c r="AC108" s="48"/>
      <c r="AD108" s="48"/>
      <c r="AE108" s="48"/>
      <c r="AF108" s="48"/>
      <c r="AG108" s="48"/>
      <c r="AH108" s="48"/>
    </row>
    <row r="109" spans="1:41" x14ac:dyDescent="0.25">
      <c r="A109" s="7"/>
      <c r="B109" s="47">
        <v>2016</v>
      </c>
      <c r="C109" s="75">
        <v>31.81025</v>
      </c>
      <c r="D109" s="75">
        <v>60.549274425000007</v>
      </c>
      <c r="E109" s="75">
        <v>27.038</v>
      </c>
      <c r="F109" s="75">
        <v>1.6347499999999999</v>
      </c>
      <c r="G109" s="75">
        <v>4.8881177149999999</v>
      </c>
      <c r="H109" s="75">
        <v>63.661086425000008</v>
      </c>
      <c r="I109" s="75">
        <v>32.049999999999997</v>
      </c>
      <c r="J109" s="75">
        <v>1019.51675</v>
      </c>
      <c r="K109" s="79">
        <v>46.073609992243441</v>
      </c>
      <c r="L109" s="79">
        <v>54.38240583013885</v>
      </c>
      <c r="M109" s="67">
        <v>963.779</v>
      </c>
      <c r="N109" s="75">
        <v>797.20799999999997</v>
      </c>
      <c r="O109" s="75">
        <v>166.571</v>
      </c>
      <c r="P109" s="75">
        <v>126.455</v>
      </c>
      <c r="Q109" s="75">
        <v>2.5234967822322929</v>
      </c>
      <c r="R109" s="75">
        <v>113.58349562454434</v>
      </c>
      <c r="S109" s="75">
        <v>113.31769961294246</v>
      </c>
      <c r="T109" s="75">
        <v>101.69742427233804</v>
      </c>
      <c r="U109" s="75">
        <v>101.93268821873694</v>
      </c>
      <c r="V109" s="75">
        <v>102.4577810312903</v>
      </c>
      <c r="W109" s="75">
        <v>102.39133025151963</v>
      </c>
      <c r="X109" s="75">
        <v>95.612373974811476</v>
      </c>
      <c r="Y109" s="77">
        <v>95.38863207003422</v>
      </c>
      <c r="Z109" s="517"/>
      <c r="AA109"/>
      <c r="AB109"/>
      <c r="AC109" s="48"/>
      <c r="AD109" s="48"/>
      <c r="AE109" s="48"/>
      <c r="AF109" s="48"/>
      <c r="AG109" s="48"/>
      <c r="AH109" s="48"/>
    </row>
    <row r="110" spans="1:41" x14ac:dyDescent="0.25">
      <c r="A110" s="7"/>
      <c r="B110" s="47">
        <v>2017</v>
      </c>
      <c r="C110" s="75">
        <v>32.127749999999999</v>
      </c>
      <c r="D110" s="75">
        <v>60.816564550000002</v>
      </c>
      <c r="E110" s="75">
        <v>27.33</v>
      </c>
      <c r="F110" s="75">
        <v>1.47925</v>
      </c>
      <c r="G110" s="75">
        <v>4.4016678899999997</v>
      </c>
      <c r="H110" s="75">
        <v>63.616810799999996</v>
      </c>
      <c r="I110" s="75">
        <v>32.1</v>
      </c>
      <c r="J110" s="75">
        <v>1031.2936500000001</v>
      </c>
      <c r="K110" s="79">
        <v>46.11004462093188</v>
      </c>
      <c r="L110" s="79">
        <v>54.335115691138093</v>
      </c>
      <c r="M110" s="67">
        <v>1001.4089999999999</v>
      </c>
      <c r="N110" s="75">
        <v>828.91099999999994</v>
      </c>
      <c r="O110" s="75">
        <v>172.49799999999999</v>
      </c>
      <c r="P110" s="75">
        <v>138.119</v>
      </c>
      <c r="Q110" s="75">
        <v>2.8658423404450684</v>
      </c>
      <c r="R110" s="75">
        <v>116.83861953391011</v>
      </c>
      <c r="S110" s="75">
        <v>116.38364048588085</v>
      </c>
      <c r="T110" s="75">
        <v>103.57985448846075</v>
      </c>
      <c r="U110" s="75">
        <v>103.97654377973058</v>
      </c>
      <c r="V110" s="75">
        <v>103.7014168737704</v>
      </c>
      <c r="W110" s="75">
        <v>103.4295967368122</v>
      </c>
      <c r="X110" s="75">
        <v>95.78250346940716</v>
      </c>
      <c r="Y110" s="77">
        <v>95.409518642812856</v>
      </c>
      <c r="Z110" s="517"/>
      <c r="AA110"/>
      <c r="AB110"/>
      <c r="AC110" s="48"/>
      <c r="AD110" s="48"/>
      <c r="AE110" s="48"/>
      <c r="AF110" s="48"/>
      <c r="AG110" s="48"/>
      <c r="AH110" s="48"/>
    </row>
    <row r="111" spans="1:41" x14ac:dyDescent="0.25">
      <c r="A111" s="7"/>
      <c r="B111" s="47">
        <v>2018</v>
      </c>
      <c r="C111" s="75">
        <v>32.506749999999997</v>
      </c>
      <c r="D111" s="75">
        <v>61.21094445</v>
      </c>
      <c r="E111" s="75">
        <v>27.72625</v>
      </c>
      <c r="F111" s="75">
        <v>1.385</v>
      </c>
      <c r="G111" s="75">
        <v>4.0866364750000006</v>
      </c>
      <c r="H111" s="75">
        <v>63.818988949999998</v>
      </c>
      <c r="I111" s="75">
        <v>32</v>
      </c>
      <c r="J111" s="75">
        <v>1040.2193249999998</v>
      </c>
      <c r="K111" s="79">
        <v>46.317921824827238</v>
      </c>
      <c r="L111" s="79">
        <v>54.592898466032921</v>
      </c>
      <c r="M111" s="67">
        <v>1042.4110000000001</v>
      </c>
      <c r="N111" s="75">
        <v>862.71500000000003</v>
      </c>
      <c r="O111" s="75">
        <v>179.696</v>
      </c>
      <c r="P111" s="75">
        <v>143.10599999999999</v>
      </c>
      <c r="Q111" s="75">
        <v>2.5906881801790238</v>
      </c>
      <c r="R111" s="75">
        <v>119.86554384005946</v>
      </c>
      <c r="S111" s="75">
        <v>119.7718988839344</v>
      </c>
      <c r="T111" s="75">
        <v>104.2825949810501</v>
      </c>
      <c r="U111" s="75">
        <v>104.35848302010285</v>
      </c>
      <c r="V111" s="75">
        <v>104.21242895184514</v>
      </c>
      <c r="W111" s="75">
        <v>104.01652353410265</v>
      </c>
      <c r="X111" s="75">
        <v>95.88777648481333</v>
      </c>
      <c r="Y111" s="77">
        <v>95.812864159434582</v>
      </c>
      <c r="Z111" s="517"/>
      <c r="AA111"/>
      <c r="AB111"/>
      <c r="AC111" s="48"/>
      <c r="AD111" s="48"/>
      <c r="AE111" s="48"/>
      <c r="AF111" s="48"/>
      <c r="AG111" s="48"/>
      <c r="AH111" s="48"/>
    </row>
    <row r="112" spans="1:41" x14ac:dyDescent="0.25">
      <c r="A112" s="7"/>
      <c r="B112" s="47">
        <v>2019</v>
      </c>
      <c r="C112" s="75">
        <v>32.923000000000002</v>
      </c>
      <c r="D112" s="75">
        <v>61.655758299999995</v>
      </c>
      <c r="E112" s="75">
        <v>27.961500000000001</v>
      </c>
      <c r="F112" s="75">
        <v>1.3109999999999999</v>
      </c>
      <c r="G112" s="75">
        <v>3.8295746100000003</v>
      </c>
      <c r="H112" s="75">
        <v>64.110921625000003</v>
      </c>
      <c r="I112" s="75">
        <v>32.066248095227451</v>
      </c>
      <c r="J112" s="75">
        <v>1055.7000000000003</v>
      </c>
      <c r="K112" s="79">
        <v>46.454909783169796</v>
      </c>
      <c r="L112" s="79">
        <v>55.122436651144866</v>
      </c>
      <c r="M112" s="67">
        <v>1091.1210000000001</v>
      </c>
      <c r="N112" s="75">
        <v>895.84500000000003</v>
      </c>
      <c r="O112" s="75">
        <v>195.27600000000001</v>
      </c>
      <c r="P112" s="75">
        <v>150.76599999999999</v>
      </c>
      <c r="Q112" s="75">
        <v>2.9665577644598651</v>
      </c>
      <c r="R112" s="75">
        <v>123.42142443775879</v>
      </c>
      <c r="S112" s="75">
        <v>123.07021497113332</v>
      </c>
      <c r="T112" s="75">
        <v>104.04459614361573</v>
      </c>
      <c r="U112" s="75">
        <v>104.33354316875867</v>
      </c>
      <c r="V112" s="75">
        <v>105.50453004763223</v>
      </c>
      <c r="W112" s="75">
        <v>106.44827824119803</v>
      </c>
      <c r="X112" s="75">
        <v>96.995139840641528</v>
      </c>
      <c r="Y112" s="77">
        <v>96.719129322339086</v>
      </c>
      <c r="Z112" s="517"/>
      <c r="AA112"/>
      <c r="AB112"/>
      <c r="AC112" s="48"/>
      <c r="AD112" s="48"/>
      <c r="AE112" s="48"/>
      <c r="AF112" s="48"/>
      <c r="AG112" s="48"/>
      <c r="AH112" s="48"/>
    </row>
    <row r="113" spans="1:34" x14ac:dyDescent="0.25">
      <c r="A113" s="7"/>
      <c r="B113" s="47">
        <v>2020</v>
      </c>
      <c r="C113" s="75">
        <v>32.56</v>
      </c>
      <c r="D113" s="75">
        <v>60.752632075000001</v>
      </c>
      <c r="E113" s="75">
        <v>27.982250000000001</v>
      </c>
      <c r="F113" s="75">
        <v>1.5694999999999999</v>
      </c>
      <c r="G113" s="75">
        <v>4.5997246050000005</v>
      </c>
      <c r="H113" s="75">
        <v>63.680695825000001</v>
      </c>
      <c r="I113" s="75">
        <v>28.880129571356086</v>
      </c>
      <c r="J113" s="75">
        <v>940.45</v>
      </c>
      <c r="K113" s="79">
        <v>49.209072254226442</v>
      </c>
      <c r="L113" s="79">
        <v>58.663165028803796</v>
      </c>
      <c r="M113" s="67">
        <v>1094.319</v>
      </c>
      <c r="N113" s="75">
        <v>893.44600000000003</v>
      </c>
      <c r="O113" s="75">
        <v>200.87299999999999</v>
      </c>
      <c r="P113" s="75">
        <v>152.10900000000001</v>
      </c>
      <c r="Q113" s="75">
        <v>-0.34174743382565653</v>
      </c>
      <c r="R113" s="75">
        <v>122.99963488695171</v>
      </c>
      <c r="S113" s="75">
        <v>136.18059835199026</v>
      </c>
      <c r="T113" s="75">
        <v>105.0260826240811</v>
      </c>
      <c r="U113" s="75">
        <v>94.896519676990394</v>
      </c>
      <c r="V113" s="75">
        <v>100.34581195443856</v>
      </c>
      <c r="W113" s="75">
        <v>106.25917212344825</v>
      </c>
      <c r="X113" s="75">
        <v>95.84832381183152</v>
      </c>
      <c r="Y113" s="77">
        <v>106.11968157244679</v>
      </c>
      <c r="Z113" s="517"/>
      <c r="AA113"/>
      <c r="AB113"/>
      <c r="AC113" s="48"/>
      <c r="AD113" s="48"/>
      <c r="AE113" s="48"/>
      <c r="AF113" s="48"/>
      <c r="AG113" s="48"/>
      <c r="AH113" s="48"/>
    </row>
    <row r="114" spans="1:34" x14ac:dyDescent="0.25">
      <c r="A114" s="7"/>
      <c r="B114" s="47">
        <v>2021</v>
      </c>
      <c r="C114" s="75">
        <v>32.5565</v>
      </c>
      <c r="D114" s="75">
        <v>60.392598475</v>
      </c>
      <c r="E114" s="75">
        <v>28.324249999999999</v>
      </c>
      <c r="F114" s="75">
        <v>1.5445</v>
      </c>
      <c r="G114" s="75">
        <v>4.52987275</v>
      </c>
      <c r="H114" s="75">
        <v>63.258048399999993</v>
      </c>
      <c r="I114" s="75">
        <v>30.944141446373166</v>
      </c>
      <c r="J114" s="75">
        <v>1007.575</v>
      </c>
      <c r="K114" s="79">
        <v>47.880956768383726</v>
      </c>
      <c r="L114" s="79">
        <v>56.767824021850885</v>
      </c>
      <c r="M114" s="67">
        <v>1156.1500000000001</v>
      </c>
      <c r="N114" s="75">
        <v>949.73900000000003</v>
      </c>
      <c r="O114" s="75">
        <v>206.411</v>
      </c>
      <c r="P114" s="75">
        <v>162.369</v>
      </c>
      <c r="Q114" s="75">
        <v>5.0171376028584458</v>
      </c>
      <c r="R114" s="75">
        <v>129.17069582024357</v>
      </c>
      <c r="S114" s="75">
        <v>133.47382754212344</v>
      </c>
      <c r="T114" s="75">
        <v>106.42176288160151</v>
      </c>
      <c r="U114" s="75">
        <v>103.0147089372247</v>
      </c>
      <c r="V114" s="75">
        <v>104.73793868953001</v>
      </c>
      <c r="W114" s="75">
        <v>107.98612649657588</v>
      </c>
      <c r="X114" s="75">
        <v>98.117663211370214</v>
      </c>
      <c r="Y114" s="77">
        <v>101.38630883072291</v>
      </c>
      <c r="Z114" s="517"/>
      <c r="AA114"/>
      <c r="AB114"/>
      <c r="AC114" s="48"/>
      <c r="AD114" s="48"/>
      <c r="AE114" s="48"/>
      <c r="AF114" s="48"/>
      <c r="AG114" s="48"/>
      <c r="AH114" s="48"/>
    </row>
    <row r="115" spans="1:34" x14ac:dyDescent="0.25">
      <c r="A115" s="7"/>
      <c r="B115" s="47">
        <v>2022</v>
      </c>
      <c r="C115" s="75">
        <v>32.96</v>
      </c>
      <c r="D115" s="75">
        <v>60.580435350000002</v>
      </c>
      <c r="E115" s="75">
        <v>28.715499999999999</v>
      </c>
      <c r="F115" s="75">
        <v>1.3027500000000001</v>
      </c>
      <c r="G115" s="75">
        <v>3.8020023775</v>
      </c>
      <c r="H115" s="75">
        <v>62.974809024999999</v>
      </c>
      <c r="I115" s="75">
        <v>31.754442977721343</v>
      </c>
      <c r="J115" s="75">
        <v>1046.625</v>
      </c>
      <c r="K115" s="79">
        <v>46.130899913171476</v>
      </c>
      <c r="L115" s="79">
        <v>54.840409477289164</v>
      </c>
      <c r="M115" s="67">
        <v>1246.7159999999999</v>
      </c>
      <c r="N115" s="75">
        <v>1021.928</v>
      </c>
      <c r="O115" s="75">
        <v>224.78800000000001</v>
      </c>
      <c r="P115" s="75">
        <v>168.68700000000001</v>
      </c>
      <c r="Q115" s="75">
        <v>6.1348627665826161</v>
      </c>
      <c r="R115" s="75">
        <v>137.09514074345535</v>
      </c>
      <c r="S115" s="75">
        <v>138.04736327283376</v>
      </c>
      <c r="T115" s="75">
        <v>107.74143718163559</v>
      </c>
      <c r="U115" s="75">
        <v>106.99360003409667</v>
      </c>
      <c r="V115" s="75">
        <v>104.84294688859968</v>
      </c>
      <c r="W115" s="75">
        <v>105.83556911450452</v>
      </c>
      <c r="X115" s="75">
        <v>95.480108688980849</v>
      </c>
      <c r="Y115" s="77">
        <v>96.143285444248093</v>
      </c>
      <c r="Z115" s="517"/>
      <c r="AA115"/>
      <c r="AB115"/>
      <c r="AC115" s="48"/>
      <c r="AD115" s="48"/>
      <c r="AE115" s="48"/>
      <c r="AF115" s="48"/>
      <c r="AG115" s="48"/>
      <c r="AH115" s="48"/>
    </row>
    <row r="116" spans="1:34" x14ac:dyDescent="0.25">
      <c r="A116" s="7"/>
      <c r="B116" s="47">
        <v>2023</v>
      </c>
      <c r="C116" s="75">
        <v>33.353000000000002</v>
      </c>
      <c r="D116" s="75">
        <v>60.593346199999999</v>
      </c>
      <c r="E116" s="75">
        <v>28.972999999999999</v>
      </c>
      <c r="F116" s="75">
        <v>1.40625</v>
      </c>
      <c r="G116" s="75">
        <v>4.0455575574999996</v>
      </c>
      <c r="H116" s="75">
        <v>63.148256449999998</v>
      </c>
      <c r="I116" s="75">
        <v>31.615616131585345</v>
      </c>
      <c r="J116" s="75">
        <v>1054.4749999999999</v>
      </c>
      <c r="K116" s="79">
        <v>45.967173467860199</v>
      </c>
      <c r="L116" s="79">
        <v>54.490321070982681</v>
      </c>
      <c r="M116" s="67">
        <v>1329.778</v>
      </c>
      <c r="N116" s="75">
        <v>1095.2070000000001</v>
      </c>
      <c r="O116" s="75">
        <v>234.571</v>
      </c>
      <c r="P116" s="75">
        <v>169.88499999999999</v>
      </c>
      <c r="Q116" s="75">
        <v>6.2181733647237669</v>
      </c>
      <c r="R116" s="75">
        <v>145.61995426949545</v>
      </c>
      <c r="S116" s="75">
        <v>147.27525847947575</v>
      </c>
      <c r="T116" s="75">
        <v>107.23079146059665</v>
      </c>
      <c r="U116" s="75">
        <v>106.02011273048956</v>
      </c>
      <c r="V116" s="75">
        <v>103.43576616885898</v>
      </c>
      <c r="W116" s="75">
        <v>104.58670276719965</v>
      </c>
      <c r="X116" s="75">
        <v>94.514563463026448</v>
      </c>
      <c r="Y116" s="77">
        <v>95.588937889180016</v>
      </c>
      <c r="Z116" s="517"/>
      <c r="AA116"/>
      <c r="AB116"/>
      <c r="AC116" s="48"/>
      <c r="AD116" s="48"/>
      <c r="AE116" s="48"/>
      <c r="AF116" s="48"/>
      <c r="AG116" s="48"/>
      <c r="AH116" s="48"/>
    </row>
    <row r="117" spans="1:34" x14ac:dyDescent="0.25">
      <c r="A117" s="7"/>
      <c r="B117" s="47">
        <v>2024</v>
      </c>
      <c r="C117" s="75">
        <v>33.6175</v>
      </c>
      <c r="D117" s="75">
        <v>60.364820200000004</v>
      </c>
      <c r="E117" s="75">
        <v>29.277750000000001</v>
      </c>
      <c r="F117" s="75">
        <v>1.5095000000000001</v>
      </c>
      <c r="G117" s="75">
        <v>4.2970987774999996</v>
      </c>
      <c r="H117" s="75">
        <v>63.07529925</v>
      </c>
      <c r="I117" s="75">
        <v>31.969481005750161</v>
      </c>
      <c r="J117" s="75">
        <v>1074.7250000000001</v>
      </c>
      <c r="K117" s="79">
        <v>46.311535249151113</v>
      </c>
      <c r="L117" s="79">
        <v>54.937074734608103</v>
      </c>
      <c r="M117" s="67">
        <v>1411.4880000000001</v>
      </c>
      <c r="N117" s="75">
        <v>1162.1880000000001</v>
      </c>
      <c r="O117" s="75">
        <v>249.3</v>
      </c>
      <c r="P117" s="75">
        <v>176.333</v>
      </c>
      <c r="Q117" s="75">
        <v>5.0112780924637335</v>
      </c>
      <c r="R117" s="75">
        <v>152.91737513605841</v>
      </c>
      <c r="S117" s="75">
        <v>152.94377375397536</v>
      </c>
      <c r="T117" s="75">
        <v>106.30967412809582</v>
      </c>
      <c r="U117" s="75">
        <v>106.28242963497728</v>
      </c>
      <c r="V117" s="75">
        <v>105.21355418585237</v>
      </c>
      <c r="W117" s="75">
        <v>106.64509396752884</v>
      </c>
      <c r="X117" s="75">
        <v>96.801681914958621</v>
      </c>
      <c r="Y117" s="77">
        <v>96.818393100409722</v>
      </c>
      <c r="Z117" s="517"/>
      <c r="AA117"/>
      <c r="AB117"/>
      <c r="AC117" s="48"/>
      <c r="AD117" s="48"/>
      <c r="AE117" s="48"/>
      <c r="AF117" s="48"/>
      <c r="AG117" s="48"/>
      <c r="AH117" s="48"/>
    </row>
    <row r="118" spans="1:34" x14ac:dyDescent="0.25">
      <c r="A118" s="7"/>
      <c r="B118" s="47">
        <v>2025</v>
      </c>
      <c r="C118" s="75">
        <v>34.16525</v>
      </c>
      <c r="D118" s="75">
        <v>60.707507700000001</v>
      </c>
      <c r="E118" s="75">
        <v>29.770499999999998</v>
      </c>
      <c r="F118" s="75">
        <v>1.7417499999999999</v>
      </c>
      <c r="G118" s="75">
        <v>4.8495248274999998</v>
      </c>
      <c r="H118" s="75">
        <v>63.801931549999999</v>
      </c>
      <c r="I118" s="75">
        <v>31.851069447577103</v>
      </c>
      <c r="J118" s="75">
        <v>1088.2</v>
      </c>
      <c r="K118" s="79">
        <v>46.416156811144596</v>
      </c>
      <c r="L118" s="79">
        <v>55.679914669929389</v>
      </c>
      <c r="M118" s="67">
        <v>1511.529</v>
      </c>
      <c r="N118" s="75">
        <v>1230.479</v>
      </c>
      <c r="O118" s="75">
        <v>281.05</v>
      </c>
      <c r="P118" s="75">
        <v>177.72499999999999</v>
      </c>
      <c r="Q118" s="75">
        <v>4.123651191261346</v>
      </c>
      <c r="R118" s="75">
        <v>159.22315429750202</v>
      </c>
      <c r="S118" s="75">
        <v>159.84268179886524</v>
      </c>
      <c r="T118" s="75">
        <v>106.37069910653524</v>
      </c>
      <c r="U118" s="75">
        <v>105.9534056559216</v>
      </c>
      <c r="V118" s="75">
        <v>106.97813471144541</v>
      </c>
      <c r="W118" s="75">
        <v>108.57494702586682</v>
      </c>
      <c r="X118" s="75">
        <v>97.504580182480865</v>
      </c>
      <c r="Y118" s="77">
        <v>97.883964507571278</v>
      </c>
      <c r="Z118" s="517"/>
      <c r="AA118"/>
      <c r="AB118"/>
      <c r="AC118" s="48"/>
      <c r="AD118" s="48"/>
      <c r="AE118" s="48"/>
      <c r="AF118" s="48"/>
      <c r="AG118" s="48"/>
      <c r="AH118" s="48"/>
    </row>
    <row r="119" spans="1:34" x14ac:dyDescent="0.25">
      <c r="A119" s="7"/>
      <c r="B119" s="47">
        <v>2026</v>
      </c>
      <c r="C119" s="75">
        <v>34.435945725000003</v>
      </c>
      <c r="D119" s="75">
        <v>60.656096850000004</v>
      </c>
      <c r="E119" s="75">
        <v>29.915280770000006</v>
      </c>
      <c r="F119" s="75">
        <v>1.8081153225</v>
      </c>
      <c r="G119" s="75">
        <v>4.9886982225000001</v>
      </c>
      <c r="H119" s="75">
        <v>63.840907249999994</v>
      </c>
      <c r="I119" s="75">
        <v>31.85015083431087</v>
      </c>
      <c r="J119" s="75">
        <v>1096.7945811773191</v>
      </c>
      <c r="K119" s="79">
        <v>46.370821955452229</v>
      </c>
      <c r="L119" s="79">
        <v>55.953335916164058</v>
      </c>
      <c r="M119" s="67">
        <v>1585.5672703</v>
      </c>
      <c r="N119" s="75">
        <v>1282.6200240000001</v>
      </c>
      <c r="O119" s="75">
        <v>302.94724630000002</v>
      </c>
      <c r="P119" s="75">
        <v>183.374482</v>
      </c>
      <c r="Q119" s="75">
        <v>3.7329801694950815</v>
      </c>
      <c r="R119" s="75">
        <v>165.16692307267229</v>
      </c>
      <c r="S119" s="75">
        <v>165.81435964690823</v>
      </c>
      <c r="T119" s="75">
        <v>106.85085004573619</v>
      </c>
      <c r="U119" s="75">
        <v>106.42731111414167</v>
      </c>
      <c r="V119" s="75">
        <v>108.30285937242235</v>
      </c>
      <c r="W119" s="75">
        <v>110.21794024982482</v>
      </c>
      <c r="X119" s="75">
        <v>98.09103619950757</v>
      </c>
      <c r="Y119" s="77">
        <v>98.475542511417956</v>
      </c>
      <c r="Z119" s="517"/>
      <c r="AA119"/>
      <c r="AB119"/>
      <c r="AC119" s="48"/>
      <c r="AD119" s="48"/>
      <c r="AE119" s="48"/>
      <c r="AF119" s="48"/>
      <c r="AG119" s="48"/>
      <c r="AH119" s="48"/>
    </row>
    <row r="120" spans="1:34" x14ac:dyDescent="0.25">
      <c r="A120" s="7"/>
      <c r="B120" s="47">
        <v>2027</v>
      </c>
      <c r="C120" s="75">
        <v>34.476022624999999</v>
      </c>
      <c r="D120" s="75">
        <v>60.397747550000005</v>
      </c>
      <c r="E120" s="75">
        <v>29.939309872499997</v>
      </c>
      <c r="F120" s="75">
        <v>1.8527653075000001</v>
      </c>
      <c r="G120" s="75">
        <v>5.0999999999999996</v>
      </c>
      <c r="H120" s="75">
        <v>63.643575874999996</v>
      </c>
      <c r="I120" s="75">
        <v>31.867567240168398</v>
      </c>
      <c r="J120" s="75">
        <v>1098.6669134869705</v>
      </c>
      <c r="K120" s="79">
        <v>46.313846591129362</v>
      </c>
      <c r="L120" s="79">
        <v>55.870628705606116</v>
      </c>
      <c r="M120" s="67">
        <v>1633.9716956999998</v>
      </c>
      <c r="N120" s="75">
        <v>1322.0558399999998</v>
      </c>
      <c r="O120" s="75">
        <v>311.91585570000001</v>
      </c>
      <c r="P120" s="75">
        <v>189.54324400000002</v>
      </c>
      <c r="Q120" s="75">
        <v>2.991902632809107</v>
      </c>
      <c r="R120" s="75">
        <v>170.10855659261335</v>
      </c>
      <c r="S120" s="75">
        <v>170.68203092054003</v>
      </c>
      <c r="T120" s="75">
        <v>107.78001544486315</v>
      </c>
      <c r="U120" s="75">
        <v>107.41371662446342</v>
      </c>
      <c r="V120" s="75">
        <v>108.84109614061263</v>
      </c>
      <c r="W120" s="75">
        <v>110.12955720225119</v>
      </c>
      <c r="X120" s="75">
        <v>97.68378198969242</v>
      </c>
      <c r="Y120" s="77">
        <v>98.013096060353959</v>
      </c>
      <c r="Z120" s="517"/>
      <c r="AA120"/>
      <c r="AB120"/>
      <c r="AC120" s="48"/>
      <c r="AD120" s="48"/>
      <c r="AE120" s="48"/>
      <c r="AF120" s="48"/>
      <c r="AG120" s="48"/>
      <c r="AH120" s="48"/>
    </row>
    <row r="121" spans="1:34" x14ac:dyDescent="0.25">
      <c r="A121" s="196"/>
      <c r="B121" s="47">
        <v>2028</v>
      </c>
      <c r="C121" s="75">
        <v>34.658525675</v>
      </c>
      <c r="D121" s="75">
        <v>60.383267149999995</v>
      </c>
      <c r="E121" s="75">
        <v>30.051885544999998</v>
      </c>
      <c r="F121" s="75">
        <v>1.7665869624999997</v>
      </c>
      <c r="G121" s="75">
        <v>4.8500000000000005</v>
      </c>
      <c r="H121" s="75">
        <v>63.461184599999996</v>
      </c>
      <c r="I121" s="75">
        <v>31.837600868083339</v>
      </c>
      <c r="J121" s="75">
        <v>1103.4434460578175</v>
      </c>
      <c r="K121" s="79">
        <v>45.899869476938214</v>
      </c>
      <c r="L121" s="79">
        <v>55.376608595394302</v>
      </c>
      <c r="M121" s="67">
        <v>1676.1059884000001</v>
      </c>
      <c r="N121" s="75">
        <v>1355.6230700000001</v>
      </c>
      <c r="O121" s="75">
        <v>320.48291840000002</v>
      </c>
      <c r="P121" s="75">
        <v>196.61171669999999</v>
      </c>
      <c r="Q121" s="75">
        <v>2.1549019382074874</v>
      </c>
      <c r="R121" s="75">
        <v>173.77422917568441</v>
      </c>
      <c r="S121" s="75">
        <v>174.52417350525732</v>
      </c>
      <c r="T121" s="75">
        <v>109.06174693427602</v>
      </c>
      <c r="U121" s="75">
        <v>108.58917630339711</v>
      </c>
      <c r="V121" s="75">
        <v>109.23768641150311</v>
      </c>
      <c r="W121" s="75">
        <v>110.15223823216026</v>
      </c>
      <c r="X121" s="75">
        <v>97.737648776742475</v>
      </c>
      <c r="Y121" s="77">
        <v>98.159447773254229</v>
      </c>
      <c r="Z121" s="517"/>
      <c r="AA121"/>
      <c r="AB121"/>
      <c r="AC121" s="48"/>
      <c r="AD121" s="48"/>
      <c r="AE121" s="48"/>
      <c r="AF121" s="48"/>
      <c r="AG121" s="48"/>
      <c r="AH121" s="48"/>
    </row>
    <row r="122" spans="1:34" x14ac:dyDescent="0.25">
      <c r="A122" s="7"/>
      <c r="B122" s="47">
        <v>2029</v>
      </c>
      <c r="C122" s="75">
        <v>34.902002875000001</v>
      </c>
      <c r="D122" s="75">
        <v>60.467365100000002</v>
      </c>
      <c r="E122" s="75">
        <v>30.216780279999998</v>
      </c>
      <c r="F122" s="75">
        <v>1.6522162674999998</v>
      </c>
      <c r="G122" s="75">
        <v>4.5199999999999996</v>
      </c>
      <c r="H122" s="75">
        <v>63.329895125</v>
      </c>
      <c r="I122" s="75">
        <v>31.786241330205119</v>
      </c>
      <c r="J122" s="75">
        <v>1109.4023973550325</v>
      </c>
      <c r="K122" s="79">
        <v>45.531964354778708</v>
      </c>
      <c r="L122" s="79">
        <v>55.028474930378323</v>
      </c>
      <c r="M122" s="67">
        <v>1727.4694772</v>
      </c>
      <c r="N122" s="75">
        <v>1394.058532</v>
      </c>
      <c r="O122" s="75">
        <v>333.41094520000001</v>
      </c>
      <c r="P122" s="75">
        <v>204.51340150000001</v>
      </c>
      <c r="Q122" s="75">
        <v>2.2740836921294694</v>
      </c>
      <c r="R122" s="75">
        <v>177.72600058249233</v>
      </c>
      <c r="S122" s="75">
        <v>178.7814044948145</v>
      </c>
      <c r="T122" s="75">
        <v>110.43298003546118</v>
      </c>
      <c r="U122" s="75">
        <v>109.77704017321327</v>
      </c>
      <c r="V122" s="75">
        <v>109.85584780448342</v>
      </c>
      <c r="W122" s="75">
        <v>110.61335992330569</v>
      </c>
      <c r="X122" s="75">
        <v>97.899867198585767</v>
      </c>
      <c r="Y122" s="77">
        <v>98.481233473180168</v>
      </c>
      <c r="Z122" s="517"/>
      <c r="AA122"/>
      <c r="AB122"/>
      <c r="AC122" s="48"/>
      <c r="AD122" s="48"/>
      <c r="AE122" s="48"/>
      <c r="AF122" s="48"/>
      <c r="AG122" s="48"/>
      <c r="AH122" s="48"/>
    </row>
    <row r="123" spans="1:34" x14ac:dyDescent="0.25">
      <c r="A123" s="7"/>
      <c r="B123" s="47">
        <v>2030</v>
      </c>
      <c r="C123" s="75">
        <v>35.170923375000008</v>
      </c>
      <c r="D123" s="75">
        <v>60.589383574999999</v>
      </c>
      <c r="E123" s="75">
        <v>30.402953627500008</v>
      </c>
      <c r="F123" s="75">
        <v>1.566833715</v>
      </c>
      <c r="G123" s="75">
        <v>4.2649999999999997</v>
      </c>
      <c r="H123" s="75">
        <v>63.288649925000001</v>
      </c>
      <c r="I123" s="75">
        <v>31.73476057102183</v>
      </c>
      <c r="J123" s="75">
        <v>1116.1399142714777</v>
      </c>
      <c r="K123" s="79">
        <v>45.350170207538063</v>
      </c>
      <c r="L123" s="79">
        <v>54.844365140341736</v>
      </c>
      <c r="M123" s="67">
        <v>1783.1834715999998</v>
      </c>
      <c r="N123" s="75">
        <v>1437.5677999999998</v>
      </c>
      <c r="O123" s="75">
        <v>345.61567159999998</v>
      </c>
      <c r="P123" s="75">
        <v>213.30724989999999</v>
      </c>
      <c r="Q123" s="75">
        <v>2.489585628613078</v>
      </c>
      <c r="R123" s="75">
        <v>182.15064155130281</v>
      </c>
      <c r="S123" s="75">
        <v>183.52956375921926</v>
      </c>
      <c r="T123" s="75">
        <v>111.62530715990586</v>
      </c>
      <c r="U123" s="75">
        <v>110.78255595412863</v>
      </c>
      <c r="V123" s="75">
        <v>110.53961464530259</v>
      </c>
      <c r="W123" s="75">
        <v>111.23510654983977</v>
      </c>
      <c r="X123" s="75">
        <v>98.36000776548579</v>
      </c>
      <c r="Y123" s="77">
        <v>99.104615623704376</v>
      </c>
      <c r="Z123" s="517"/>
      <c r="AA123"/>
      <c r="AB123"/>
      <c r="AC123" s="48"/>
      <c r="AD123" s="48"/>
      <c r="AE123" s="48"/>
      <c r="AF123" s="48"/>
      <c r="AG123" s="48"/>
      <c r="AH123" s="48"/>
    </row>
    <row r="124" spans="1:34" x14ac:dyDescent="0.25">
      <c r="A124" s="7"/>
      <c r="B124" s="47">
        <v>2031</v>
      </c>
      <c r="C124" s="75">
        <v>35.388344050000001</v>
      </c>
      <c r="D124" s="75">
        <v>60.625272625000001</v>
      </c>
      <c r="E124" s="75">
        <v>30.543581599999996</v>
      </c>
      <c r="F124" s="75">
        <v>1.530753155</v>
      </c>
      <c r="G124" s="75">
        <v>4.1462480125000001</v>
      </c>
      <c r="H124" s="75">
        <v>63.247679325</v>
      </c>
      <c r="I124" s="75">
        <v>31.6950531414615</v>
      </c>
      <c r="J124" s="75">
        <v>1121.6349605019766</v>
      </c>
      <c r="K124" s="79">
        <v>45.202140808657703</v>
      </c>
      <c r="L124" s="79">
        <v>54.656403203140215</v>
      </c>
      <c r="M124" s="67">
        <v>1838.2227809999999</v>
      </c>
      <c r="N124" s="75">
        <v>1481.7871540000001</v>
      </c>
      <c r="O124" s="75">
        <v>356.43562699999995</v>
      </c>
      <c r="P124" s="75">
        <v>222.38105379999999</v>
      </c>
      <c r="Q124" s="75">
        <v>2.6014041016174216</v>
      </c>
      <c r="R124" s="75">
        <v>186.88911581174088</v>
      </c>
      <c r="S124" s="75">
        <v>188.53981570591756</v>
      </c>
      <c r="T124" s="75">
        <v>112.85035543049554</v>
      </c>
      <c r="U124" s="75">
        <v>111.85812292438142</v>
      </c>
      <c r="V124" s="75">
        <v>111.22490354657388</v>
      </c>
      <c r="W124" s="75">
        <v>111.90463424523958</v>
      </c>
      <c r="X124" s="75">
        <v>98.939975489695883</v>
      </c>
      <c r="Y124" s="77">
        <v>99.813863764897519</v>
      </c>
      <c r="Z124" s="517"/>
      <c r="AA124"/>
      <c r="AB124"/>
      <c r="AC124" s="48"/>
      <c r="AD124" s="48"/>
      <c r="AE124" s="48"/>
      <c r="AF124" s="48"/>
      <c r="AG124" s="48"/>
      <c r="AH124" s="48"/>
    </row>
    <row r="125" spans="1:34" x14ac:dyDescent="0.25">
      <c r="A125" s="7"/>
      <c r="B125" s="379" t="s">
        <v>136</v>
      </c>
      <c r="C125" s="380">
        <v>29.548999999999999</v>
      </c>
      <c r="D125" s="380">
        <v>59.736251799999998</v>
      </c>
      <c r="E125" s="380">
        <v>25.711749999999999</v>
      </c>
      <c r="F125" s="380">
        <v>1.9395</v>
      </c>
      <c r="G125" s="380">
        <v>6.1577899475000004</v>
      </c>
      <c r="H125" s="380">
        <v>63.656176099999996</v>
      </c>
      <c r="I125" s="380">
        <v>31.799999999999997</v>
      </c>
      <c r="J125" s="380">
        <v>939.67295000000001</v>
      </c>
      <c r="K125" s="381">
        <v>47.428649304517556</v>
      </c>
      <c r="L125" s="381">
        <v>55.620822018293318</v>
      </c>
      <c r="M125" s="380">
        <v>792.80899999999997</v>
      </c>
      <c r="N125" s="380">
        <v>662.36699999999996</v>
      </c>
      <c r="O125" s="380">
        <v>130.44200000000001</v>
      </c>
      <c r="P125" s="380">
        <v>92.828000000000003</v>
      </c>
      <c r="Q125" s="380">
        <v>-0.15306947380275826</v>
      </c>
      <c r="R125" s="380">
        <v>100</v>
      </c>
      <c r="S125" s="380">
        <v>100</v>
      </c>
      <c r="T125" s="380">
        <v>100</v>
      </c>
      <c r="U125" s="380">
        <v>100</v>
      </c>
      <c r="V125" s="380">
        <v>100</v>
      </c>
      <c r="W125" s="380">
        <v>100</v>
      </c>
      <c r="X125" s="380">
        <v>100</v>
      </c>
      <c r="Y125" s="382">
        <v>100</v>
      </c>
      <c r="Z125" s="517"/>
      <c r="AA125"/>
      <c r="AB125"/>
      <c r="AC125" s="48"/>
      <c r="AD125" s="48"/>
      <c r="AE125" s="48"/>
      <c r="AF125" s="48"/>
      <c r="AG125" s="48"/>
      <c r="AH125" s="48"/>
    </row>
    <row r="126" spans="1:34" x14ac:dyDescent="0.25">
      <c r="A126" s="7"/>
      <c r="B126" s="47" t="s">
        <v>137</v>
      </c>
      <c r="C126" s="67">
        <v>29.06775</v>
      </c>
      <c r="D126" s="75">
        <v>58.279620550000004</v>
      </c>
      <c r="E126" s="75">
        <v>25.170249999999999</v>
      </c>
      <c r="F126" s="75">
        <v>2.4754999999999998</v>
      </c>
      <c r="G126" s="75">
        <v>7.8479615749999994</v>
      </c>
      <c r="H126" s="75">
        <v>63.242767799999996</v>
      </c>
      <c r="I126" s="75">
        <v>31.575000000000003</v>
      </c>
      <c r="J126" s="75">
        <v>917.81380000000013</v>
      </c>
      <c r="K126" s="79">
        <v>48.110292673094541</v>
      </c>
      <c r="L126" s="79">
        <v>56.838309022577491</v>
      </c>
      <c r="M126" s="67">
        <v>796.25500000000011</v>
      </c>
      <c r="N126" s="75">
        <v>659.42100000000005</v>
      </c>
      <c r="O126" s="75">
        <v>136.834</v>
      </c>
      <c r="P126" s="75">
        <v>94.831000000000003</v>
      </c>
      <c r="Q126" s="75">
        <v>1.6970122517195874</v>
      </c>
      <c r="R126" s="75">
        <v>101.69701225171958</v>
      </c>
      <c r="S126" s="75">
        <v>99.446783602040782</v>
      </c>
      <c r="T126" s="75">
        <v>99.505219143463322</v>
      </c>
      <c r="U126" s="75">
        <v>98.789440971349379</v>
      </c>
      <c r="V126" s="75">
        <v>101.42879079317646</v>
      </c>
      <c r="W126" s="75">
        <v>102.407648744046</v>
      </c>
      <c r="X126" s="75">
        <v>99.470127085583499</v>
      </c>
      <c r="Y126" s="77">
        <v>97.269172261058785</v>
      </c>
      <c r="Z126" s="517"/>
      <c r="AA126" s="48"/>
      <c r="AB126" s="48"/>
      <c r="AC126" s="48"/>
      <c r="AD126" s="48"/>
      <c r="AE126" s="48"/>
      <c r="AF126" s="48"/>
      <c r="AG126" s="48"/>
      <c r="AH126" s="48"/>
    </row>
    <row r="127" spans="1:34" x14ac:dyDescent="0.25">
      <c r="A127" s="7"/>
      <c r="B127" s="47" t="s">
        <v>138</v>
      </c>
      <c r="C127" s="67">
        <v>29.3355</v>
      </c>
      <c r="D127" s="75">
        <v>58.291221475</v>
      </c>
      <c r="E127" s="75">
        <v>25.338750000000001</v>
      </c>
      <c r="F127" s="75">
        <v>2.4860000000000002</v>
      </c>
      <c r="G127" s="75">
        <v>7.8124148499999997</v>
      </c>
      <c r="H127" s="75">
        <v>63.231060025000005</v>
      </c>
      <c r="I127" s="75">
        <v>31.675000000000001</v>
      </c>
      <c r="J127" s="75">
        <v>929.204025</v>
      </c>
      <c r="K127" s="79">
        <v>47.062966502961018</v>
      </c>
      <c r="L127" s="79">
        <v>56.108121603148632</v>
      </c>
      <c r="M127" s="67">
        <v>817.06599999999992</v>
      </c>
      <c r="N127" s="75">
        <v>669.24699999999996</v>
      </c>
      <c r="O127" s="75">
        <v>147.81899999999999</v>
      </c>
      <c r="P127" s="75">
        <v>99.872</v>
      </c>
      <c r="Q127" s="75">
        <v>0.81519673050192143</v>
      </c>
      <c r="R127" s="75">
        <v>102.52604297061374</v>
      </c>
      <c r="S127" s="75">
        <v>100.79424634760507</v>
      </c>
      <c r="T127" s="75">
        <v>100.73821065379032</v>
      </c>
      <c r="U127" s="75">
        <v>100.33109229487631</v>
      </c>
      <c r="V127" s="75">
        <v>102.65957008953967</v>
      </c>
      <c r="W127" s="75">
        <v>102.31620350188129</v>
      </c>
      <c r="X127" s="75">
        <v>96.879340136528754</v>
      </c>
      <c r="Y127" s="77">
        <v>95.242923581021614</v>
      </c>
      <c r="Z127" s="517"/>
      <c r="AA127" s="48"/>
      <c r="AB127" s="48"/>
      <c r="AC127" s="48"/>
      <c r="AD127" s="48"/>
      <c r="AE127" s="48"/>
      <c r="AF127" s="48"/>
      <c r="AG127" s="48"/>
      <c r="AH127" s="48"/>
    </row>
    <row r="128" spans="1:34" ht="15" customHeight="1" x14ac:dyDescent="0.25">
      <c r="A128" s="7"/>
      <c r="B128" s="47" t="s">
        <v>139</v>
      </c>
      <c r="C128" s="67">
        <v>29.388249999999999</v>
      </c>
      <c r="D128" s="75">
        <v>57.914890650000004</v>
      </c>
      <c r="E128" s="75">
        <v>25.28</v>
      </c>
      <c r="F128" s="75">
        <v>2.6305000000000001</v>
      </c>
      <c r="G128" s="75">
        <v>8.2154767050000004</v>
      </c>
      <c r="H128" s="75">
        <v>63.098640850000002</v>
      </c>
      <c r="I128" s="75">
        <v>31.574999999999999</v>
      </c>
      <c r="J128" s="75">
        <v>927.92902500000002</v>
      </c>
      <c r="K128" s="79">
        <v>46.299187477716799</v>
      </c>
      <c r="L128" s="79">
        <v>55.227052093445714</v>
      </c>
      <c r="M128" s="67">
        <v>827.149</v>
      </c>
      <c r="N128" s="75">
        <v>677.154</v>
      </c>
      <c r="O128" s="75">
        <v>149.995</v>
      </c>
      <c r="P128" s="75">
        <v>100.708</v>
      </c>
      <c r="Q128" s="75">
        <v>1.4166199639248811</v>
      </c>
      <c r="R128" s="75">
        <v>103.97844736355766</v>
      </c>
      <c r="S128" s="75">
        <v>101.00827753323554</v>
      </c>
      <c r="T128" s="75">
        <v>101.53776778055148</v>
      </c>
      <c r="U128" s="75">
        <v>100.80790450894303</v>
      </c>
      <c r="V128" s="75">
        <v>102.8534747060592</v>
      </c>
      <c r="W128" s="75">
        <v>100.42782816148227</v>
      </c>
      <c r="X128" s="75">
        <v>94.200612870247298</v>
      </c>
      <c r="Y128" s="77">
        <v>91.509749278422575</v>
      </c>
      <c r="Z128" s="517"/>
      <c r="AA128" s="48"/>
      <c r="AB128" s="48"/>
      <c r="AC128" s="48"/>
      <c r="AD128" s="48"/>
      <c r="AE128" s="48"/>
      <c r="AF128" s="48"/>
      <c r="AG128" s="48"/>
      <c r="AH128" s="48"/>
    </row>
    <row r="129" spans="1:34" ht="15" customHeight="1" x14ac:dyDescent="0.25">
      <c r="A129" s="7"/>
      <c r="B129" s="152" t="s">
        <v>140</v>
      </c>
      <c r="C129" s="67">
        <v>29.826499999999999</v>
      </c>
      <c r="D129" s="75">
        <v>58.379643949999995</v>
      </c>
      <c r="E129" s="75">
        <v>25.602250000000002</v>
      </c>
      <c r="F129" s="75">
        <v>2.5465</v>
      </c>
      <c r="G129" s="75">
        <v>7.8662784524999996</v>
      </c>
      <c r="H129" s="75">
        <v>63.364001700000003</v>
      </c>
      <c r="I129" s="75">
        <v>31.9</v>
      </c>
      <c r="J129" s="75">
        <v>951.47269999999992</v>
      </c>
      <c r="K129" s="79">
        <v>45.72423495455287</v>
      </c>
      <c r="L129" s="79">
        <v>54.680008506748635</v>
      </c>
      <c r="M129" s="67">
        <v>845.18200000000002</v>
      </c>
      <c r="N129" s="75">
        <v>689.79100000000005</v>
      </c>
      <c r="O129" s="75">
        <v>155.39099999999999</v>
      </c>
      <c r="P129" s="75">
        <v>103.56699999999999</v>
      </c>
      <c r="Q129" s="75">
        <v>0.58402511486603803</v>
      </c>
      <c r="R129" s="75">
        <v>104.5857076102086</v>
      </c>
      <c r="S129" s="75">
        <v>100.54702728163589</v>
      </c>
      <c r="T129" s="75">
        <v>100.52615103324656</v>
      </c>
      <c r="U129" s="75">
        <v>100.8311429139556</v>
      </c>
      <c r="V129" s="75">
        <v>101.99388315175166</v>
      </c>
      <c r="W129" s="75">
        <v>99.755970903411139</v>
      </c>
      <c r="X129" s="75">
        <v>92.301257469902851</v>
      </c>
      <c r="Y129" s="77">
        <v>88.736953308615739</v>
      </c>
      <c r="Z129" s="517"/>
      <c r="AA129" s="48"/>
      <c r="AB129" s="48"/>
      <c r="AC129" s="48"/>
      <c r="AD129" s="48"/>
      <c r="AE129" s="48"/>
      <c r="AF129" s="48"/>
      <c r="AG129" s="48"/>
      <c r="AH129" s="48"/>
    </row>
    <row r="130" spans="1:34" ht="15" customHeight="1" x14ac:dyDescent="0.25">
      <c r="A130" s="7"/>
      <c r="B130" s="152" t="s">
        <v>141</v>
      </c>
      <c r="C130" s="67">
        <v>30.2745</v>
      </c>
      <c r="D130" s="75">
        <v>58.827898750000003</v>
      </c>
      <c r="E130" s="75">
        <v>25.91375</v>
      </c>
      <c r="F130" s="75">
        <v>2.3919999999999999</v>
      </c>
      <c r="G130" s="75">
        <v>7.3237030975000001</v>
      </c>
      <c r="H130" s="75">
        <v>63.476466625</v>
      </c>
      <c r="I130" s="75">
        <v>32.075000000000003</v>
      </c>
      <c r="J130" s="75">
        <v>971.05702500000007</v>
      </c>
      <c r="K130" s="79">
        <v>46.550121676550354</v>
      </c>
      <c r="L130" s="79">
        <v>55.136330783393639</v>
      </c>
      <c r="M130" s="67">
        <v>885.82600000000002</v>
      </c>
      <c r="N130" s="75">
        <v>730.44</v>
      </c>
      <c r="O130" s="75">
        <v>155.386</v>
      </c>
      <c r="P130" s="75">
        <v>111.985</v>
      </c>
      <c r="Q130" s="75">
        <v>4.6200428487082723</v>
      </c>
      <c r="R130" s="75">
        <v>109.41761211542496</v>
      </c>
      <c r="S130" s="75">
        <v>103.65118200660795</v>
      </c>
      <c r="T130" s="75">
        <v>100.63831646793128</v>
      </c>
      <c r="U130" s="75">
        <v>101.49790049944009</v>
      </c>
      <c r="V130" s="75">
        <v>103.6555456039479</v>
      </c>
      <c r="W130" s="75">
        <v>101.11801692070949</v>
      </c>
      <c r="X130" s="75">
        <v>94.390549749999394</v>
      </c>
      <c r="Y130" s="77">
        <v>89.416062576106327</v>
      </c>
      <c r="Z130" s="517"/>
      <c r="AA130" s="48"/>
      <c r="AB130" s="48"/>
      <c r="AC130" s="48"/>
      <c r="AD130" s="48"/>
      <c r="AE130" s="48"/>
      <c r="AF130" s="48"/>
      <c r="AG130" s="48"/>
      <c r="AH130" s="48"/>
    </row>
    <row r="131" spans="1:34" ht="15" customHeight="1" x14ac:dyDescent="0.25">
      <c r="A131" s="7"/>
      <c r="B131" s="152" t="s">
        <v>142</v>
      </c>
      <c r="C131" s="67">
        <v>30.974</v>
      </c>
      <c r="D131" s="75">
        <v>59.73155285</v>
      </c>
      <c r="E131" s="75">
        <v>26.429749999999999</v>
      </c>
      <c r="F131" s="75">
        <v>1.9297500000000001</v>
      </c>
      <c r="G131" s="75">
        <v>5.8654187524999992</v>
      </c>
      <c r="H131" s="75">
        <v>63.453361700000002</v>
      </c>
      <c r="I131" s="75">
        <v>32.175000000000004</v>
      </c>
      <c r="J131" s="75">
        <v>996.58235000000002</v>
      </c>
      <c r="K131" s="79">
        <v>45.713432678080743</v>
      </c>
      <c r="L131" s="79">
        <v>53.703445360388926</v>
      </c>
      <c r="M131" s="67">
        <v>900.90199999999993</v>
      </c>
      <c r="N131" s="75">
        <v>749.69899999999996</v>
      </c>
      <c r="O131" s="75">
        <v>151.203</v>
      </c>
      <c r="P131" s="75">
        <v>115.38200000000001</v>
      </c>
      <c r="Q131" s="75">
        <v>0.63280848484368324</v>
      </c>
      <c r="R131" s="75">
        <v>110.11001604880474</v>
      </c>
      <c r="S131" s="75">
        <v>104.89952654668535</v>
      </c>
      <c r="T131" s="75">
        <v>101.11242366691602</v>
      </c>
      <c r="U131" s="75">
        <v>102.29445926286697</v>
      </c>
      <c r="V131" s="75">
        <v>101.88479246536605</v>
      </c>
      <c r="W131" s="75">
        <v>100.13907696682166</v>
      </c>
      <c r="X131" s="75">
        <v>94.000155872078821</v>
      </c>
      <c r="Y131" s="77">
        <v>89.551997176397919</v>
      </c>
      <c r="Z131" s="517"/>
      <c r="AA131" s="48"/>
      <c r="AB131" s="48"/>
      <c r="AC131" s="48"/>
      <c r="AD131" s="48"/>
      <c r="AE131" s="48"/>
      <c r="AF131" s="48"/>
      <c r="AG131" s="48"/>
      <c r="AH131" s="48"/>
    </row>
    <row r="132" spans="1:34" ht="15" customHeight="1" x14ac:dyDescent="0.25">
      <c r="A132" s="7"/>
      <c r="B132" s="152" t="s">
        <v>143</v>
      </c>
      <c r="C132" s="67">
        <v>31.45025</v>
      </c>
      <c r="D132" s="75">
        <v>60.193706900000002</v>
      </c>
      <c r="E132" s="75">
        <v>26.828250000000001</v>
      </c>
      <c r="F132" s="75">
        <v>1.746</v>
      </c>
      <c r="G132" s="75">
        <v>5.2604193475000001</v>
      </c>
      <c r="H132" s="75">
        <v>63.535734625000003</v>
      </c>
      <c r="I132" s="75">
        <v>32.1</v>
      </c>
      <c r="J132" s="75">
        <v>1009.5634749999999</v>
      </c>
      <c r="K132" s="79">
        <v>46.401965568575612</v>
      </c>
      <c r="L132" s="79">
        <v>54.51317894580788</v>
      </c>
      <c r="M132" s="67">
        <v>934.25</v>
      </c>
      <c r="N132" s="75">
        <v>776.678</v>
      </c>
      <c r="O132" s="75">
        <v>157.572</v>
      </c>
      <c r="P132" s="75">
        <v>124.747</v>
      </c>
      <c r="Q132" s="75">
        <v>2.0598163511311052</v>
      </c>
      <c r="R132" s="75">
        <v>112.3780801636111</v>
      </c>
      <c r="S132" s="75">
        <v>107.42124441413524</v>
      </c>
      <c r="T132" s="75">
        <v>101.76015820570423</v>
      </c>
      <c r="U132" s="75">
        <v>102.70691237530528</v>
      </c>
      <c r="V132" s="75">
        <v>103.2421121557491</v>
      </c>
      <c r="W132" s="75">
        <v>102.33137896608076</v>
      </c>
      <c r="X132" s="75">
        <v>95.839254771566601</v>
      </c>
      <c r="Y132" s="77">
        <v>91.611922861614161</v>
      </c>
      <c r="Z132" s="517"/>
      <c r="AA132" s="48"/>
      <c r="AB132" s="48"/>
      <c r="AC132" s="48"/>
      <c r="AD132" s="48"/>
      <c r="AE132" s="48"/>
      <c r="AF132" s="48"/>
      <c r="AG132" s="48"/>
      <c r="AH132" s="48"/>
    </row>
    <row r="133" spans="1:34" ht="15" customHeight="1" x14ac:dyDescent="0.25">
      <c r="A133" s="7"/>
      <c r="B133" s="152" t="s">
        <v>144</v>
      </c>
      <c r="C133" s="67">
        <v>31.9055</v>
      </c>
      <c r="D133" s="75">
        <v>60.637467450000003</v>
      </c>
      <c r="E133" s="75">
        <v>27.11225</v>
      </c>
      <c r="F133" s="75">
        <v>1.5952500000000001</v>
      </c>
      <c r="G133" s="75">
        <v>4.7619545074999987</v>
      </c>
      <c r="H133" s="75">
        <v>63.669427374999998</v>
      </c>
      <c r="I133" s="75">
        <v>32.075000000000003</v>
      </c>
      <c r="J133" s="75">
        <v>1023.3747000000002</v>
      </c>
      <c r="K133" s="79">
        <v>45.917078648695657</v>
      </c>
      <c r="L133" s="79">
        <v>54.290222265803436</v>
      </c>
      <c r="M133" s="67">
        <v>973.75600000000009</v>
      </c>
      <c r="N133" s="75">
        <v>803.83</v>
      </c>
      <c r="O133" s="75">
        <v>169.92599999999999</v>
      </c>
      <c r="P133" s="75">
        <v>128.01900000000001</v>
      </c>
      <c r="Q133" s="75">
        <v>2.4117980713347809</v>
      </c>
      <c r="R133" s="75">
        <v>115.08841253360013</v>
      </c>
      <c r="S133" s="75">
        <v>110.65791671933805</v>
      </c>
      <c r="T133" s="75">
        <v>102.80241212729915</v>
      </c>
      <c r="U133" s="75">
        <v>103.68243649779964</v>
      </c>
      <c r="V133" s="75">
        <v>104.62426067030097</v>
      </c>
      <c r="W133" s="75">
        <v>103.97556947299888</v>
      </c>
      <c r="X133" s="75">
        <v>97.075629757712136</v>
      </c>
      <c r="Y133" s="77">
        <v>93.338562212507838</v>
      </c>
      <c r="Z133" s="517"/>
      <c r="AA133" s="48"/>
      <c r="AB133" s="48"/>
      <c r="AC133" s="48"/>
      <c r="AD133" s="48"/>
      <c r="AE133" s="48"/>
      <c r="AF133" s="48"/>
      <c r="AG133" s="48"/>
      <c r="AH133" s="48"/>
    </row>
    <row r="134" spans="1:34" ht="15" customHeight="1" x14ac:dyDescent="0.25">
      <c r="A134" s="7"/>
      <c r="B134" s="152" t="s">
        <v>145</v>
      </c>
      <c r="C134" s="67">
        <v>32.225999999999999</v>
      </c>
      <c r="D134" s="75">
        <v>60.923749375</v>
      </c>
      <c r="E134" s="75">
        <v>27.44</v>
      </c>
      <c r="F134" s="75">
        <v>1.45225</v>
      </c>
      <c r="G134" s="75">
        <v>4.3122568450000003</v>
      </c>
      <c r="H134" s="75">
        <v>63.669312224999999</v>
      </c>
      <c r="I134" s="75">
        <v>32.024999999999991</v>
      </c>
      <c r="J134" s="75">
        <v>1032.02655</v>
      </c>
      <c r="K134" s="79">
        <v>46.321295800298714</v>
      </c>
      <c r="L134" s="79">
        <v>54.554888966322302</v>
      </c>
      <c r="M134" s="67">
        <v>1013.306</v>
      </c>
      <c r="N134" s="75">
        <v>839.15899999999999</v>
      </c>
      <c r="O134" s="75">
        <v>174.14699999999999</v>
      </c>
      <c r="P134" s="75">
        <v>140.57300000000001</v>
      </c>
      <c r="Q134" s="75">
        <v>3.1481633980071866</v>
      </c>
      <c r="R134" s="75">
        <v>118.71158381233045</v>
      </c>
      <c r="S134" s="75">
        <v>114.1230273588893</v>
      </c>
      <c r="T134" s="75">
        <v>104.92225769254956</v>
      </c>
      <c r="U134" s="75">
        <v>105.6491747752964</v>
      </c>
      <c r="V134" s="75">
        <v>106.05574821769406</v>
      </c>
      <c r="W134" s="75">
        <v>104.9900072865254</v>
      </c>
      <c r="X134" s="75">
        <v>97.38080332467554</v>
      </c>
      <c r="Y134" s="77">
        <v>93.616745098958305</v>
      </c>
      <c r="Z134" s="517"/>
      <c r="AA134" s="48"/>
      <c r="AB134" s="48"/>
      <c r="AC134" s="48"/>
      <c r="AD134" s="48"/>
      <c r="AE134" s="48"/>
      <c r="AF134" s="48"/>
      <c r="AG134" s="48"/>
      <c r="AH134" s="48"/>
    </row>
    <row r="135" spans="1:34" ht="15" customHeight="1" x14ac:dyDescent="0.25">
      <c r="A135" s="7"/>
      <c r="B135" s="152" t="s">
        <v>146</v>
      </c>
      <c r="C135" s="67">
        <v>32.59825</v>
      </c>
      <c r="D135" s="75">
        <v>61.295413124999996</v>
      </c>
      <c r="E135" s="75">
        <v>27.77825</v>
      </c>
      <c r="F135" s="75">
        <v>1.3554999999999999</v>
      </c>
      <c r="G135" s="75">
        <v>3.9924289174999998</v>
      </c>
      <c r="H135" s="75">
        <v>63.844285749999997</v>
      </c>
      <c r="I135" s="75">
        <v>32.103319502074683</v>
      </c>
      <c r="J135" s="75">
        <v>1046.5245749999999</v>
      </c>
      <c r="K135" s="79">
        <v>46.29982012253582</v>
      </c>
      <c r="L135" s="79">
        <v>54.633123019749995</v>
      </c>
      <c r="M135" s="67">
        <v>1051.8240000000001</v>
      </c>
      <c r="N135" s="75">
        <v>869.29300000000001</v>
      </c>
      <c r="O135" s="75">
        <v>182.53100000000001</v>
      </c>
      <c r="P135" s="75">
        <v>144.84899999999999</v>
      </c>
      <c r="Q135" s="75">
        <v>2.3295703302253168</v>
      </c>
      <c r="R135" s="75">
        <v>121.47705364736304</v>
      </c>
      <c r="S135" s="75">
        <v>116.50017257639371</v>
      </c>
      <c r="T135" s="75">
        <v>104.76612780448932</v>
      </c>
      <c r="U135" s="75">
        <v>105.75148206971915</v>
      </c>
      <c r="V135" s="75">
        <v>106.34942424687709</v>
      </c>
      <c r="W135" s="75">
        <v>105.71707085023792</v>
      </c>
      <c r="X135" s="75">
        <v>97.439826427566913</v>
      </c>
      <c r="Y135" s="77">
        <v>93.447743864273519</v>
      </c>
      <c r="Z135" s="517"/>
      <c r="AA135" s="48"/>
      <c r="AB135" s="48"/>
      <c r="AC135" s="48"/>
      <c r="AD135" s="48"/>
      <c r="AE135" s="48"/>
      <c r="AF135" s="48"/>
      <c r="AG135" s="48"/>
      <c r="AH135" s="48"/>
    </row>
    <row r="136" spans="1:34" ht="15" customHeight="1" x14ac:dyDescent="0.25">
      <c r="A136" s="7"/>
      <c r="B136" s="152" t="s">
        <v>147</v>
      </c>
      <c r="C136" s="67">
        <v>32.974249999999998</v>
      </c>
      <c r="D136" s="75">
        <v>61.690050800000002</v>
      </c>
      <c r="E136" s="75">
        <v>28.00975</v>
      </c>
      <c r="F136" s="75">
        <v>1.3374999999999999</v>
      </c>
      <c r="G136" s="75">
        <v>3.8979793050000007</v>
      </c>
      <c r="H136" s="75">
        <v>64.192287150000013</v>
      </c>
      <c r="I136" s="75">
        <v>31.768923711554269</v>
      </c>
      <c r="J136" s="75">
        <v>1047.5500000000002</v>
      </c>
      <c r="K136" s="79">
        <v>46.546492958108203</v>
      </c>
      <c r="L136" s="79">
        <v>55.278651329160958</v>
      </c>
      <c r="M136" s="67">
        <v>1096.6849999999999</v>
      </c>
      <c r="N136" s="75">
        <v>899.48299999999995</v>
      </c>
      <c r="O136" s="75">
        <v>197.202</v>
      </c>
      <c r="P136" s="75">
        <v>151.696</v>
      </c>
      <c r="Q136" s="75">
        <v>2.6177355334837449</v>
      </c>
      <c r="R136" s="75">
        <v>124.65700164571916</v>
      </c>
      <c r="S136" s="75">
        <v>125.02907666130375</v>
      </c>
      <c r="T136" s="75">
        <v>105.14263853012588</v>
      </c>
      <c r="U136" s="75">
        <v>105.02645209867906</v>
      </c>
      <c r="V136" s="75">
        <v>107.06621430979047</v>
      </c>
      <c r="W136" s="75">
        <v>107.93923672518629</v>
      </c>
      <c r="X136" s="75">
        <v>98.281145452405156</v>
      </c>
      <c r="Y136" s="77">
        <v>98.574494066948276</v>
      </c>
      <c r="Z136" s="517"/>
      <c r="AA136" s="48"/>
      <c r="AB136" s="48"/>
      <c r="AC136" s="48"/>
      <c r="AD136" s="48"/>
      <c r="AE136" s="48"/>
      <c r="AF136" s="48"/>
      <c r="AG136" s="48"/>
      <c r="AH136" s="48"/>
    </row>
    <row r="137" spans="1:34" ht="15" customHeight="1" x14ac:dyDescent="0.25">
      <c r="A137" s="7"/>
      <c r="B137" s="152" t="s">
        <v>148</v>
      </c>
      <c r="C137" s="67">
        <v>32.395000000000003</v>
      </c>
      <c r="D137" s="75">
        <v>60.373539774999998</v>
      </c>
      <c r="E137" s="75">
        <v>27.985250000000001</v>
      </c>
      <c r="F137" s="75">
        <v>1.63375</v>
      </c>
      <c r="G137" s="75">
        <v>4.8009152000000004</v>
      </c>
      <c r="H137" s="75">
        <v>63.4180134</v>
      </c>
      <c r="I137" s="75">
        <v>28.482878767796322</v>
      </c>
      <c r="J137" s="75">
        <v>922.47500000000002</v>
      </c>
      <c r="K137" s="79">
        <v>49.884504454218984</v>
      </c>
      <c r="L137" s="79">
        <v>59.488806053245938</v>
      </c>
      <c r="M137" s="67">
        <v>1101.951</v>
      </c>
      <c r="N137" s="75">
        <v>899.255</v>
      </c>
      <c r="O137" s="75">
        <v>202.696</v>
      </c>
      <c r="P137" s="75">
        <v>153.54300000000001</v>
      </c>
      <c r="Q137" s="75">
        <v>6.2176032656480196E-2</v>
      </c>
      <c r="R137" s="75">
        <v>124.73450842377099</v>
      </c>
      <c r="S137" s="75">
        <v>135.29603648119496</v>
      </c>
      <c r="T137" s="75">
        <v>106.10848096556111</v>
      </c>
      <c r="U137" s="75">
        <v>95.05470061952964</v>
      </c>
      <c r="V137" s="75">
        <v>101.89131811474219</v>
      </c>
      <c r="W137" s="75">
        <v>107.91245690140131</v>
      </c>
      <c r="X137" s="75">
        <v>97.766339933551052</v>
      </c>
      <c r="Y137" s="77">
        <v>106.0444175507878</v>
      </c>
      <c r="Z137" s="517"/>
      <c r="AA137" s="48"/>
      <c r="AB137" s="48"/>
      <c r="AC137" s="48"/>
      <c r="AD137" s="48"/>
      <c r="AE137" s="48"/>
      <c r="AF137" s="48"/>
      <c r="AG137" s="48"/>
      <c r="AH137" s="48"/>
    </row>
    <row r="138" spans="1:34" ht="15" customHeight="1" x14ac:dyDescent="0.25">
      <c r="A138" s="7"/>
      <c r="B138" s="152" t="s">
        <v>149</v>
      </c>
      <c r="C138" s="67">
        <v>32.676000000000002</v>
      </c>
      <c r="D138" s="75">
        <v>60.493576650000001</v>
      </c>
      <c r="E138" s="75">
        <v>28.451750000000001</v>
      </c>
      <c r="F138" s="75">
        <v>1.4504999999999999</v>
      </c>
      <c r="G138" s="75">
        <v>4.25046327</v>
      </c>
      <c r="H138" s="75">
        <v>63.179424574999999</v>
      </c>
      <c r="I138" s="75">
        <v>31.510334629625881</v>
      </c>
      <c r="J138" s="75">
        <v>1029.675</v>
      </c>
      <c r="K138" s="79">
        <v>47.227218762366959</v>
      </c>
      <c r="L138" s="79">
        <v>55.942763116785734</v>
      </c>
      <c r="M138" s="67">
        <v>1178.1579999999999</v>
      </c>
      <c r="N138" s="75">
        <v>968.93700000000001</v>
      </c>
      <c r="O138" s="75">
        <v>209.221</v>
      </c>
      <c r="P138" s="75">
        <v>164.77600000000001</v>
      </c>
      <c r="Q138" s="75">
        <v>5.9821891484443945</v>
      </c>
      <c r="R138" s="75">
        <v>132.19636265106331</v>
      </c>
      <c r="S138" s="75">
        <v>129.01903576986535</v>
      </c>
      <c r="T138" s="75">
        <v>107.76862735888828</v>
      </c>
      <c r="U138" s="75">
        <v>106.780270628518</v>
      </c>
      <c r="V138" s="75">
        <v>107.64435176926614</v>
      </c>
      <c r="W138" s="75">
        <v>109.29827621294433</v>
      </c>
      <c r="X138" s="75">
        <v>99.638422236444754</v>
      </c>
      <c r="Y138" s="77">
        <v>97.243622326498354</v>
      </c>
      <c r="Z138" s="517"/>
      <c r="AA138" s="48"/>
      <c r="AB138" s="48"/>
      <c r="AC138" s="48"/>
      <c r="AD138" s="48"/>
      <c r="AE138" s="48"/>
      <c r="AF138" s="48"/>
      <c r="AG138" s="48"/>
      <c r="AH138" s="48"/>
    </row>
    <row r="139" spans="1:34" ht="15" customHeight="1" x14ac:dyDescent="0.25">
      <c r="A139" s="7"/>
      <c r="B139" s="152" t="s">
        <v>150</v>
      </c>
      <c r="C139" s="67">
        <v>33.094000000000001</v>
      </c>
      <c r="D139" s="75">
        <v>60.659037550000001</v>
      </c>
      <c r="E139" s="75">
        <v>28.80875</v>
      </c>
      <c r="F139" s="75">
        <v>1.32725</v>
      </c>
      <c r="G139" s="75">
        <v>3.8552725949999997</v>
      </c>
      <c r="H139" s="75">
        <v>63.091588975000001</v>
      </c>
      <c r="I139" s="75">
        <v>31.743608524474649</v>
      </c>
      <c r="J139" s="75">
        <v>1050.5250000000001</v>
      </c>
      <c r="K139" s="79">
        <v>45.929038738719271</v>
      </c>
      <c r="L139" s="79">
        <v>54.595091859366761</v>
      </c>
      <c r="M139" s="67">
        <v>1270.539</v>
      </c>
      <c r="N139" s="75">
        <v>1042.0039999999999</v>
      </c>
      <c r="O139" s="75">
        <v>228.535</v>
      </c>
      <c r="P139" s="75">
        <v>169.20400000000001</v>
      </c>
      <c r="Q139" s="75">
        <v>6.208289618177476</v>
      </c>
      <c r="R139" s="75">
        <v>140.40349570913753</v>
      </c>
      <c r="S139" s="75">
        <v>136.77639254847188</v>
      </c>
      <c r="T139" s="75">
        <v>108.43942195341394</v>
      </c>
      <c r="U139" s="75">
        <v>108.23395944065625</v>
      </c>
      <c r="V139" s="75">
        <v>105.53555493451549</v>
      </c>
      <c r="W139" s="75">
        <v>106.27412810037683</v>
      </c>
      <c r="X139" s="75">
        <v>96.172043581338016</v>
      </c>
      <c r="Y139" s="77">
        <v>93.68759031698211</v>
      </c>
      <c r="Z139" s="517"/>
      <c r="AA139" s="48"/>
      <c r="AB139" s="48"/>
      <c r="AC139" s="48"/>
      <c r="AD139" s="48"/>
      <c r="AE139" s="48"/>
      <c r="AF139" s="48"/>
      <c r="AG139" s="48"/>
      <c r="AH139" s="48"/>
    </row>
    <row r="140" spans="1:34" ht="15" customHeight="1" x14ac:dyDescent="0.25">
      <c r="A140" s="7"/>
      <c r="B140" s="152" t="s">
        <v>151</v>
      </c>
      <c r="C140" s="67">
        <v>33.356000000000002</v>
      </c>
      <c r="D140" s="75">
        <v>60.419127175</v>
      </c>
      <c r="E140" s="75">
        <v>28.998249999999999</v>
      </c>
      <c r="F140" s="75">
        <v>1.4375</v>
      </c>
      <c r="G140" s="75">
        <v>4.1312692724999991</v>
      </c>
      <c r="H140" s="75">
        <v>63.022905674999997</v>
      </c>
      <c r="I140" s="75">
        <v>31.691476951553014</v>
      </c>
      <c r="J140" s="75">
        <v>1057.0999999999999</v>
      </c>
      <c r="K140" s="79">
        <v>46.062829147483271</v>
      </c>
      <c r="L140" s="79">
        <v>54.640912019755149</v>
      </c>
      <c r="M140" s="67">
        <v>1346.6849999999999</v>
      </c>
      <c r="N140" s="75">
        <v>1108.385</v>
      </c>
      <c r="O140" s="75">
        <v>238.3</v>
      </c>
      <c r="P140" s="75">
        <v>171.245</v>
      </c>
      <c r="Q140" s="75">
        <v>5.675394743240858</v>
      </c>
      <c r="R140" s="75">
        <v>148.3719483239403</v>
      </c>
      <c r="S140" s="75">
        <v>143.9917598028176</v>
      </c>
      <c r="T140" s="75">
        <v>107.85287407120816</v>
      </c>
      <c r="U140" s="75">
        <v>107.46933110276515</v>
      </c>
      <c r="V140" s="75">
        <v>106.33354374351806</v>
      </c>
      <c r="W140" s="75">
        <v>106.29002872168972</v>
      </c>
      <c r="X140" s="75">
        <v>96.176596683335205</v>
      </c>
      <c r="Y140" s="77">
        <v>93.337302399261844</v>
      </c>
      <c r="Z140" s="517"/>
      <c r="AA140" s="48"/>
      <c r="AB140" s="48"/>
      <c r="AC140" s="48"/>
      <c r="AD140" s="48"/>
      <c r="AE140" s="48"/>
      <c r="AF140" s="48"/>
      <c r="AG140" s="48"/>
      <c r="AH140" s="48"/>
    </row>
    <row r="141" spans="1:34" ht="15" customHeight="1" x14ac:dyDescent="0.25">
      <c r="A141" s="7"/>
      <c r="B141" s="152" t="s">
        <v>152</v>
      </c>
      <c r="C141" s="67">
        <v>33.779249999999998</v>
      </c>
      <c r="D141" s="75">
        <v>60.489487125000004</v>
      </c>
      <c r="E141" s="75">
        <v>29.412500000000001</v>
      </c>
      <c r="F141" s="75">
        <v>1.5362499999999999</v>
      </c>
      <c r="G141" s="75">
        <v>4.3492215249999999</v>
      </c>
      <c r="H141" s="75">
        <v>63.240240200000002</v>
      </c>
      <c r="I141" s="75">
        <v>31.918422536004453</v>
      </c>
      <c r="J141" s="75">
        <v>1078.1750000000002</v>
      </c>
      <c r="K141" s="79">
        <v>46.412892970356545</v>
      </c>
      <c r="L141" s="79">
        <v>55.080446382205814</v>
      </c>
      <c r="M141" s="67">
        <v>1438.067</v>
      </c>
      <c r="N141" s="75">
        <v>1183.8630000000001</v>
      </c>
      <c r="O141" s="75">
        <v>254.20400000000001</v>
      </c>
      <c r="P141" s="75">
        <v>177.345</v>
      </c>
      <c r="Q141" s="75">
        <v>5.3054036656071224</v>
      </c>
      <c r="R141" s="75">
        <v>156.24367910905136</v>
      </c>
      <c r="S141" s="75">
        <v>150.27750278064295</v>
      </c>
      <c r="T141" s="75">
        <v>107.27389262552693</v>
      </c>
      <c r="U141" s="75">
        <v>107.65791486942561</v>
      </c>
      <c r="V141" s="75">
        <v>107.64192795008213</v>
      </c>
      <c r="W141" s="75">
        <v>108.65876631486697</v>
      </c>
      <c r="X141" s="75">
        <v>98.949377536049994</v>
      </c>
      <c r="Y141" s="77">
        <v>95.170988308833387</v>
      </c>
      <c r="Z141" s="517"/>
      <c r="AA141" s="48"/>
      <c r="AB141" s="48"/>
      <c r="AC141" s="48"/>
      <c r="AD141" s="48"/>
      <c r="AE141" s="48"/>
      <c r="AF141" s="48"/>
      <c r="AG141" s="48"/>
      <c r="AH141" s="48"/>
    </row>
    <row r="142" spans="1:34" ht="15" customHeight="1" x14ac:dyDescent="0.25">
      <c r="A142" s="7"/>
      <c r="B142" s="152" t="s">
        <v>153</v>
      </c>
      <c r="C142" s="67">
        <v>34.263249999999999</v>
      </c>
      <c r="D142" s="75">
        <v>60.732543225000001</v>
      </c>
      <c r="E142" s="75">
        <v>29.826250000000002</v>
      </c>
      <c r="F142" s="75">
        <v>1.7885</v>
      </c>
      <c r="G142" s="75">
        <v>4.9604873400000002</v>
      </c>
      <c r="H142" s="75">
        <v>63.902478024999994</v>
      </c>
      <c r="I142" s="75">
        <v>31.794451902213666</v>
      </c>
      <c r="J142" s="75">
        <v>1089.375</v>
      </c>
      <c r="K142" s="79">
        <v>46.38582050448489</v>
      </c>
      <c r="L142" s="79">
        <v>55.86446814664292</v>
      </c>
      <c r="M142" s="67">
        <v>1534.279</v>
      </c>
      <c r="N142" s="75">
        <v>1243.5830000000001</v>
      </c>
      <c r="O142" s="75">
        <v>290.69600000000003</v>
      </c>
      <c r="P142" s="75">
        <v>179.001</v>
      </c>
      <c r="Q142" s="75">
        <v>3.5873243596173054</v>
      </c>
      <c r="R142" s="75">
        <v>161.84864667009265</v>
      </c>
      <c r="S142" s="75">
        <v>157.84993094348692</v>
      </c>
      <c r="T142" s="75">
        <v>107.32430620841716</v>
      </c>
      <c r="U142" s="75">
        <v>107.29308573628924</v>
      </c>
      <c r="V142" s="75">
        <v>109.47854359460894</v>
      </c>
      <c r="W142" s="75">
        <v>110.55427625069034</v>
      </c>
      <c r="X142" s="75">
        <v>99.085405326187924</v>
      </c>
      <c r="Y142" s="77">
        <v>96.637350450804504</v>
      </c>
      <c r="Z142" s="517"/>
      <c r="AA142" s="48"/>
      <c r="AB142" s="48"/>
      <c r="AC142" s="48"/>
      <c r="AD142" s="48"/>
      <c r="AE142" s="48"/>
      <c r="AF142" s="48"/>
      <c r="AG142" s="48"/>
      <c r="AH142" s="48"/>
    </row>
    <row r="143" spans="1:34" ht="15" customHeight="1" x14ac:dyDescent="0.25">
      <c r="A143" s="7"/>
      <c r="B143" s="152" t="s">
        <v>154</v>
      </c>
      <c r="C143" s="67">
        <v>34.451653050000012</v>
      </c>
      <c r="D143" s="75">
        <v>60.590314899999996</v>
      </c>
      <c r="E143" s="75">
        <v>29.943983682500008</v>
      </c>
      <c r="F143" s="75">
        <v>1.8189420600000001</v>
      </c>
      <c r="G143" s="75">
        <v>5.0148724499999995</v>
      </c>
      <c r="H143" s="75">
        <v>63.789221649999995</v>
      </c>
      <c r="I143" s="75">
        <v>31.909718669401897</v>
      </c>
      <c r="J143" s="75">
        <v>1099.3434324695959</v>
      </c>
      <c r="K143" s="79">
        <v>46.343531001477366</v>
      </c>
      <c r="L143" s="79">
        <v>55.891935595320128</v>
      </c>
      <c r="M143" s="67">
        <v>1597.1853896999999</v>
      </c>
      <c r="N143" s="75">
        <v>1292.8692649999998</v>
      </c>
      <c r="O143" s="75">
        <v>304.31612469999999</v>
      </c>
      <c r="P143" s="75">
        <v>184.1401789</v>
      </c>
      <c r="Q143" s="75">
        <v>3.5544844820170063</v>
      </c>
      <c r="R143" s="75">
        <v>167.60153170033561</v>
      </c>
      <c r="S143" s="75">
        <v>163.5995273496741</v>
      </c>
      <c r="T143" s="75">
        <v>107.72563865494951</v>
      </c>
      <c r="U143" s="75">
        <v>108.08435269519867</v>
      </c>
      <c r="V143" s="75">
        <v>110.23823725416467</v>
      </c>
      <c r="W143" s="75">
        <v>111.43546719446778</v>
      </c>
      <c r="X143" s="75">
        <v>99.343927555656435</v>
      </c>
      <c r="Y143" s="77">
        <v>96.971784376199182</v>
      </c>
      <c r="Z143" s="517"/>
      <c r="AA143" s="48"/>
      <c r="AB143" s="48"/>
      <c r="AC143" s="48"/>
      <c r="AD143" s="48"/>
      <c r="AE143" s="48"/>
      <c r="AF143" s="48"/>
      <c r="AG143" s="48"/>
      <c r="AH143" s="48"/>
    </row>
    <row r="144" spans="1:34" ht="15" customHeight="1" x14ac:dyDescent="0.25">
      <c r="A144" s="7"/>
      <c r="B144" s="152" t="s">
        <v>155</v>
      </c>
      <c r="C144" s="67">
        <v>34.506469274999994</v>
      </c>
      <c r="D144" s="75">
        <v>60.369199925000004</v>
      </c>
      <c r="E144" s="75">
        <v>29.954320069999994</v>
      </c>
      <c r="F144" s="75">
        <v>1.84385756</v>
      </c>
      <c r="G144" s="75">
        <v>5.0724999999999998</v>
      </c>
      <c r="H144" s="75">
        <v>63.595085624999996</v>
      </c>
      <c r="I144" s="75">
        <v>31.863883658512179</v>
      </c>
      <c r="J144" s="75">
        <v>1099.5098263868563</v>
      </c>
      <c r="K144" s="79">
        <v>46.234735424116202</v>
      </c>
      <c r="L144" s="79">
        <v>55.768390190750829</v>
      </c>
      <c r="M144" s="67">
        <v>1644.0697564000002</v>
      </c>
      <c r="N144" s="75">
        <v>1330.3151200000002</v>
      </c>
      <c r="O144" s="75">
        <v>313.75463640000004</v>
      </c>
      <c r="P144" s="75">
        <v>191.28000349999999</v>
      </c>
      <c r="Q144" s="75">
        <v>2.8608307065622229</v>
      </c>
      <c r="R144" s="75">
        <v>172.39632778388744</v>
      </c>
      <c r="S144" s="75">
        <v>167.64749446152203</v>
      </c>
      <c r="T144" s="75">
        <v>108.90419380515415</v>
      </c>
      <c r="U144" s="75">
        <v>109.11179924064629</v>
      </c>
      <c r="V144" s="75">
        <v>111.00650300196628</v>
      </c>
      <c r="W144" s="75">
        <v>111.45897331342219</v>
      </c>
      <c r="X144" s="75">
        <v>99.147313902206832</v>
      </c>
      <c r="Y144" s="77">
        <v>96.416199648589725</v>
      </c>
      <c r="Z144" s="517"/>
      <c r="AA144" s="48"/>
      <c r="AB144" s="48"/>
      <c r="AC144" s="48"/>
      <c r="AD144" s="48"/>
      <c r="AE144" s="48"/>
      <c r="AF144" s="48"/>
      <c r="AG144" s="48"/>
      <c r="AH144" s="48"/>
    </row>
    <row r="145" spans="1:34" ht="15" customHeight="1" x14ac:dyDescent="0.25">
      <c r="A145" s="7"/>
      <c r="B145" s="152" t="s">
        <v>156</v>
      </c>
      <c r="C145" s="67">
        <v>34.717823824999996</v>
      </c>
      <c r="D145" s="75">
        <v>60.402254474999999</v>
      </c>
      <c r="E145" s="75">
        <v>30.091807947499998</v>
      </c>
      <c r="F145" s="75">
        <v>1.7351282674999997</v>
      </c>
      <c r="G145" s="75">
        <v>4.76</v>
      </c>
      <c r="H145" s="75">
        <v>63.421144699999999</v>
      </c>
      <c r="I145" s="75">
        <v>31.825973383578756</v>
      </c>
      <c r="J145" s="75">
        <v>1104.9275240206989</v>
      </c>
      <c r="K145" s="79">
        <v>45.787712898478986</v>
      </c>
      <c r="L145" s="79">
        <v>55.256157824132202</v>
      </c>
      <c r="M145" s="67">
        <v>1687.9974882000001</v>
      </c>
      <c r="N145" s="75">
        <v>1364.7354310000001</v>
      </c>
      <c r="O145" s="75">
        <v>323.26205720000002</v>
      </c>
      <c r="P145" s="75">
        <v>198.50228990000002</v>
      </c>
      <c r="Q145" s="75">
        <v>2.1186639645702554</v>
      </c>
      <c r="R145" s="75">
        <v>176.04882665688709</v>
      </c>
      <c r="S145" s="75">
        <v>171.18936271129226</v>
      </c>
      <c r="T145" s="75">
        <v>110.25932366543248</v>
      </c>
      <c r="U145" s="75">
        <v>110.33823152386377</v>
      </c>
      <c r="V145" s="75">
        <v>111.36236322678037</v>
      </c>
      <c r="W145" s="75">
        <v>111.6026418652628</v>
      </c>
      <c r="X145" s="75">
        <v>99.249448921563925</v>
      </c>
      <c r="Y145" s="77">
        <v>96.509873044727897</v>
      </c>
      <c r="Z145" s="517"/>
      <c r="AA145" s="48"/>
      <c r="AB145" s="48"/>
      <c r="AC145" s="48"/>
      <c r="AD145" s="48"/>
      <c r="AE145" s="48"/>
      <c r="AF145" s="48"/>
      <c r="AG145" s="48"/>
      <c r="AH145" s="48"/>
    </row>
    <row r="146" spans="1:34" ht="15" customHeight="1" x14ac:dyDescent="0.25">
      <c r="A146" s="7"/>
      <c r="B146" s="152" t="s">
        <v>157</v>
      </c>
      <c r="C146" s="67">
        <v>34.968021625000006</v>
      </c>
      <c r="D146" s="75">
        <v>60.496005350000004</v>
      </c>
      <c r="E146" s="75">
        <v>30.262358505000009</v>
      </c>
      <c r="F146" s="75">
        <v>1.6285084374999999</v>
      </c>
      <c r="G146" s="75">
        <v>4.45</v>
      </c>
      <c r="H146" s="75">
        <v>63.313464574999998</v>
      </c>
      <c r="I146" s="75">
        <v>31.77272934716251</v>
      </c>
      <c r="J146" s="75">
        <v>1111.0283106311688</v>
      </c>
      <c r="K146" s="79">
        <v>45.473563756057636</v>
      </c>
      <c r="L146" s="79">
        <v>54.979690065002217</v>
      </c>
      <c r="M146" s="67">
        <v>1741.273637</v>
      </c>
      <c r="N146" s="75">
        <v>1404.4763780000001</v>
      </c>
      <c r="O146" s="75">
        <v>336.797259</v>
      </c>
      <c r="P146" s="75">
        <v>206.62904310000002</v>
      </c>
      <c r="Q146" s="75">
        <v>2.3320046582870013</v>
      </c>
      <c r="R146" s="75">
        <v>180.1542934953853</v>
      </c>
      <c r="S146" s="75">
        <v>175.40229987169263</v>
      </c>
      <c r="T146" s="75">
        <v>111.60677583876247</v>
      </c>
      <c r="U146" s="75">
        <v>111.49976836288717</v>
      </c>
      <c r="V146" s="75">
        <v>112.1002689119381</v>
      </c>
      <c r="W146" s="75">
        <v>112.14028183970672</v>
      </c>
      <c r="X146" s="75">
        <v>99.448152257078107</v>
      </c>
      <c r="Y146" s="77">
        <v>96.824973112997611</v>
      </c>
      <c r="Z146" s="517"/>
      <c r="AA146" s="48"/>
      <c r="AB146" s="48"/>
      <c r="AC146" s="48"/>
      <c r="AD146" s="48"/>
      <c r="AE146" s="48"/>
      <c r="AF146" s="48"/>
      <c r="AG146" s="48"/>
      <c r="AH146" s="48"/>
    </row>
    <row r="147" spans="1:34" ht="15" customHeight="1" x14ac:dyDescent="0.25">
      <c r="A147" s="7"/>
      <c r="B147" s="152" t="s">
        <v>158</v>
      </c>
      <c r="C147" s="67">
        <v>35.232297299999999</v>
      </c>
      <c r="D147" s="75">
        <v>60.610215050000001</v>
      </c>
      <c r="E147" s="75">
        <v>30.444273684999999</v>
      </c>
      <c r="F147" s="75">
        <v>1.5518055774999999</v>
      </c>
      <c r="G147" s="75">
        <v>4.21875</v>
      </c>
      <c r="H147" s="75">
        <v>63.279838100000006</v>
      </c>
      <c r="I147" s="75">
        <v>31.723771427290146</v>
      </c>
      <c r="J147" s="75">
        <v>1117.7005594107893</v>
      </c>
      <c r="K147" s="79">
        <v>45.31517784740651</v>
      </c>
      <c r="L147" s="79">
        <v>54.79865644818036</v>
      </c>
      <c r="M147" s="67">
        <v>1797.1533282</v>
      </c>
      <c r="N147" s="75">
        <v>1448.8272650000001</v>
      </c>
      <c r="O147" s="75">
        <v>348.32606319999996</v>
      </c>
      <c r="P147" s="75">
        <v>215.5891551</v>
      </c>
      <c r="Q147" s="75">
        <v>2.541419569131409</v>
      </c>
      <c r="R147" s="75">
        <v>184.73276996490745</v>
      </c>
      <c r="S147" s="75">
        <v>180.5192659256933</v>
      </c>
      <c r="T147" s="75">
        <v>112.78912058332367</v>
      </c>
      <c r="U147" s="75">
        <v>112.50732059463417</v>
      </c>
      <c r="V147" s="75">
        <v>112.75702084282032</v>
      </c>
      <c r="W147" s="75">
        <v>112.79015597026657</v>
      </c>
      <c r="X147" s="75">
        <v>99.993484210797206</v>
      </c>
      <c r="Y147" s="77">
        <v>97.712768397910736</v>
      </c>
      <c r="Z147" s="504"/>
      <c r="AA147" s="509"/>
      <c r="AB147" s="48"/>
      <c r="AC147" s="48"/>
      <c r="AD147" s="48"/>
      <c r="AE147" s="48"/>
      <c r="AF147" s="48"/>
      <c r="AG147" s="48"/>
      <c r="AH147" s="48"/>
    </row>
    <row r="148" spans="1:34" ht="15" customHeight="1" thickBot="1" x14ac:dyDescent="0.3">
      <c r="A148" s="7"/>
      <c r="B148" s="371" t="s">
        <v>649</v>
      </c>
      <c r="C148" s="67">
        <v>35.433228499999998</v>
      </c>
      <c r="D148" s="75">
        <v>60.618102899999997</v>
      </c>
      <c r="E148" s="75">
        <v>30.570403099999996</v>
      </c>
      <c r="F148" s="75">
        <v>1.530288885</v>
      </c>
      <c r="G148" s="75">
        <v>4.1399980124999995</v>
      </c>
      <c r="H148" s="75">
        <v>63.236075150000005</v>
      </c>
      <c r="I148" s="75">
        <v>31.68671860050922</v>
      </c>
      <c r="J148" s="75">
        <v>1122.7623139333346</v>
      </c>
      <c r="K148" s="79">
        <v>45.16612087100318</v>
      </c>
      <c r="L148" s="79">
        <v>54.613018452961271</v>
      </c>
      <c r="M148" s="67">
        <v>1851.6499437</v>
      </c>
      <c r="N148" s="75">
        <v>1492.4980430000001</v>
      </c>
      <c r="O148" s="75">
        <v>359.1519007</v>
      </c>
      <c r="P148" s="75">
        <v>224.62633750000001</v>
      </c>
      <c r="Q148" s="75">
        <v>2.5891926937493981</v>
      </c>
      <c r="R148" s="75">
        <v>189.51585734779971</v>
      </c>
      <c r="S148" s="75">
        <v>187.19925860378385</v>
      </c>
      <c r="T148" s="75">
        <v>114.04024661657746</v>
      </c>
      <c r="U148" s="75">
        <v>113.62235114556862</v>
      </c>
      <c r="V148" s="75">
        <v>113.4918657073512</v>
      </c>
      <c r="W148" s="75">
        <v>113.46076848680832</v>
      </c>
      <c r="X148" s="75">
        <v>100.57115345229872</v>
      </c>
      <c r="Y148" s="77">
        <v>99.341794542536121</v>
      </c>
      <c r="Z148" s="517"/>
      <c r="AA148" s="48"/>
      <c r="AB148" s="48"/>
      <c r="AC148" s="48"/>
      <c r="AD148" s="48"/>
      <c r="AE148" s="48"/>
      <c r="AF148" s="48"/>
      <c r="AG148" s="48"/>
      <c r="AH148" s="48"/>
    </row>
    <row r="149" spans="1:34" ht="15" customHeight="1" x14ac:dyDescent="0.25">
      <c r="A149" s="7"/>
      <c r="B149" s="313" t="s">
        <v>159</v>
      </c>
      <c r="C149" s="314"/>
      <c r="D149" s="314"/>
      <c r="E149" s="314"/>
      <c r="F149" s="314"/>
      <c r="G149" s="314"/>
      <c r="H149" s="314"/>
      <c r="I149" s="314"/>
      <c r="J149" s="314"/>
      <c r="K149" s="314"/>
      <c r="L149" s="314"/>
      <c r="M149" s="314"/>
      <c r="N149" s="314"/>
      <c r="O149" s="314"/>
      <c r="P149" s="314"/>
      <c r="Q149" s="314"/>
      <c r="R149" s="314"/>
      <c r="S149" s="314"/>
      <c r="T149" s="314"/>
      <c r="U149" s="314"/>
      <c r="V149" s="314"/>
      <c r="W149" s="314"/>
      <c r="X149" s="314"/>
      <c r="Y149" s="315"/>
      <c r="Z149" s="277"/>
      <c r="AA149" s="48"/>
      <c r="AB149" s="48"/>
      <c r="AC149" s="48"/>
      <c r="AD149" s="48"/>
      <c r="AE149" s="48"/>
      <c r="AF149" s="48"/>
      <c r="AG149" s="48"/>
      <c r="AH149" s="48"/>
    </row>
    <row r="150" spans="1:34" ht="15" customHeight="1" x14ac:dyDescent="0.25">
      <c r="A150" s="7"/>
      <c r="B150" s="276" t="s">
        <v>250</v>
      </c>
      <c r="C150" s="277"/>
      <c r="D150" s="277"/>
      <c r="E150" s="277"/>
      <c r="F150" s="277"/>
      <c r="G150" s="277"/>
      <c r="H150" s="277"/>
      <c r="I150" s="277"/>
      <c r="J150" s="277"/>
      <c r="K150" s="277"/>
      <c r="L150" s="277"/>
      <c r="M150" s="277"/>
      <c r="N150" s="277"/>
      <c r="O150" s="277"/>
      <c r="P150" s="277"/>
      <c r="Q150" s="277"/>
      <c r="R150" s="277"/>
      <c r="S150" s="277"/>
      <c r="T150" s="277"/>
      <c r="U150" s="277"/>
      <c r="V150" s="277"/>
      <c r="W150" s="277"/>
      <c r="X150" s="277"/>
      <c r="Y150" s="278"/>
      <c r="Z150" s="277"/>
      <c r="AA150" s="48"/>
      <c r="AB150" s="48"/>
      <c r="AC150" s="48"/>
      <c r="AD150" s="48"/>
      <c r="AE150" s="48"/>
      <c r="AF150" s="48"/>
      <c r="AG150" s="48"/>
      <c r="AH150" s="48"/>
    </row>
    <row r="151" spans="1:34" x14ac:dyDescent="0.25">
      <c r="A151" s="7"/>
      <c r="B151" s="276" t="s">
        <v>251</v>
      </c>
      <c r="C151" s="277"/>
      <c r="D151" s="277"/>
      <c r="E151" s="277"/>
      <c r="F151" s="277"/>
      <c r="G151" s="277"/>
      <c r="H151" s="277"/>
      <c r="I151" s="277"/>
      <c r="J151" s="277"/>
      <c r="K151" s="277"/>
      <c r="L151" s="277"/>
      <c r="M151" s="277"/>
      <c r="N151" s="277"/>
      <c r="O151" s="277"/>
      <c r="P151" s="277"/>
      <c r="Q151" s="277"/>
      <c r="R151" s="277"/>
      <c r="S151" s="277"/>
      <c r="T151" s="277"/>
      <c r="U151" s="277"/>
      <c r="V151" s="277"/>
      <c r="W151" s="277"/>
      <c r="X151" s="277"/>
      <c r="Y151" s="278"/>
      <c r="Z151" s="277"/>
      <c r="AA151" s="48"/>
      <c r="AB151" s="48"/>
      <c r="AC151" s="48"/>
      <c r="AD151" s="48"/>
      <c r="AE151" s="48"/>
      <c r="AF151" s="48"/>
      <c r="AG151" s="48"/>
      <c r="AH151" s="48"/>
    </row>
    <row r="152" spans="1:34" x14ac:dyDescent="0.25">
      <c r="A152" s="7"/>
      <c r="B152" s="276" t="s">
        <v>252</v>
      </c>
      <c r="C152" s="277"/>
      <c r="D152" s="277"/>
      <c r="E152" s="277"/>
      <c r="F152" s="277"/>
      <c r="G152" s="277"/>
      <c r="H152" s="277"/>
      <c r="I152" s="277"/>
      <c r="J152" s="277"/>
      <c r="K152" s="277"/>
      <c r="L152" s="277"/>
      <c r="M152" s="277"/>
      <c r="N152" s="277"/>
      <c r="O152" s="277"/>
      <c r="P152" s="277"/>
      <c r="Q152" s="277"/>
      <c r="R152" s="277"/>
      <c r="S152" s="277"/>
      <c r="T152" s="277"/>
      <c r="U152" s="277"/>
      <c r="V152" s="277"/>
      <c r="W152" s="277"/>
      <c r="X152" s="277"/>
      <c r="Y152" s="278"/>
      <c r="Z152" s="277"/>
      <c r="AC152" s="48"/>
      <c r="AD152" s="48"/>
      <c r="AE152" s="48"/>
      <c r="AF152" s="48"/>
      <c r="AG152" s="48"/>
      <c r="AH152" s="48"/>
    </row>
    <row r="153" spans="1:34" ht="16.5" customHeight="1" x14ac:dyDescent="0.25">
      <c r="B153" s="276" t="s">
        <v>253</v>
      </c>
      <c r="C153" s="277"/>
      <c r="D153" s="277"/>
      <c r="E153" s="277"/>
      <c r="F153" s="277"/>
      <c r="G153" s="277"/>
      <c r="H153" s="277"/>
      <c r="I153" s="277"/>
      <c r="J153" s="277"/>
      <c r="K153" s="277"/>
      <c r="L153" s="277"/>
      <c r="M153" s="277"/>
      <c r="N153" s="277"/>
      <c r="O153" s="277"/>
      <c r="P153" s="277"/>
      <c r="Q153" s="277"/>
      <c r="R153" s="277"/>
      <c r="S153" s="277"/>
      <c r="T153" s="277"/>
      <c r="U153" s="277"/>
      <c r="V153" s="277"/>
      <c r="W153" s="277"/>
      <c r="X153" s="277"/>
      <c r="Y153" s="278"/>
      <c r="Z153" s="277"/>
    </row>
    <row r="154" spans="1:34" x14ac:dyDescent="0.25">
      <c r="B154" s="276" t="s">
        <v>254</v>
      </c>
      <c r="C154" s="277"/>
      <c r="D154" s="277"/>
      <c r="E154" s="277"/>
      <c r="F154" s="277"/>
      <c r="G154" s="277"/>
      <c r="H154" s="277"/>
      <c r="I154" s="277"/>
      <c r="J154" s="277"/>
      <c r="K154" s="277"/>
      <c r="L154" s="277"/>
      <c r="M154" s="277"/>
      <c r="N154" s="277"/>
      <c r="O154" s="277"/>
      <c r="P154" s="277"/>
      <c r="Q154" s="277"/>
      <c r="R154" s="277"/>
      <c r="S154" s="277"/>
      <c r="T154" s="277"/>
      <c r="U154" s="277"/>
      <c r="V154" s="277"/>
      <c r="W154" s="277"/>
      <c r="X154" s="277"/>
      <c r="Y154" s="278"/>
      <c r="Z154" s="277"/>
    </row>
    <row r="155" spans="1:34" x14ac:dyDescent="0.25">
      <c r="B155" s="276" t="s">
        <v>255</v>
      </c>
      <c r="C155" s="277"/>
      <c r="D155" s="277"/>
      <c r="E155" s="277"/>
      <c r="F155" s="277"/>
      <c r="G155" s="277"/>
      <c r="H155" s="277"/>
      <c r="I155" s="277"/>
      <c r="J155" s="277"/>
      <c r="K155" s="277"/>
      <c r="L155" s="277"/>
      <c r="M155" s="277"/>
      <c r="N155" s="277"/>
      <c r="O155" s="277"/>
      <c r="P155" s="277"/>
      <c r="Q155" s="277"/>
      <c r="R155" s="277"/>
      <c r="S155" s="277"/>
      <c r="T155" s="277"/>
      <c r="U155" s="277"/>
      <c r="V155" s="277"/>
      <c r="W155" s="277"/>
      <c r="X155" s="277"/>
      <c r="Y155" s="278"/>
      <c r="Z155" s="277"/>
    </row>
    <row r="156" spans="1:34" x14ac:dyDescent="0.25">
      <c r="B156" s="276" t="s">
        <v>256</v>
      </c>
      <c r="C156" s="277"/>
      <c r="D156" s="277"/>
      <c r="E156" s="277"/>
      <c r="F156" s="277"/>
      <c r="G156" s="277"/>
      <c r="H156" s="277"/>
      <c r="I156" s="277"/>
      <c r="J156" s="277"/>
      <c r="K156" s="277"/>
      <c r="L156" s="277"/>
      <c r="M156" s="277"/>
      <c r="N156" s="277"/>
      <c r="O156" s="277"/>
      <c r="P156" s="277"/>
      <c r="Q156" s="277"/>
      <c r="R156" s="277"/>
      <c r="S156" s="277"/>
      <c r="T156" s="277"/>
      <c r="U156" s="277"/>
      <c r="V156" s="277"/>
      <c r="W156" s="277"/>
      <c r="X156" s="277"/>
      <c r="Y156" s="278"/>
      <c r="Z156" s="277"/>
    </row>
    <row r="157" spans="1:34" x14ac:dyDescent="0.25">
      <c r="B157" s="276" t="s">
        <v>257</v>
      </c>
      <c r="C157" s="277"/>
      <c r="D157" s="277"/>
      <c r="E157" s="277"/>
      <c r="F157" s="277"/>
      <c r="G157" s="277"/>
      <c r="H157" s="277"/>
      <c r="I157" s="277"/>
      <c r="J157" s="277"/>
      <c r="K157" s="277"/>
      <c r="L157" s="277"/>
      <c r="M157" s="277"/>
      <c r="N157" s="277"/>
      <c r="O157" s="277"/>
      <c r="P157" s="277"/>
      <c r="Q157" s="277"/>
      <c r="R157" s="277"/>
      <c r="S157" s="277"/>
      <c r="T157" s="277"/>
      <c r="U157" s="277"/>
      <c r="V157" s="277"/>
      <c r="W157" s="277"/>
      <c r="X157" s="277"/>
      <c r="Y157" s="278"/>
      <c r="Z157" s="277"/>
    </row>
    <row r="158" spans="1:34" x14ac:dyDescent="0.25">
      <c r="B158" s="276" t="s">
        <v>258</v>
      </c>
      <c r="C158" s="277"/>
      <c r="D158" s="277"/>
      <c r="E158" s="277"/>
      <c r="F158" s="277"/>
      <c r="G158" s="277"/>
      <c r="H158" s="277"/>
      <c r="I158" s="277"/>
      <c r="J158" s="277"/>
      <c r="K158" s="277"/>
      <c r="L158" s="277"/>
      <c r="M158" s="277"/>
      <c r="N158" s="277"/>
      <c r="O158" s="277"/>
      <c r="P158" s="277"/>
      <c r="Q158" s="277"/>
      <c r="R158" s="277"/>
      <c r="S158" s="277"/>
      <c r="T158" s="277"/>
      <c r="U158" s="277"/>
      <c r="V158" s="277"/>
      <c r="W158" s="277"/>
      <c r="X158" s="277"/>
      <c r="Y158" s="278"/>
      <c r="Z158" s="277"/>
    </row>
    <row r="159" spans="1:34" x14ac:dyDescent="0.25">
      <c r="B159" s="276" t="s">
        <v>259</v>
      </c>
      <c r="C159" s="277"/>
      <c r="D159" s="277"/>
      <c r="E159" s="277"/>
      <c r="F159" s="277"/>
      <c r="G159" s="277"/>
      <c r="H159" s="277"/>
      <c r="I159" s="277"/>
      <c r="J159" s="277"/>
      <c r="K159" s="277"/>
      <c r="L159" s="277"/>
      <c r="M159" s="277"/>
      <c r="N159" s="277"/>
      <c r="O159" s="277"/>
      <c r="P159" s="277"/>
      <c r="Q159" s="277"/>
      <c r="R159" s="277"/>
      <c r="S159" s="277"/>
      <c r="T159" s="277"/>
      <c r="U159" s="277"/>
      <c r="V159" s="277"/>
      <c r="W159" s="277"/>
      <c r="X159" s="277"/>
      <c r="Y159" s="278"/>
      <c r="Z159" s="277"/>
    </row>
    <row r="160" spans="1:34" x14ac:dyDescent="0.25">
      <c r="B160" s="276" t="s">
        <v>260</v>
      </c>
      <c r="C160" s="277"/>
      <c r="D160" s="277"/>
      <c r="E160" s="277"/>
      <c r="F160" s="277"/>
      <c r="G160" s="277"/>
      <c r="H160" s="277"/>
      <c r="I160" s="277"/>
      <c r="J160" s="277"/>
      <c r="K160" s="277"/>
      <c r="L160" s="277"/>
      <c r="M160" s="277"/>
      <c r="N160" s="277"/>
      <c r="O160" s="277"/>
      <c r="P160" s="277"/>
      <c r="Q160" s="277"/>
      <c r="R160" s="277"/>
      <c r="S160" s="277"/>
      <c r="T160" s="277"/>
      <c r="U160" s="277"/>
      <c r="V160" s="277"/>
      <c r="W160" s="277"/>
      <c r="X160" s="277"/>
      <c r="Y160" s="278"/>
      <c r="Z160" s="277"/>
    </row>
    <row r="161" spans="2:26" ht="15" customHeight="1" x14ac:dyDescent="0.25">
      <c r="B161" s="276" t="s">
        <v>261</v>
      </c>
      <c r="C161" s="277"/>
      <c r="D161" s="277"/>
      <c r="E161" s="277"/>
      <c r="F161" s="277"/>
      <c r="G161" s="277"/>
      <c r="H161" s="277"/>
      <c r="I161" s="277"/>
      <c r="J161" s="277"/>
      <c r="K161" s="277"/>
      <c r="L161" s="277"/>
      <c r="M161" s="277"/>
      <c r="N161" s="277"/>
      <c r="O161" s="277"/>
      <c r="P161" s="277"/>
      <c r="Q161" s="277"/>
      <c r="R161" s="277"/>
      <c r="S161" s="277"/>
      <c r="T161" s="277"/>
      <c r="U161" s="277"/>
      <c r="V161" s="277"/>
      <c r="W161" s="277"/>
      <c r="X161" s="277"/>
      <c r="Y161" s="278"/>
      <c r="Z161" s="277"/>
    </row>
    <row r="162" spans="2:26" ht="15" customHeight="1" x14ac:dyDescent="0.25">
      <c r="B162" s="276" t="s">
        <v>262</v>
      </c>
      <c r="C162" s="277"/>
      <c r="D162" s="277"/>
      <c r="E162" s="277"/>
      <c r="F162" s="277"/>
      <c r="G162" s="277"/>
      <c r="H162" s="277"/>
      <c r="I162" s="277"/>
      <c r="J162" s="277"/>
      <c r="K162" s="277"/>
      <c r="L162" s="277"/>
      <c r="M162" s="277"/>
      <c r="N162" s="277"/>
      <c r="O162" s="277"/>
      <c r="P162" s="277"/>
      <c r="Q162" s="277"/>
      <c r="R162" s="277"/>
      <c r="S162" s="277"/>
      <c r="T162" s="277"/>
      <c r="U162" s="277"/>
      <c r="V162" s="277"/>
      <c r="W162" s="277"/>
      <c r="X162" s="277"/>
      <c r="Y162" s="278"/>
      <c r="Z162" s="277"/>
    </row>
    <row r="163" spans="2:26" x14ac:dyDescent="0.25">
      <c r="B163" s="276" t="s">
        <v>263</v>
      </c>
      <c r="C163" s="277"/>
      <c r="D163" s="277"/>
      <c r="E163" s="277"/>
      <c r="F163" s="277"/>
      <c r="G163" s="277"/>
      <c r="H163" s="277"/>
      <c r="I163" s="277"/>
      <c r="J163" s="277"/>
      <c r="K163" s="277"/>
      <c r="L163" s="277"/>
      <c r="M163" s="277"/>
      <c r="N163" s="277"/>
      <c r="O163" s="277"/>
      <c r="P163" s="277"/>
      <c r="Q163" s="277"/>
      <c r="R163" s="277"/>
      <c r="S163" s="277"/>
      <c r="T163" s="277"/>
      <c r="U163" s="277"/>
      <c r="V163" s="277"/>
      <c r="W163" s="277"/>
      <c r="X163" s="277"/>
      <c r="Y163" s="278"/>
      <c r="Z163" s="277"/>
    </row>
    <row r="164" spans="2:26" x14ac:dyDescent="0.25">
      <c r="B164" s="276" t="s">
        <v>264</v>
      </c>
      <c r="C164" s="277"/>
      <c r="D164" s="277"/>
      <c r="E164" s="277"/>
      <c r="F164" s="277"/>
      <c r="G164" s="277"/>
      <c r="H164" s="277"/>
      <c r="I164" s="277"/>
      <c r="J164" s="277"/>
      <c r="K164" s="277"/>
      <c r="L164" s="277"/>
      <c r="M164" s="277"/>
      <c r="N164" s="277"/>
      <c r="O164" s="277"/>
      <c r="P164" s="277"/>
      <c r="Q164" s="277"/>
      <c r="R164" s="277"/>
      <c r="S164" s="277"/>
      <c r="T164" s="277"/>
      <c r="U164" s="277"/>
      <c r="V164" s="277"/>
      <c r="W164" s="277"/>
      <c r="X164" s="277"/>
      <c r="Y164" s="278"/>
      <c r="Z164" s="277"/>
    </row>
    <row r="165" spans="2:26" x14ac:dyDescent="0.25">
      <c r="B165" s="276" t="s">
        <v>265</v>
      </c>
      <c r="C165" s="277"/>
      <c r="D165" s="277"/>
      <c r="E165" s="277"/>
      <c r="F165" s="277"/>
      <c r="G165" s="277"/>
      <c r="H165" s="277"/>
      <c r="I165" s="277"/>
      <c r="J165" s="277"/>
      <c r="K165" s="277"/>
      <c r="L165" s="277"/>
      <c r="M165" s="277"/>
      <c r="N165" s="277"/>
      <c r="O165" s="277"/>
      <c r="P165" s="277"/>
      <c r="Q165" s="277"/>
      <c r="R165" s="277"/>
      <c r="S165" s="277"/>
      <c r="T165" s="277"/>
      <c r="U165" s="277"/>
      <c r="V165" s="277"/>
      <c r="W165" s="277"/>
      <c r="X165" s="277"/>
      <c r="Y165" s="278"/>
      <c r="Z165" s="277"/>
    </row>
    <row r="166" spans="2:26" ht="15" customHeight="1" x14ac:dyDescent="0.25">
      <c r="B166" s="276" t="s">
        <v>266</v>
      </c>
      <c r="C166" s="277"/>
      <c r="D166" s="277"/>
      <c r="E166" s="277"/>
      <c r="F166" s="277"/>
      <c r="G166" s="277"/>
      <c r="H166" s="277"/>
      <c r="I166" s="277"/>
      <c r="J166" s="277"/>
      <c r="K166" s="277"/>
      <c r="L166" s="277"/>
      <c r="M166" s="277"/>
      <c r="N166" s="277"/>
      <c r="O166" s="277"/>
      <c r="P166" s="277"/>
      <c r="Q166" s="277"/>
      <c r="R166" s="277"/>
      <c r="S166" s="277"/>
      <c r="T166" s="277"/>
      <c r="U166" s="277"/>
      <c r="V166" s="277"/>
      <c r="W166" s="277"/>
      <c r="X166" s="277"/>
      <c r="Y166" s="278"/>
      <c r="Z166" s="277"/>
    </row>
    <row r="167" spans="2:26" ht="15.75" customHeight="1" x14ac:dyDescent="0.25">
      <c r="B167" s="276" t="s">
        <v>267</v>
      </c>
      <c r="C167" s="277"/>
      <c r="D167" s="277"/>
      <c r="E167" s="277"/>
      <c r="F167" s="277"/>
      <c r="G167" s="277"/>
      <c r="H167" s="277"/>
      <c r="I167" s="277"/>
      <c r="J167" s="277"/>
      <c r="K167" s="277"/>
      <c r="L167" s="277"/>
      <c r="M167" s="277"/>
      <c r="N167" s="277"/>
      <c r="O167" s="277"/>
      <c r="P167" s="277"/>
      <c r="Q167" s="277"/>
      <c r="R167" s="277"/>
      <c r="S167" s="277"/>
      <c r="T167" s="277"/>
      <c r="U167" s="277"/>
      <c r="V167" s="277"/>
      <c r="W167" s="277"/>
      <c r="X167" s="277"/>
      <c r="Y167" s="278"/>
      <c r="Z167" s="277"/>
    </row>
    <row r="168" spans="2:26" x14ac:dyDescent="0.25">
      <c r="B168" s="276" t="s">
        <v>268</v>
      </c>
      <c r="C168" s="277"/>
      <c r="D168" s="277"/>
      <c r="E168" s="277"/>
      <c r="F168" s="277"/>
      <c r="G168" s="277"/>
      <c r="H168" s="277"/>
      <c r="I168" s="277"/>
      <c r="J168" s="277"/>
      <c r="K168" s="277"/>
      <c r="L168" s="277"/>
      <c r="M168" s="277"/>
      <c r="N168" s="277"/>
      <c r="O168" s="277"/>
      <c r="P168" s="277"/>
      <c r="Q168" s="277"/>
      <c r="R168" s="277"/>
      <c r="S168" s="277"/>
      <c r="T168" s="277"/>
      <c r="U168" s="277"/>
      <c r="V168" s="277"/>
      <c r="W168" s="277"/>
      <c r="X168" s="277"/>
      <c r="Y168" s="278"/>
      <c r="Z168" s="277"/>
    </row>
    <row r="169" spans="2:26" x14ac:dyDescent="0.25">
      <c r="B169" s="276" t="s">
        <v>269</v>
      </c>
      <c r="C169" s="277"/>
      <c r="D169" s="277"/>
      <c r="E169" s="277"/>
      <c r="F169" s="277"/>
      <c r="G169" s="277"/>
      <c r="H169" s="277"/>
      <c r="I169" s="277"/>
      <c r="J169" s="277"/>
      <c r="K169" s="277"/>
      <c r="L169" s="277"/>
      <c r="M169" s="277"/>
      <c r="N169" s="277"/>
      <c r="O169" s="277"/>
      <c r="P169" s="277"/>
      <c r="Q169" s="277"/>
      <c r="R169" s="277"/>
      <c r="S169" s="277"/>
      <c r="T169" s="277"/>
      <c r="U169" s="277"/>
      <c r="V169" s="277"/>
      <c r="W169" s="277"/>
      <c r="X169" s="277"/>
      <c r="Y169" s="278"/>
      <c r="Z169" s="277"/>
    </row>
    <row r="170" spans="2:26" x14ac:dyDescent="0.25">
      <c r="B170" s="276" t="s">
        <v>270</v>
      </c>
      <c r="C170" s="277"/>
      <c r="D170" s="277"/>
      <c r="E170" s="277"/>
      <c r="F170" s="277"/>
      <c r="G170" s="277"/>
      <c r="H170" s="277"/>
      <c r="I170" s="277"/>
      <c r="J170" s="277"/>
      <c r="K170" s="277"/>
      <c r="L170" s="277"/>
      <c r="M170" s="277"/>
      <c r="N170" s="277"/>
      <c r="O170" s="277"/>
      <c r="P170" s="277"/>
      <c r="Q170" s="277"/>
      <c r="R170" s="277"/>
      <c r="S170" s="277"/>
      <c r="T170" s="277"/>
      <c r="U170" s="277"/>
      <c r="V170" s="277"/>
      <c r="W170" s="277"/>
      <c r="X170" s="277"/>
      <c r="Y170" s="278"/>
      <c r="Z170" s="277"/>
    </row>
    <row r="171" spans="2:26" ht="15.95" customHeight="1" thickBot="1" x14ac:dyDescent="0.3">
      <c r="B171" s="526" t="s">
        <v>271</v>
      </c>
      <c r="C171" s="523"/>
      <c r="D171" s="523"/>
      <c r="E171" s="523"/>
      <c r="F171" s="523"/>
      <c r="G171" s="523"/>
      <c r="H171" s="523"/>
      <c r="I171" s="523"/>
      <c r="J171" s="523"/>
      <c r="K171" s="523"/>
      <c r="L171" s="523"/>
      <c r="M171" s="523"/>
      <c r="N171" s="523"/>
      <c r="O171" s="523"/>
      <c r="P171" s="523"/>
      <c r="Q171" s="523"/>
      <c r="R171" s="523"/>
      <c r="S171" s="523"/>
      <c r="T171" s="523"/>
      <c r="U171" s="523"/>
      <c r="V171" s="523"/>
      <c r="W171" s="523"/>
      <c r="X171" s="523"/>
      <c r="Y171" s="524"/>
      <c r="Z171" s="518"/>
    </row>
  </sheetData>
  <mergeCells count="1">
    <mergeCell ref="B2:Y2"/>
  </mergeCells>
  <phoneticPr fontId="91" type="noConversion"/>
  <hyperlinks>
    <hyperlink ref="A1" location="Contents!A1" display="Back to contents" xr:uid="{402B8B5A-2988-40ED-8911-3CAA78DE43B0}"/>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93031-187E-4005-9823-DC3793FE7945}">
  <sheetPr codeName="Sheet8">
    <tabColor theme="5"/>
  </sheetPr>
  <dimension ref="A1:BL163"/>
  <sheetViews>
    <sheetView showGridLines="0" zoomScaleNormal="100" zoomScaleSheetLayoutView="40" workbookViewId="0"/>
  </sheetViews>
  <sheetFormatPr defaultColWidth="8.77734375" defaultRowHeight="15.75" x14ac:dyDescent="0.25"/>
  <cols>
    <col min="1" max="1" width="9.21875" style="2" customWidth="1"/>
    <col min="2" max="2" width="7.21875" style="2" bestFit="1" customWidth="1"/>
    <col min="3" max="7" width="10.77734375" style="2" customWidth="1"/>
    <col min="8" max="10" width="14.21875" style="2" customWidth="1"/>
    <col min="11" max="11" width="10.77734375" style="2" customWidth="1"/>
    <col min="12" max="17" width="10.77734375" style="28" customWidth="1"/>
    <col min="18" max="20" width="14.21875" style="28" customWidth="1"/>
    <col min="21" max="22" width="10.77734375" style="28" customWidth="1"/>
    <col min="23" max="23" width="11.77734375" style="28" customWidth="1"/>
    <col min="24" max="24" width="9.21875" style="28" bestFit="1" customWidth="1"/>
    <col min="25" max="25" width="10.77734375" style="28" bestFit="1" customWidth="1"/>
    <col min="26" max="48" width="8.77734375" style="28"/>
    <col min="49" max="16384" width="8.77734375" style="2"/>
  </cols>
  <sheetData>
    <row r="1" spans="1:64" ht="35.1" customHeight="1" thickBot="1" x14ac:dyDescent="0.3">
      <c r="A1" s="9" t="s">
        <v>22</v>
      </c>
      <c r="B1" s="22"/>
      <c r="C1" s="478"/>
      <c r="D1" s="22"/>
      <c r="E1" s="22"/>
      <c r="F1" s="22"/>
      <c r="G1" s="22"/>
      <c r="H1" s="22"/>
      <c r="I1"/>
      <c r="J1"/>
      <c r="K1" s="22"/>
      <c r="L1" s="99"/>
      <c r="M1" s="277"/>
      <c r="N1" s="100"/>
      <c r="O1" s="100"/>
      <c r="P1" s="100"/>
      <c r="Q1" s="100"/>
      <c r="R1" s="100"/>
      <c r="S1"/>
      <c r="T1"/>
      <c r="U1" s="101"/>
      <c r="V1" s="101"/>
    </row>
    <row r="2" spans="1:64" ht="19.5" thickBot="1" x14ac:dyDescent="0.35">
      <c r="A2" s="7"/>
      <c r="B2" s="568" t="s">
        <v>272</v>
      </c>
      <c r="C2" s="569"/>
      <c r="D2" s="569"/>
      <c r="E2" s="569"/>
      <c r="F2" s="569"/>
      <c r="G2" s="569"/>
      <c r="H2" s="569"/>
      <c r="I2" s="569"/>
      <c r="J2" s="569"/>
      <c r="K2" s="569"/>
      <c r="L2" s="569"/>
      <c r="M2" s="569"/>
      <c r="N2" s="569"/>
      <c r="O2" s="569"/>
      <c r="P2" s="569"/>
      <c r="Q2" s="569"/>
      <c r="R2" s="569"/>
      <c r="S2" s="569"/>
      <c r="T2" s="569"/>
      <c r="U2" s="569"/>
      <c r="V2" s="570"/>
    </row>
    <row r="3" spans="1:64" x14ac:dyDescent="0.25">
      <c r="A3" s="7"/>
      <c r="B3" s="29"/>
      <c r="C3" s="577" t="s">
        <v>273</v>
      </c>
      <c r="D3" s="577"/>
      <c r="E3" s="577"/>
      <c r="F3" s="577"/>
      <c r="G3" s="577"/>
      <c r="H3" s="577"/>
      <c r="I3" s="577"/>
      <c r="J3" s="577"/>
      <c r="K3" s="577"/>
      <c r="L3" s="578"/>
      <c r="M3" s="102" t="s">
        <v>274</v>
      </c>
      <c r="N3" s="102" t="s">
        <v>274</v>
      </c>
      <c r="O3" s="102" t="s">
        <v>275</v>
      </c>
      <c r="P3" s="102" t="s">
        <v>275</v>
      </c>
      <c r="Q3" s="102" t="s">
        <v>275</v>
      </c>
      <c r="R3" s="102" t="s">
        <v>274</v>
      </c>
      <c r="S3" s="102" t="s">
        <v>276</v>
      </c>
      <c r="T3" s="102" t="s">
        <v>277</v>
      </c>
      <c r="U3" s="102" t="s">
        <v>278</v>
      </c>
      <c r="V3" s="103" t="s">
        <v>278</v>
      </c>
    </row>
    <row r="4" spans="1:64" ht="48.75" customHeight="1" thickBot="1" x14ac:dyDescent="0.3">
      <c r="A4" s="7"/>
      <c r="B4" s="29"/>
      <c r="C4" s="104" t="s">
        <v>279</v>
      </c>
      <c r="D4" s="104" t="s">
        <v>280</v>
      </c>
      <c r="E4" s="104" t="s">
        <v>281</v>
      </c>
      <c r="F4" s="31" t="s">
        <v>282</v>
      </c>
      <c r="G4" s="31" t="s">
        <v>283</v>
      </c>
      <c r="H4" s="31" t="s">
        <v>284</v>
      </c>
      <c r="I4" s="390" t="s">
        <v>285</v>
      </c>
      <c r="J4" s="390" t="s">
        <v>286</v>
      </c>
      <c r="K4" s="105" t="s">
        <v>287</v>
      </c>
      <c r="L4" s="106" t="s">
        <v>288</v>
      </c>
      <c r="M4" s="107" t="s">
        <v>279</v>
      </c>
      <c r="N4" s="107" t="s">
        <v>280</v>
      </c>
      <c r="O4" s="107" t="s">
        <v>281</v>
      </c>
      <c r="P4" s="107" t="s">
        <v>282</v>
      </c>
      <c r="Q4" s="107" t="s">
        <v>283</v>
      </c>
      <c r="R4" s="31" t="s">
        <v>284</v>
      </c>
      <c r="S4" s="390" t="s">
        <v>285</v>
      </c>
      <c r="T4" s="390" t="s">
        <v>286</v>
      </c>
      <c r="U4" s="107" t="s">
        <v>287</v>
      </c>
      <c r="V4" s="32" t="s">
        <v>288</v>
      </c>
      <c r="AW4" s="28"/>
      <c r="AX4" s="28"/>
      <c r="AY4" s="28"/>
      <c r="AZ4" s="28"/>
      <c r="BA4" s="28"/>
      <c r="BB4" s="28"/>
      <c r="BC4" s="28"/>
      <c r="BD4" s="28"/>
      <c r="BE4" s="28"/>
      <c r="BF4" s="28"/>
      <c r="BG4" s="28"/>
      <c r="BH4" s="28"/>
      <c r="BI4" s="28"/>
      <c r="BJ4" s="28"/>
      <c r="BK4" s="28"/>
      <c r="BL4" s="28"/>
    </row>
    <row r="5" spans="1:64" ht="16.5" thickBot="1" x14ac:dyDescent="0.3">
      <c r="A5" s="7"/>
      <c r="B5" s="108" t="s">
        <v>43</v>
      </c>
      <c r="C5" s="109">
        <v>3.9901477832512189</v>
      </c>
      <c r="D5" s="109">
        <v>3.4989858012170361</v>
      </c>
      <c r="E5" s="109">
        <v>2.3757201646090742</v>
      </c>
      <c r="F5" s="109">
        <v>2.5889967233009514</v>
      </c>
      <c r="G5" s="109">
        <v>2.7248973497573825</v>
      </c>
      <c r="H5" s="109">
        <v>11.749539502762429</v>
      </c>
      <c r="I5" s="110">
        <v>3.2925821906492514</v>
      </c>
      <c r="J5" s="110">
        <v>2.2163407805975366</v>
      </c>
      <c r="K5" s="109">
        <v>3.7081836961363024</v>
      </c>
      <c r="L5" s="111">
        <v>2.2522522522522515</v>
      </c>
      <c r="M5" s="109">
        <v>211.1</v>
      </c>
      <c r="N5" s="109">
        <v>204.1</v>
      </c>
      <c r="O5" s="109">
        <v>82.924333333333351</v>
      </c>
      <c r="P5" s="109">
        <v>84.533333299999995</v>
      </c>
      <c r="Q5" s="109">
        <v>91.733333333333348</v>
      </c>
      <c r="R5" s="109">
        <v>404.53333300000003</v>
      </c>
      <c r="S5" s="110">
        <v>83.36399999999999</v>
      </c>
      <c r="T5" s="109">
        <v>93.591666666666654</v>
      </c>
      <c r="U5" s="109">
        <v>69.504491599999994</v>
      </c>
      <c r="V5" s="111">
        <v>68.099999999999994</v>
      </c>
      <c r="AW5" s="28"/>
      <c r="AX5" s="28"/>
      <c r="AY5" s="28"/>
      <c r="AZ5" s="28"/>
      <c r="BA5" s="28"/>
      <c r="BB5" s="28"/>
    </row>
    <row r="6" spans="1:64" ht="16.5" thickBot="1" x14ac:dyDescent="0.3">
      <c r="A6" s="7"/>
      <c r="B6" s="8" t="s">
        <v>44</v>
      </c>
      <c r="C6" s="109">
        <v>4.3625787687833206</v>
      </c>
      <c r="D6" s="109">
        <v>4.3833333333333169</v>
      </c>
      <c r="E6" s="109">
        <v>3.4197229013855024</v>
      </c>
      <c r="F6" s="109">
        <v>3.3613445378151141</v>
      </c>
      <c r="G6" s="109">
        <v>2.7839643652561197</v>
      </c>
      <c r="H6" s="109">
        <v>4.1721796771632791</v>
      </c>
      <c r="I6" s="110">
        <v>3.4293759333330787</v>
      </c>
      <c r="J6" s="110">
        <v>2.036143356085951</v>
      </c>
      <c r="K6" s="109">
        <v>3.8404405413343889</v>
      </c>
      <c r="L6" s="111">
        <v>2.0710059171597628</v>
      </c>
      <c r="M6" s="109">
        <v>215.3</v>
      </c>
      <c r="N6" s="109">
        <v>208.76666666666665</v>
      </c>
      <c r="O6" s="109">
        <v>84.597333333333339</v>
      </c>
      <c r="P6" s="109">
        <v>86.1</v>
      </c>
      <c r="Q6" s="109">
        <v>92.3</v>
      </c>
      <c r="R6" s="109">
        <v>393.66666700000002</v>
      </c>
      <c r="S6" s="109">
        <v>84.728999999999999</v>
      </c>
      <c r="T6" s="109">
        <v>93.877333333333326</v>
      </c>
      <c r="U6" s="109">
        <v>70.583377499999997</v>
      </c>
      <c r="V6" s="111">
        <v>69</v>
      </c>
      <c r="W6" s="34"/>
      <c r="AW6" s="28"/>
      <c r="AX6" s="28"/>
      <c r="AY6" s="28"/>
      <c r="AZ6" s="28"/>
      <c r="BA6" s="28"/>
      <c r="BB6" s="28"/>
    </row>
    <row r="7" spans="1:64" ht="16.5" thickBot="1" x14ac:dyDescent="0.3">
      <c r="A7" s="7"/>
      <c r="B7" s="8" t="s">
        <v>45</v>
      </c>
      <c r="C7" s="109">
        <v>4.9573476581361797</v>
      </c>
      <c r="D7" s="109">
        <v>5.3473263368316148</v>
      </c>
      <c r="E7" s="109">
        <v>4.8388412892696575</v>
      </c>
      <c r="F7" s="109">
        <v>4.5218087635054083</v>
      </c>
      <c r="G7" s="109">
        <v>2.6179941002949514</v>
      </c>
      <c r="H7" s="109">
        <v>-1.6894409937888266</v>
      </c>
      <c r="I7" s="110">
        <v>3.0344883288910385</v>
      </c>
      <c r="J7" s="110">
        <v>2.1955057639695852</v>
      </c>
      <c r="K7" s="109">
        <v>4.8777088404334146</v>
      </c>
      <c r="L7" s="111">
        <v>4.0059347181008675</v>
      </c>
      <c r="M7" s="109">
        <v>217.36666700000001</v>
      </c>
      <c r="N7" s="109">
        <v>210.80000000000004</v>
      </c>
      <c r="O7" s="109">
        <v>85.653333333333322</v>
      </c>
      <c r="P7" s="109">
        <v>87.066666699999999</v>
      </c>
      <c r="Q7" s="109">
        <v>92.766666666666652</v>
      </c>
      <c r="R7" s="109">
        <v>395.7</v>
      </c>
      <c r="S7" s="109">
        <v>85.044666666666672</v>
      </c>
      <c r="T7" s="109">
        <v>94.382999999999996</v>
      </c>
      <c r="U7" s="109">
        <v>71.550648300000006</v>
      </c>
      <c r="V7" s="111">
        <v>70.099999999999994</v>
      </c>
      <c r="W7" s="34"/>
      <c r="AW7" s="28"/>
      <c r="AX7" s="28"/>
      <c r="AY7" s="28"/>
      <c r="AZ7" s="28"/>
      <c r="BA7" s="28"/>
      <c r="BB7" s="28"/>
    </row>
    <row r="8" spans="1:64" ht="16.5" thickBot="1" x14ac:dyDescent="0.3">
      <c r="A8" s="7"/>
      <c r="B8" s="8" t="s">
        <v>46</v>
      </c>
      <c r="C8" s="109">
        <v>2.7327612011439406</v>
      </c>
      <c r="D8" s="109">
        <v>3.7860082304526532</v>
      </c>
      <c r="E8" s="109">
        <v>3.8240516545601455</v>
      </c>
      <c r="F8" s="109">
        <v>3.7257233055885797</v>
      </c>
      <c r="G8" s="109">
        <v>2.5978777899743788</v>
      </c>
      <c r="H8" s="109">
        <v>-13.529838125151006</v>
      </c>
      <c r="I8" s="110">
        <v>3.5605923603994505</v>
      </c>
      <c r="J8" s="110">
        <v>1.7664309991252347</v>
      </c>
      <c r="K8" s="109">
        <v>3.8912418341096711</v>
      </c>
      <c r="L8" s="111">
        <v>5.044510385756662</v>
      </c>
      <c r="M8" s="109">
        <v>215.533333</v>
      </c>
      <c r="N8" s="109">
        <v>210.16666666666663</v>
      </c>
      <c r="O8" s="109">
        <v>85.75866666666667</v>
      </c>
      <c r="P8" s="109">
        <v>87.233333299999998</v>
      </c>
      <c r="Q8" s="109">
        <v>93.466666666666654</v>
      </c>
      <c r="R8" s="109">
        <v>357.9</v>
      </c>
      <c r="S8" s="109">
        <v>85.898333333333326</v>
      </c>
      <c r="T8" s="109">
        <v>94.617000000000004</v>
      </c>
      <c r="U8" s="109">
        <v>71.134459199999995</v>
      </c>
      <c r="V8" s="111">
        <v>70.8</v>
      </c>
      <c r="W8" s="34"/>
      <c r="AW8" s="28"/>
      <c r="AX8" s="28"/>
      <c r="AY8" s="28"/>
      <c r="AZ8" s="28"/>
      <c r="BA8" s="28"/>
      <c r="BB8" s="28"/>
    </row>
    <row r="9" spans="1:64" ht="16.5" thickBot="1" x14ac:dyDescent="0.3">
      <c r="A9" s="7"/>
      <c r="B9" s="8" t="s">
        <v>47</v>
      </c>
      <c r="C9" s="109">
        <v>-7.8951681667449591E-2</v>
      </c>
      <c r="D9" s="109">
        <v>2.3844520659807245</v>
      </c>
      <c r="E9" s="109">
        <v>3.0055512455129607</v>
      </c>
      <c r="F9" s="109">
        <v>2.9574132503775274</v>
      </c>
      <c r="G9" s="109">
        <v>2.2165697674418228</v>
      </c>
      <c r="H9" s="109">
        <v>-38.900790902192483</v>
      </c>
      <c r="I9" s="110">
        <v>2.9169265710218717</v>
      </c>
      <c r="J9" s="110">
        <v>0.63289110497728451</v>
      </c>
      <c r="K9" s="109">
        <v>2.5865564348650283</v>
      </c>
      <c r="L9" s="111">
        <v>3.9647577092511099</v>
      </c>
      <c r="M9" s="109">
        <v>210.933333</v>
      </c>
      <c r="N9" s="109">
        <v>208.96666666666664</v>
      </c>
      <c r="O9" s="109">
        <v>85.416666666666671</v>
      </c>
      <c r="P9" s="109">
        <v>87.033333299999995</v>
      </c>
      <c r="Q9" s="109">
        <v>93.766666666666652</v>
      </c>
      <c r="R9" s="109">
        <v>247.16666699999999</v>
      </c>
      <c r="S9" s="109">
        <v>85.795666666666662</v>
      </c>
      <c r="T9" s="109">
        <v>94.183999999999983</v>
      </c>
      <c r="U9" s="109">
        <v>71.302264500000021</v>
      </c>
      <c r="V9" s="111">
        <v>70.8</v>
      </c>
      <c r="W9" s="34"/>
      <c r="AW9" s="28"/>
      <c r="AX9" s="28"/>
      <c r="AY9" s="28"/>
      <c r="AZ9" s="28"/>
      <c r="BA9" s="28"/>
      <c r="BB9" s="28"/>
    </row>
    <row r="10" spans="1:64" ht="16.5" thickBot="1" x14ac:dyDescent="0.3">
      <c r="A10" s="7"/>
      <c r="B10" s="8" t="s">
        <v>48</v>
      </c>
      <c r="C10" s="109">
        <v>-1.2695462145843051</v>
      </c>
      <c r="D10" s="109">
        <v>1.4370110170844663</v>
      </c>
      <c r="E10" s="109">
        <v>2.0887183205144266</v>
      </c>
      <c r="F10" s="109">
        <v>2.0131629500581116</v>
      </c>
      <c r="G10" s="109">
        <v>1.5529071867100175</v>
      </c>
      <c r="H10" s="109">
        <v>-45.791701993402455</v>
      </c>
      <c r="I10" s="110">
        <v>1.5846601124368975</v>
      </c>
      <c r="J10" s="110">
        <v>-0.30181229405749077</v>
      </c>
      <c r="K10" s="109">
        <v>1.1663767435895256</v>
      </c>
      <c r="L10" s="111">
        <v>2.753623188405796</v>
      </c>
      <c r="M10" s="109">
        <v>212.566667</v>
      </c>
      <c r="N10" s="109">
        <v>211.76666666666665</v>
      </c>
      <c r="O10" s="109">
        <v>86.364333333333335</v>
      </c>
      <c r="P10" s="109">
        <v>87.833333300000021</v>
      </c>
      <c r="Q10" s="109">
        <v>93.733333333333348</v>
      </c>
      <c r="R10" s="109">
        <v>213.4</v>
      </c>
      <c r="S10" s="109">
        <v>86.071666666666658</v>
      </c>
      <c r="T10" s="109">
        <v>93.593999999999994</v>
      </c>
      <c r="U10" s="109">
        <v>71.406645600000004</v>
      </c>
      <c r="V10" s="111">
        <v>70.900000000000006</v>
      </c>
      <c r="W10" s="34"/>
      <c r="AW10" s="28"/>
      <c r="AX10" s="28"/>
      <c r="AY10" s="28"/>
      <c r="AZ10" s="28"/>
      <c r="BA10" s="28"/>
      <c r="BB10" s="28"/>
    </row>
    <row r="11" spans="1:64" ht="16.5" thickBot="1" x14ac:dyDescent="0.3">
      <c r="A11" s="7"/>
      <c r="B11" s="8" t="s">
        <v>49</v>
      </c>
      <c r="C11" s="109">
        <v>-1.380156415610867</v>
      </c>
      <c r="D11" s="109">
        <v>1.3124604680581742</v>
      </c>
      <c r="E11" s="109">
        <v>1.4897260273972979</v>
      </c>
      <c r="F11" s="109">
        <v>1.301684494141786</v>
      </c>
      <c r="G11" s="109">
        <v>0.64678404599356476</v>
      </c>
      <c r="H11" s="109">
        <v>-45.539550164265854</v>
      </c>
      <c r="I11" s="110">
        <v>1.9170318342518033</v>
      </c>
      <c r="J11" s="110">
        <v>-1.2936651727535553</v>
      </c>
      <c r="K11" s="109">
        <v>-0.10533098132670116</v>
      </c>
      <c r="L11" s="111">
        <v>1.5691868758916039</v>
      </c>
      <c r="M11" s="109">
        <v>214.36666700000001</v>
      </c>
      <c r="N11" s="109">
        <v>213.56666666666669</v>
      </c>
      <c r="O11" s="109">
        <v>86.929333333333346</v>
      </c>
      <c r="P11" s="109">
        <v>88.2</v>
      </c>
      <c r="Q11" s="109">
        <v>93.366666666666674</v>
      </c>
      <c r="R11" s="109">
        <v>215.5</v>
      </c>
      <c r="S11" s="109">
        <v>86.674999999999997</v>
      </c>
      <c r="T11" s="109">
        <v>93.162000000000006</v>
      </c>
      <c r="U11" s="109">
        <v>71.475283300000001</v>
      </c>
      <c r="V11" s="111">
        <v>71.2</v>
      </c>
      <c r="W11" s="34"/>
      <c r="AW11" s="28"/>
      <c r="AX11" s="28"/>
      <c r="AY11" s="28"/>
      <c r="AZ11" s="28"/>
      <c r="BA11" s="28"/>
      <c r="BB11" s="28"/>
    </row>
    <row r="12" spans="1:64" ht="16.5" thickBot="1" x14ac:dyDescent="0.3">
      <c r="A12" s="7"/>
      <c r="B12" s="8" t="s">
        <v>50</v>
      </c>
      <c r="C12" s="109">
        <v>0.61862078660472886</v>
      </c>
      <c r="D12" s="109">
        <v>2.7914353687549687</v>
      </c>
      <c r="E12" s="109">
        <v>2.1031887933581128</v>
      </c>
      <c r="F12" s="109">
        <v>1.6048910972888519</v>
      </c>
      <c r="G12" s="109">
        <v>-0.78459343794575753</v>
      </c>
      <c r="H12" s="109">
        <v>-39.051876781223804</v>
      </c>
      <c r="I12" s="110">
        <v>0.99303440113314156</v>
      </c>
      <c r="J12" s="110">
        <v>-1.744577260605007</v>
      </c>
      <c r="K12" s="109">
        <v>-6.6641541291134754E-2</v>
      </c>
      <c r="L12" s="111">
        <v>-0.28248587570621764</v>
      </c>
      <c r="M12" s="109">
        <v>216.86666700000001</v>
      </c>
      <c r="N12" s="109">
        <v>216.03333333333333</v>
      </c>
      <c r="O12" s="109">
        <v>87.562333333333342</v>
      </c>
      <c r="P12" s="109">
        <v>88.633333300000004</v>
      </c>
      <c r="Q12" s="109">
        <v>92.733333333333348</v>
      </c>
      <c r="R12" s="109">
        <v>218.13333299999999</v>
      </c>
      <c r="S12" s="109">
        <v>86.751333333333335</v>
      </c>
      <c r="T12" s="109">
        <v>92.966333333333367</v>
      </c>
      <c r="U12" s="109">
        <v>71.087054100000003</v>
      </c>
      <c r="V12" s="111">
        <v>70.599999999999994</v>
      </c>
      <c r="W12" s="34"/>
      <c r="AW12" s="28"/>
      <c r="AX12" s="28"/>
      <c r="AY12" s="28"/>
      <c r="AZ12" s="28"/>
      <c r="BA12" s="28"/>
      <c r="BB12" s="28"/>
    </row>
    <row r="13" spans="1:64" ht="16.5" thickBot="1" x14ac:dyDescent="0.3">
      <c r="A13" s="7"/>
      <c r="B13" s="8" t="s">
        <v>51</v>
      </c>
      <c r="C13" s="109">
        <v>3.9506956446755614</v>
      </c>
      <c r="D13" s="109">
        <v>4.5461796139735222</v>
      </c>
      <c r="E13" s="109">
        <v>3.2745365853658281</v>
      </c>
      <c r="F13" s="109">
        <v>2.3362697059886139</v>
      </c>
      <c r="G13" s="109">
        <v>-1.6352648418058724</v>
      </c>
      <c r="H13" s="109">
        <v>-10.923803087088601</v>
      </c>
      <c r="I13" s="110">
        <v>1.132924351268727</v>
      </c>
      <c r="J13" s="110">
        <v>-1.2935672017894251</v>
      </c>
      <c r="K13" s="109">
        <v>-0.23669514731895491</v>
      </c>
      <c r="L13" s="111">
        <v>1.1299435028248483</v>
      </c>
      <c r="M13" s="109">
        <v>219.26666700000001</v>
      </c>
      <c r="N13" s="109">
        <v>218.46666666666664</v>
      </c>
      <c r="O13" s="109">
        <v>88.213666666666654</v>
      </c>
      <c r="P13" s="109">
        <v>89.066666699999999</v>
      </c>
      <c r="Q13" s="109">
        <v>92.233333333333348</v>
      </c>
      <c r="R13" s="109">
        <v>220.16666699999999</v>
      </c>
      <c r="S13" s="109">
        <v>86.76766666666667</v>
      </c>
      <c r="T13" s="109">
        <v>92.965666666666635</v>
      </c>
      <c r="U13" s="109">
        <v>71.133495499999995</v>
      </c>
      <c r="V13" s="111">
        <v>71.599999999999994</v>
      </c>
      <c r="W13" s="34"/>
      <c r="AW13" s="28"/>
      <c r="AX13" s="28"/>
      <c r="AY13" s="28"/>
      <c r="AZ13" s="28"/>
      <c r="BA13" s="28"/>
      <c r="BB13" s="28"/>
    </row>
    <row r="14" spans="1:64" ht="16.5" thickBot="1" x14ac:dyDescent="0.3">
      <c r="A14" s="7"/>
      <c r="B14" s="8" t="s">
        <v>52</v>
      </c>
      <c r="C14" s="109">
        <v>5.1434842321726792</v>
      </c>
      <c r="D14" s="109">
        <v>5.1629151581929822</v>
      </c>
      <c r="E14" s="109">
        <v>3.4566738584214773</v>
      </c>
      <c r="F14" s="109">
        <v>2.5426945740199658</v>
      </c>
      <c r="G14" s="109">
        <v>-1.6002844950213424</v>
      </c>
      <c r="H14" s="109">
        <v>4.6391752577319645</v>
      </c>
      <c r="I14" s="110">
        <v>1.6443661290010514</v>
      </c>
      <c r="J14" s="110">
        <v>-0.55238583669894314</v>
      </c>
      <c r="K14" s="109">
        <v>0.35228135684894912</v>
      </c>
      <c r="L14" s="111">
        <v>1.1283497884344129</v>
      </c>
      <c r="M14" s="109">
        <v>223.5</v>
      </c>
      <c r="N14" s="109">
        <v>222.7</v>
      </c>
      <c r="O14" s="109">
        <v>89.34966666666665</v>
      </c>
      <c r="P14" s="109">
        <v>90.066666699999999</v>
      </c>
      <c r="Q14" s="109">
        <v>92.233333333333348</v>
      </c>
      <c r="R14" s="109">
        <v>223.3</v>
      </c>
      <c r="S14" s="109">
        <v>87.487000000000009</v>
      </c>
      <c r="T14" s="109">
        <v>93.076999999999984</v>
      </c>
      <c r="U14" s="109">
        <v>71.658197900000005</v>
      </c>
      <c r="V14" s="111">
        <v>71.7</v>
      </c>
      <c r="W14" s="34"/>
      <c r="AW14" s="28"/>
      <c r="AX14" s="28"/>
      <c r="AY14" s="28"/>
      <c r="AZ14" s="28"/>
      <c r="BA14" s="28"/>
      <c r="BB14" s="28"/>
    </row>
    <row r="15" spans="1:64" ht="16.5" thickBot="1" x14ac:dyDescent="0.3">
      <c r="A15" s="7"/>
      <c r="B15" s="8" t="s">
        <v>53</v>
      </c>
      <c r="C15" s="109">
        <v>4.7115534058287167</v>
      </c>
      <c r="D15" s="109">
        <v>4.6823786483533469</v>
      </c>
      <c r="E15" s="109">
        <v>3.0852646594168531</v>
      </c>
      <c r="F15" s="109">
        <v>2.3431595238095237</v>
      </c>
      <c r="G15" s="109">
        <v>-0.92823991431632003</v>
      </c>
      <c r="H15" s="109">
        <v>5.2436194895591592</v>
      </c>
      <c r="I15" s="110">
        <v>1.1952696856071698</v>
      </c>
      <c r="J15" s="110">
        <v>0.15671625770159459</v>
      </c>
      <c r="K15" s="109">
        <v>0.95509883764250958</v>
      </c>
      <c r="L15" s="111">
        <v>0.84269662921347965</v>
      </c>
      <c r="M15" s="109">
        <v>224.466667</v>
      </c>
      <c r="N15" s="109">
        <v>223.56666666666663</v>
      </c>
      <c r="O15" s="109">
        <v>89.611333333333349</v>
      </c>
      <c r="P15" s="109">
        <v>90.266666700000002</v>
      </c>
      <c r="Q15" s="109">
        <v>92.5</v>
      </c>
      <c r="R15" s="109">
        <v>226.8</v>
      </c>
      <c r="S15" s="109">
        <v>87.711000000000013</v>
      </c>
      <c r="T15" s="109">
        <v>93.307999999999964</v>
      </c>
      <c r="U15" s="109">
        <v>72.157942899999995</v>
      </c>
      <c r="V15" s="111">
        <v>71.8</v>
      </c>
      <c r="W15" s="34"/>
      <c r="AW15" s="28"/>
      <c r="AX15" s="28"/>
      <c r="AY15" s="28"/>
      <c r="AZ15" s="28"/>
      <c r="BA15" s="28"/>
      <c r="BB15" s="28"/>
    </row>
    <row r="16" spans="1:64" ht="16.5" thickBot="1" x14ac:dyDescent="0.3">
      <c r="A16" s="7"/>
      <c r="B16" s="8" t="s">
        <v>54</v>
      </c>
      <c r="C16" s="109">
        <v>4.672609737668898</v>
      </c>
      <c r="D16" s="109">
        <v>4.659774726122512</v>
      </c>
      <c r="E16" s="109">
        <v>3.3762614822964165</v>
      </c>
      <c r="F16" s="109">
        <v>2.7453930811377925</v>
      </c>
      <c r="G16" s="109">
        <v>7.1890726096324187E-2</v>
      </c>
      <c r="H16" s="109">
        <v>4.76772616865484</v>
      </c>
      <c r="I16" s="110">
        <v>1.5177480461395332</v>
      </c>
      <c r="J16" s="110">
        <v>0.94693778034335985</v>
      </c>
      <c r="K16" s="109">
        <v>2.5265089723277567</v>
      </c>
      <c r="L16" s="111">
        <v>2.2662889518413776</v>
      </c>
      <c r="M16" s="109">
        <v>227</v>
      </c>
      <c r="N16" s="109">
        <v>226.1</v>
      </c>
      <c r="O16" s="109">
        <v>90.518666666666675</v>
      </c>
      <c r="P16" s="109">
        <v>91.066666699999999</v>
      </c>
      <c r="Q16" s="109">
        <v>92.8</v>
      </c>
      <c r="R16" s="109">
        <v>228.533333</v>
      </c>
      <c r="S16" s="109">
        <v>88.067999999999998</v>
      </c>
      <c r="T16" s="109">
        <v>93.846666666666636</v>
      </c>
      <c r="U16" s="109">
        <v>72.883074899999997</v>
      </c>
      <c r="V16" s="111">
        <v>72.2</v>
      </c>
      <c r="W16" s="34"/>
      <c r="AW16" s="28"/>
      <c r="AX16" s="28"/>
      <c r="AY16" s="28"/>
      <c r="AZ16" s="28"/>
      <c r="BA16" s="28"/>
      <c r="BB16" s="28"/>
    </row>
    <row r="17" spans="1:54" ht="16.5" thickBot="1" x14ac:dyDescent="0.3">
      <c r="A17" s="7"/>
      <c r="B17" s="8" t="s">
        <v>55</v>
      </c>
      <c r="C17" s="109">
        <v>5.3207658781988965</v>
      </c>
      <c r="D17" s="109">
        <v>5.3402502288678821</v>
      </c>
      <c r="E17" s="109">
        <v>4.1184094679206806</v>
      </c>
      <c r="F17" s="109">
        <v>3.5553891453759867</v>
      </c>
      <c r="G17" s="109">
        <v>1.0842067220816709</v>
      </c>
      <c r="H17" s="109">
        <v>4.6025736493526592</v>
      </c>
      <c r="I17" s="110">
        <v>1.8666707644552805</v>
      </c>
      <c r="J17" s="110">
        <v>1.1348275528241691</v>
      </c>
      <c r="K17" s="109">
        <v>4.2611229473462409</v>
      </c>
      <c r="L17" s="111">
        <v>2.6536312849162025</v>
      </c>
      <c r="M17" s="109">
        <v>230.933333</v>
      </c>
      <c r="N17" s="109">
        <v>230.13333333333333</v>
      </c>
      <c r="O17" s="109">
        <v>91.846666666666636</v>
      </c>
      <c r="P17" s="109">
        <v>92.233333299999998</v>
      </c>
      <c r="Q17" s="109">
        <v>93.233333333333348</v>
      </c>
      <c r="R17" s="109">
        <v>230.3</v>
      </c>
      <c r="S17" s="109">
        <v>88.387333333333345</v>
      </c>
      <c r="T17" s="109">
        <v>94.020666666666642</v>
      </c>
      <c r="U17" s="109">
        <v>74.164581200000001</v>
      </c>
      <c r="V17" s="111">
        <v>73.5</v>
      </c>
      <c r="W17" s="34"/>
      <c r="AW17" s="28"/>
      <c r="AX17" s="28"/>
      <c r="AY17" s="28"/>
      <c r="AZ17" s="28"/>
      <c r="BA17" s="28"/>
      <c r="BB17" s="28"/>
    </row>
    <row r="18" spans="1:54" ht="16.5" thickBot="1" x14ac:dyDescent="0.3">
      <c r="A18" s="7"/>
      <c r="B18" s="8" t="s">
        <v>56</v>
      </c>
      <c r="C18" s="109">
        <v>5.1155852348993225</v>
      </c>
      <c r="D18" s="109">
        <v>5.1788654393055022</v>
      </c>
      <c r="E18" s="109">
        <v>4.3771847684565213</v>
      </c>
      <c r="F18" s="109">
        <v>3.7379717972842563</v>
      </c>
      <c r="G18" s="109">
        <v>1.5540296349837224</v>
      </c>
      <c r="H18" s="109">
        <v>3.9259592476488914</v>
      </c>
      <c r="I18" s="110">
        <v>2.2879589729521754</v>
      </c>
      <c r="J18" s="110">
        <v>1.2727813172605851</v>
      </c>
      <c r="K18" s="109">
        <v>3.840510758923199</v>
      </c>
      <c r="L18" s="111">
        <v>1.9525801952580135</v>
      </c>
      <c r="M18" s="109">
        <v>234.933333</v>
      </c>
      <c r="N18" s="109">
        <v>234.23333333333335</v>
      </c>
      <c r="O18" s="109">
        <v>93.260666666666651</v>
      </c>
      <c r="P18" s="109">
        <v>93.433333300000001</v>
      </c>
      <c r="Q18" s="109">
        <v>93.666666666666671</v>
      </c>
      <c r="R18" s="109">
        <v>232.066667</v>
      </c>
      <c r="S18" s="109">
        <v>89.488666666666674</v>
      </c>
      <c r="T18" s="109">
        <v>94.261666666666628</v>
      </c>
      <c r="U18" s="109">
        <v>74.410238699999979</v>
      </c>
      <c r="V18" s="111">
        <v>73.099999999999994</v>
      </c>
      <c r="W18" s="34"/>
      <c r="AW18" s="28"/>
      <c r="AX18" s="28"/>
      <c r="AY18" s="28"/>
      <c r="AZ18" s="28"/>
      <c r="BA18" s="28"/>
      <c r="BB18" s="28"/>
    </row>
    <row r="19" spans="1:54" ht="16.5" thickBot="1" x14ac:dyDescent="0.3">
      <c r="A19" s="7"/>
      <c r="B19" s="8" t="s">
        <v>57</v>
      </c>
      <c r="C19" s="109">
        <v>5.2420549372704794</v>
      </c>
      <c r="D19" s="109">
        <v>5.3526166691516552</v>
      </c>
      <c r="E19" s="109">
        <v>4.7058779767440218</v>
      </c>
      <c r="F19" s="109">
        <v>4.0989660250742466</v>
      </c>
      <c r="G19" s="109">
        <v>1.6576576576576629</v>
      </c>
      <c r="H19" s="109">
        <v>2.3956494708994525</v>
      </c>
      <c r="I19" s="110">
        <v>2.988222685866071</v>
      </c>
      <c r="J19" s="110">
        <v>1.4318172075277635</v>
      </c>
      <c r="K19" s="109">
        <v>3.8823561030313591</v>
      </c>
      <c r="L19" s="111">
        <v>2.6462395543175532</v>
      </c>
      <c r="M19" s="109">
        <v>236.23333299999999</v>
      </c>
      <c r="N19" s="109">
        <v>235.53333333333336</v>
      </c>
      <c r="O19" s="109">
        <v>93.828333333333347</v>
      </c>
      <c r="P19" s="109">
        <v>93.966666700000005</v>
      </c>
      <c r="Q19" s="109">
        <v>94.033333333333346</v>
      </c>
      <c r="R19" s="109">
        <v>232.23333299999999</v>
      </c>
      <c r="S19" s="109">
        <v>90.331999999999994</v>
      </c>
      <c r="T19" s="109">
        <v>94.643999999999963</v>
      </c>
      <c r="U19" s="109">
        <v>74.959371200000021</v>
      </c>
      <c r="V19" s="111">
        <v>73.7</v>
      </c>
      <c r="W19" s="34"/>
      <c r="AW19" s="28"/>
      <c r="AX19" s="28"/>
      <c r="AY19" s="28"/>
      <c r="AZ19" s="28"/>
      <c r="BA19" s="28"/>
      <c r="BB19" s="28"/>
    </row>
    <row r="20" spans="1:54" ht="16.5" thickBot="1" x14ac:dyDescent="0.3">
      <c r="A20" s="7"/>
      <c r="B20" s="8" t="s">
        <v>58</v>
      </c>
      <c r="C20" s="109">
        <v>5.1248162995594759</v>
      </c>
      <c r="D20" s="109">
        <v>5.2779006339378043</v>
      </c>
      <c r="E20" s="109">
        <v>4.6458189102800196</v>
      </c>
      <c r="F20" s="109">
        <v>4.0263542444998635</v>
      </c>
      <c r="G20" s="109">
        <v>1.7600574712643535</v>
      </c>
      <c r="H20" s="109">
        <v>1.3710621373556942</v>
      </c>
      <c r="I20" s="110">
        <v>2.8852704728164591</v>
      </c>
      <c r="J20" s="110">
        <v>1.3340910705405884</v>
      </c>
      <c r="K20" s="109">
        <v>3.6262775735330433</v>
      </c>
      <c r="L20" s="111">
        <v>2.7700831024930705</v>
      </c>
      <c r="M20" s="109">
        <v>238.63333299999999</v>
      </c>
      <c r="N20" s="109">
        <v>238.03333333333336</v>
      </c>
      <c r="O20" s="109">
        <v>94.724000000000004</v>
      </c>
      <c r="P20" s="109">
        <v>94.733333299999998</v>
      </c>
      <c r="Q20" s="109">
        <v>94.433333333333323</v>
      </c>
      <c r="R20" s="109">
        <v>231.66666699999999</v>
      </c>
      <c r="S20" s="109">
        <v>90.608999999999995</v>
      </c>
      <c r="T20" s="109">
        <v>95.098666666666631</v>
      </c>
      <c r="U20" s="109">
        <v>75.526017499999995</v>
      </c>
      <c r="V20" s="111">
        <v>74.2</v>
      </c>
      <c r="W20" s="34"/>
      <c r="AW20" s="28"/>
      <c r="AX20" s="28"/>
      <c r="AY20" s="28"/>
      <c r="AZ20" s="28"/>
      <c r="BA20" s="28"/>
      <c r="BB20" s="28"/>
    </row>
    <row r="21" spans="1:54" ht="16.5" thickBot="1" x14ac:dyDescent="0.3">
      <c r="A21" s="7"/>
      <c r="B21" s="8" t="s">
        <v>59</v>
      </c>
      <c r="C21" s="109">
        <v>3.7384529499688846</v>
      </c>
      <c r="D21" s="109">
        <v>3.8238702201622177</v>
      </c>
      <c r="E21" s="109">
        <v>3.490237352108605</v>
      </c>
      <c r="F21" s="109">
        <v>3.1080593072309481</v>
      </c>
      <c r="G21" s="109">
        <v>1.7161244190203595</v>
      </c>
      <c r="H21" s="109">
        <v>0.83948458532348003</v>
      </c>
      <c r="I21" s="110">
        <v>2.9868533198572855</v>
      </c>
      <c r="J21" s="110">
        <v>1.4688260027937217</v>
      </c>
      <c r="K21" s="109">
        <v>2.1884644580181245</v>
      </c>
      <c r="L21" s="111">
        <v>1.224489795918382</v>
      </c>
      <c r="M21" s="109">
        <v>239.566667</v>
      </c>
      <c r="N21" s="109">
        <v>238.93333333333331</v>
      </c>
      <c r="O21" s="109">
        <v>95.052333333333323</v>
      </c>
      <c r="P21" s="109">
        <v>95.1</v>
      </c>
      <c r="Q21" s="109">
        <v>94.833333333333329</v>
      </c>
      <c r="R21" s="109">
        <v>232.23333299999999</v>
      </c>
      <c r="S21" s="109">
        <v>91.027333333333331</v>
      </c>
      <c r="T21" s="109">
        <v>95.401666666666642</v>
      </c>
      <c r="U21" s="109">
        <v>75.787646699999996</v>
      </c>
      <c r="V21" s="111">
        <v>74.400000000000006</v>
      </c>
      <c r="W21" s="34"/>
      <c r="AW21" s="28"/>
      <c r="AX21" s="28"/>
      <c r="AY21" s="28"/>
      <c r="AZ21" s="28"/>
      <c r="BA21" s="28"/>
      <c r="BB21" s="28"/>
    </row>
    <row r="22" spans="1:54" ht="16.5" thickBot="1" x14ac:dyDescent="0.3">
      <c r="A22" s="7"/>
      <c r="B22" s="8" t="s">
        <v>60</v>
      </c>
      <c r="C22" s="109">
        <v>3.107264476599414</v>
      </c>
      <c r="D22" s="109">
        <v>3.1450120962003503</v>
      </c>
      <c r="E22" s="109">
        <v>2.7553595299197431</v>
      </c>
      <c r="F22" s="109">
        <v>2.5330003933403455</v>
      </c>
      <c r="G22" s="109">
        <v>1.6370106761565806</v>
      </c>
      <c r="H22" s="109">
        <v>0.9623669908612964</v>
      </c>
      <c r="I22" s="110">
        <v>3.3646718765132144</v>
      </c>
      <c r="J22" s="110">
        <v>1.4251109500150294</v>
      </c>
      <c r="K22" s="109">
        <v>2.2995143274550767</v>
      </c>
      <c r="L22" s="111">
        <v>1.9151846785225857</v>
      </c>
      <c r="M22" s="109">
        <v>242.23333299999999</v>
      </c>
      <c r="N22" s="109">
        <v>241.6</v>
      </c>
      <c r="O22" s="109">
        <v>95.830333333333328</v>
      </c>
      <c r="P22" s="109">
        <v>95.8</v>
      </c>
      <c r="Q22" s="109">
        <v>95.2</v>
      </c>
      <c r="R22" s="109">
        <v>234.3</v>
      </c>
      <c r="S22" s="109">
        <v>92.49966666666667</v>
      </c>
      <c r="T22" s="109">
        <v>95.604999999999961</v>
      </c>
      <c r="U22" s="109">
        <v>76.121312799999998</v>
      </c>
      <c r="V22" s="111">
        <v>74.5</v>
      </c>
      <c r="W22" s="34"/>
      <c r="AW22" s="28"/>
      <c r="AX22" s="28"/>
      <c r="AY22" s="28"/>
      <c r="AZ22" s="28"/>
      <c r="BA22" s="28"/>
      <c r="BB22" s="28"/>
    </row>
    <row r="23" spans="1:54" ht="16.5" thickBot="1" x14ac:dyDescent="0.3">
      <c r="A23" s="7"/>
      <c r="B23" s="8" t="s">
        <v>61</v>
      </c>
      <c r="C23" s="109">
        <v>2.9067307787593144</v>
      </c>
      <c r="D23" s="109">
        <v>2.9012170959524353</v>
      </c>
      <c r="E23" s="109">
        <v>2.4125619482387783</v>
      </c>
      <c r="F23" s="109">
        <v>2.2348350470965395</v>
      </c>
      <c r="G23" s="109">
        <v>1.6660758596242831</v>
      </c>
      <c r="H23" s="109">
        <v>2.7845559104127338</v>
      </c>
      <c r="I23" s="110">
        <v>3.3675773812159804</v>
      </c>
      <c r="J23" s="110">
        <v>1.3781468802390062</v>
      </c>
      <c r="K23" s="109">
        <v>1.0841754499669287</v>
      </c>
      <c r="L23" s="111">
        <v>1.4925373134328179</v>
      </c>
      <c r="M23" s="109">
        <v>243.1</v>
      </c>
      <c r="N23" s="109">
        <v>242.36666666666667</v>
      </c>
      <c r="O23" s="109">
        <v>96.091999999999999</v>
      </c>
      <c r="P23" s="109">
        <v>96.066666699999999</v>
      </c>
      <c r="Q23" s="109">
        <v>95.600000000000037</v>
      </c>
      <c r="R23" s="109">
        <v>238.7</v>
      </c>
      <c r="S23" s="109">
        <v>93.374000000000009</v>
      </c>
      <c r="T23" s="109">
        <v>95.948333333333366</v>
      </c>
      <c r="U23" s="109">
        <v>75.772062300000002</v>
      </c>
      <c r="V23" s="111">
        <v>74.8</v>
      </c>
      <c r="W23" s="34"/>
      <c r="AW23" s="28"/>
      <c r="AX23" s="28"/>
      <c r="AY23" s="28"/>
      <c r="AZ23" s="28"/>
      <c r="BA23" s="28"/>
      <c r="BB23" s="28"/>
    </row>
    <row r="24" spans="1:54" ht="16.5" thickBot="1" x14ac:dyDescent="0.3">
      <c r="A24" s="7"/>
      <c r="B24" s="8" t="s">
        <v>62</v>
      </c>
      <c r="C24" s="109">
        <v>3.0870234712767397</v>
      </c>
      <c r="D24" s="109">
        <v>3.0107828035289108</v>
      </c>
      <c r="E24" s="109">
        <v>2.6698619146150904</v>
      </c>
      <c r="F24" s="109">
        <v>2.4278676996579485</v>
      </c>
      <c r="G24" s="109">
        <v>1.6237204376985614</v>
      </c>
      <c r="H24" s="109">
        <v>4.8057552448838248</v>
      </c>
      <c r="I24" s="110">
        <v>3.6401829104540706</v>
      </c>
      <c r="J24" s="110">
        <v>1.2544865683361328</v>
      </c>
      <c r="K24" s="109">
        <v>1.0860682545587697</v>
      </c>
      <c r="L24" s="111">
        <v>1.3477088948786964</v>
      </c>
      <c r="M24" s="109">
        <v>246</v>
      </c>
      <c r="N24" s="109">
        <v>245.2</v>
      </c>
      <c r="O24" s="109">
        <v>97.253</v>
      </c>
      <c r="P24" s="109">
        <v>97.033333299999995</v>
      </c>
      <c r="Q24" s="109">
        <v>95.966666666666654</v>
      </c>
      <c r="R24" s="109">
        <v>242.8</v>
      </c>
      <c r="S24" s="109">
        <v>93.907333333333327</v>
      </c>
      <c r="T24" s="109">
        <v>96.291666666666714</v>
      </c>
      <c r="U24" s="109">
        <v>76.346281599999998</v>
      </c>
      <c r="V24" s="111">
        <v>75.2</v>
      </c>
      <c r="W24" s="34"/>
      <c r="AW24" s="28"/>
      <c r="AX24" s="28"/>
      <c r="AY24" s="28"/>
      <c r="AZ24" s="28"/>
      <c r="BA24" s="28"/>
      <c r="BB24" s="28"/>
    </row>
    <row r="25" spans="1:54" ht="16.5" thickBot="1" x14ac:dyDescent="0.3">
      <c r="A25" s="7"/>
      <c r="B25" s="8" t="s">
        <v>63</v>
      </c>
      <c r="C25" s="109">
        <v>3.2558786652902905</v>
      </c>
      <c r="D25" s="109">
        <v>3.2366071428571397</v>
      </c>
      <c r="E25" s="109">
        <v>2.7763653005186795</v>
      </c>
      <c r="F25" s="109">
        <v>2.4535576235541701</v>
      </c>
      <c r="G25" s="109">
        <v>1.4411247803163496</v>
      </c>
      <c r="H25" s="109">
        <v>4.3777811172352354</v>
      </c>
      <c r="I25" s="110">
        <v>3.2206443485839564</v>
      </c>
      <c r="J25" s="110">
        <v>1.3511294351951086</v>
      </c>
      <c r="K25" s="109">
        <v>1.837814420486561</v>
      </c>
      <c r="L25" s="111">
        <v>2.0161290322580738</v>
      </c>
      <c r="M25" s="109">
        <v>247.36666700000001</v>
      </c>
      <c r="N25" s="109">
        <v>246.66666666666663</v>
      </c>
      <c r="O25" s="109">
        <v>97.691333333333347</v>
      </c>
      <c r="P25" s="109">
        <v>97.433333300000001</v>
      </c>
      <c r="Q25" s="109">
        <v>96.2</v>
      </c>
      <c r="R25" s="109">
        <v>242.4</v>
      </c>
      <c r="S25" s="109">
        <v>93.959000000000003</v>
      </c>
      <c r="T25" s="109">
        <v>96.690666666666687</v>
      </c>
      <c r="U25" s="109">
        <v>77.180482999999995</v>
      </c>
      <c r="V25" s="111">
        <v>75.900000000000006</v>
      </c>
      <c r="W25" s="34"/>
      <c r="AW25" s="28"/>
      <c r="AX25" s="28"/>
      <c r="AY25" s="28"/>
      <c r="AZ25" s="28"/>
      <c r="BA25" s="28"/>
      <c r="BB25" s="28"/>
    </row>
    <row r="26" spans="1:54" ht="16.5" thickBot="1" x14ac:dyDescent="0.3">
      <c r="A26" s="7"/>
      <c r="B26" s="8" t="s">
        <v>64</v>
      </c>
      <c r="C26" s="109">
        <v>3.0961882525061046</v>
      </c>
      <c r="D26" s="109">
        <v>3.06291390728477</v>
      </c>
      <c r="E26" s="109">
        <v>2.6793882243270062</v>
      </c>
      <c r="F26" s="109">
        <v>2.3660403966597077</v>
      </c>
      <c r="G26" s="109">
        <v>1.4705882352941568</v>
      </c>
      <c r="H26" s="109">
        <v>3.9550435339308576</v>
      </c>
      <c r="I26" s="110">
        <v>2.5030720831426434</v>
      </c>
      <c r="J26" s="110">
        <v>1.3360528563708396</v>
      </c>
      <c r="K26" s="109">
        <v>2.0841276137318454</v>
      </c>
      <c r="L26" s="111">
        <v>2.0134228187919545</v>
      </c>
      <c r="M26" s="109">
        <v>249.73333299999999</v>
      </c>
      <c r="N26" s="109">
        <v>249</v>
      </c>
      <c r="O26" s="109">
        <v>98.397999999999982</v>
      </c>
      <c r="P26" s="109">
        <v>98.066666699999999</v>
      </c>
      <c r="Q26" s="109">
        <v>96.600000000000037</v>
      </c>
      <c r="R26" s="109">
        <v>243.566667</v>
      </c>
      <c r="S26" s="109">
        <v>94.814999999999998</v>
      </c>
      <c r="T26" s="109">
        <v>96.882333333333307</v>
      </c>
      <c r="U26" s="109">
        <v>77.707778099999999</v>
      </c>
      <c r="V26" s="111">
        <v>76</v>
      </c>
      <c r="W26" s="34"/>
      <c r="AW26" s="28"/>
      <c r="AX26" s="28"/>
      <c r="AY26" s="28"/>
      <c r="AZ26" s="28"/>
      <c r="BA26" s="28"/>
      <c r="BB26" s="28"/>
    </row>
    <row r="27" spans="1:54" ht="16.5" thickBot="1" x14ac:dyDescent="0.3">
      <c r="A27" s="7"/>
      <c r="B27" s="8" t="s">
        <v>65</v>
      </c>
      <c r="C27" s="109">
        <v>3.1948445084327481</v>
      </c>
      <c r="D27" s="109">
        <v>3.2182643377802078</v>
      </c>
      <c r="E27" s="109">
        <v>2.7088623402572232</v>
      </c>
      <c r="F27" s="109">
        <v>2.3941707139506718</v>
      </c>
      <c r="G27" s="109">
        <v>1.3598326359831825</v>
      </c>
      <c r="H27" s="109">
        <v>2.4577574361122734</v>
      </c>
      <c r="I27" s="110">
        <v>2.2997122682259619</v>
      </c>
      <c r="J27" s="110">
        <v>1.2228803696434198</v>
      </c>
      <c r="K27" s="109">
        <v>2.7981336862729078</v>
      </c>
      <c r="L27" s="111">
        <v>2.4064171122994527</v>
      </c>
      <c r="M27" s="109">
        <v>250.86666700000001</v>
      </c>
      <c r="N27" s="109">
        <v>250.16666666666663</v>
      </c>
      <c r="O27" s="109">
        <v>98.694999999999979</v>
      </c>
      <c r="P27" s="109">
        <v>98.366666699999996</v>
      </c>
      <c r="Q27" s="109">
        <v>96.899999999999963</v>
      </c>
      <c r="R27" s="109">
        <v>244.566667</v>
      </c>
      <c r="S27" s="109">
        <v>95.521333333333317</v>
      </c>
      <c r="T27" s="109">
        <v>97.121666666666727</v>
      </c>
      <c r="U27" s="109">
        <v>77.892265899999998</v>
      </c>
      <c r="V27" s="111">
        <v>76.599999999999994</v>
      </c>
      <c r="W27" s="34"/>
      <c r="AW27" s="28"/>
      <c r="AX27" s="28"/>
      <c r="AY27" s="28"/>
      <c r="AZ27" s="28"/>
      <c r="BA27" s="28"/>
      <c r="BB27" s="28"/>
    </row>
    <row r="28" spans="1:54" ht="16.5" thickBot="1" x14ac:dyDescent="0.3">
      <c r="A28" s="7"/>
      <c r="B28" s="8" t="s">
        <v>66</v>
      </c>
      <c r="C28" s="109">
        <v>2.6287264227642382</v>
      </c>
      <c r="D28" s="109">
        <v>2.7052746057640187</v>
      </c>
      <c r="E28" s="109">
        <v>2.1027628967744016</v>
      </c>
      <c r="F28" s="109">
        <v>1.958090004107893</v>
      </c>
      <c r="G28" s="109">
        <v>1.3546370267453867</v>
      </c>
      <c r="H28" s="109">
        <v>0.49423393739702615</v>
      </c>
      <c r="I28" s="110">
        <v>1.8841269052470189</v>
      </c>
      <c r="J28" s="110">
        <v>1.1406317611422967</v>
      </c>
      <c r="K28" s="109">
        <v>2.1415938873963425</v>
      </c>
      <c r="L28" s="111">
        <v>2.1276595744680771</v>
      </c>
      <c r="M28" s="109">
        <v>252.466667</v>
      </c>
      <c r="N28" s="109">
        <v>251.83333333333337</v>
      </c>
      <c r="O28" s="109">
        <v>99.298000000000002</v>
      </c>
      <c r="P28" s="109">
        <v>98.933333300000001</v>
      </c>
      <c r="Q28" s="109">
        <v>97.266666666666652</v>
      </c>
      <c r="R28" s="109">
        <v>244</v>
      </c>
      <c r="S28" s="109">
        <v>95.676666666666662</v>
      </c>
      <c r="T28" s="109">
        <v>97.389999999999986</v>
      </c>
      <c r="U28" s="109">
        <v>77.981308900000002</v>
      </c>
      <c r="V28" s="111">
        <v>76.8</v>
      </c>
      <c r="W28" s="34"/>
      <c r="AW28" s="28"/>
      <c r="AX28" s="28"/>
      <c r="AY28" s="28"/>
      <c r="AZ28" s="28"/>
      <c r="BA28" s="28"/>
      <c r="BB28" s="28"/>
    </row>
    <row r="29" spans="1:54" ht="16.5" thickBot="1" x14ac:dyDescent="0.3">
      <c r="A29" s="7"/>
      <c r="B29" s="8" t="s">
        <v>67</v>
      </c>
      <c r="C29" s="109">
        <v>2.6276782069428961</v>
      </c>
      <c r="D29" s="109">
        <v>2.6756756756756817</v>
      </c>
      <c r="E29" s="109">
        <v>1.7391512041327273</v>
      </c>
      <c r="F29" s="109">
        <v>1.6421484781533158</v>
      </c>
      <c r="G29" s="109">
        <v>1.3167013167012964</v>
      </c>
      <c r="H29" s="109">
        <v>0.37128712871288272</v>
      </c>
      <c r="I29" s="110">
        <v>2.0320920117639973</v>
      </c>
      <c r="J29" s="110">
        <v>1.0018202377340302</v>
      </c>
      <c r="K29" s="109">
        <v>1.5796269375510485</v>
      </c>
      <c r="L29" s="111">
        <v>1.7127799736495364</v>
      </c>
      <c r="M29" s="109">
        <v>253.86666700000001</v>
      </c>
      <c r="N29" s="109">
        <v>253.26666666666665</v>
      </c>
      <c r="O29" s="109">
        <v>99.390333333333331</v>
      </c>
      <c r="P29" s="109">
        <v>99.033333299999995</v>
      </c>
      <c r="Q29" s="109">
        <v>97.466666666666654</v>
      </c>
      <c r="R29" s="109">
        <v>243.3</v>
      </c>
      <c r="S29" s="109">
        <v>95.868333333333339</v>
      </c>
      <c r="T29" s="109">
        <v>97.659333333333308</v>
      </c>
      <c r="U29" s="109">
        <v>78.399646700000005</v>
      </c>
      <c r="V29" s="111">
        <v>77.2</v>
      </c>
      <c r="W29" s="34"/>
      <c r="AW29" s="28"/>
      <c r="AX29" s="28"/>
      <c r="AY29" s="28"/>
      <c r="AZ29" s="28"/>
      <c r="BA29" s="28"/>
      <c r="BB29" s="28"/>
    </row>
    <row r="30" spans="1:54" ht="16.5" thickBot="1" x14ac:dyDescent="0.3">
      <c r="A30" s="7"/>
      <c r="B30" s="8" t="s">
        <v>68</v>
      </c>
      <c r="C30" s="109">
        <v>2.4959959990603409</v>
      </c>
      <c r="D30" s="109">
        <v>2.5970548862115139</v>
      </c>
      <c r="E30" s="109">
        <v>1.7205634260859082</v>
      </c>
      <c r="F30" s="109">
        <v>1.6315431673583847</v>
      </c>
      <c r="G30" s="109">
        <v>1.311249137336068</v>
      </c>
      <c r="H30" s="109">
        <v>-0.32845216870335259</v>
      </c>
      <c r="I30" s="110">
        <v>2.2914798994533303</v>
      </c>
      <c r="J30" s="110">
        <v>0.96784071399327321</v>
      </c>
      <c r="K30" s="109">
        <v>1.495713721867431</v>
      </c>
      <c r="L30" s="111">
        <v>1.4473684210526194</v>
      </c>
      <c r="M30" s="109">
        <v>255.966667</v>
      </c>
      <c r="N30" s="109">
        <v>255.46666666666667</v>
      </c>
      <c r="O30" s="109">
        <v>100.09099999999999</v>
      </c>
      <c r="P30" s="109">
        <v>99.666666699999979</v>
      </c>
      <c r="Q30" s="109">
        <v>97.866666666666674</v>
      </c>
      <c r="R30" s="109">
        <v>242.76666700000001</v>
      </c>
      <c r="S30" s="109">
        <v>96.987666666666669</v>
      </c>
      <c r="T30" s="109">
        <v>97.819999999999979</v>
      </c>
      <c r="U30" s="109">
        <v>78.870063999999999</v>
      </c>
      <c r="V30" s="111">
        <v>77.099999999999994</v>
      </c>
      <c r="W30" s="34"/>
      <c r="AW30" s="28"/>
      <c r="AX30" s="28"/>
      <c r="AY30" s="28"/>
      <c r="AZ30" s="28"/>
      <c r="BA30" s="28"/>
      <c r="BB30" s="28"/>
    </row>
    <row r="31" spans="1:54" ht="16.5" thickBot="1" x14ac:dyDescent="0.3">
      <c r="A31" s="7"/>
      <c r="B31" s="8" t="s">
        <v>69</v>
      </c>
      <c r="C31" s="109">
        <v>2.3917087398462655</v>
      </c>
      <c r="D31" s="109">
        <v>2.4783477681545873</v>
      </c>
      <c r="E31" s="109">
        <v>1.456000810578062</v>
      </c>
      <c r="F31" s="109">
        <v>1.4910199249437595</v>
      </c>
      <c r="G31" s="109">
        <v>1.5823873409013034</v>
      </c>
      <c r="H31" s="109">
        <v>-0.19081382010247561</v>
      </c>
      <c r="I31" s="110">
        <v>2.3513072123504841</v>
      </c>
      <c r="J31" s="110">
        <v>1.0440512758910447</v>
      </c>
      <c r="K31" s="109">
        <v>1.0968357257661987</v>
      </c>
      <c r="L31" s="111">
        <v>1.9582245430809442</v>
      </c>
      <c r="M31" s="109">
        <v>256.86666700000001</v>
      </c>
      <c r="N31" s="109">
        <v>256.36666666666667</v>
      </c>
      <c r="O31" s="109">
        <v>100.13200000000001</v>
      </c>
      <c r="P31" s="109">
        <v>99.833333300000021</v>
      </c>
      <c r="Q31" s="109">
        <v>98.433333333333323</v>
      </c>
      <c r="R31" s="109">
        <v>244.1</v>
      </c>
      <c r="S31" s="109">
        <v>97.76733333333334</v>
      </c>
      <c r="T31" s="109">
        <v>98.135666666666708</v>
      </c>
      <c r="U31" s="109">
        <v>78.746616099999997</v>
      </c>
      <c r="V31" s="111">
        <v>78.099999999999994</v>
      </c>
      <c r="W31" s="34"/>
      <c r="AW31" s="28"/>
      <c r="AX31" s="28"/>
      <c r="AY31" s="28"/>
      <c r="AZ31" s="28"/>
      <c r="BA31" s="28"/>
      <c r="BB31" s="28"/>
    </row>
    <row r="32" spans="1:54" ht="16.5" thickBot="1" x14ac:dyDescent="0.3">
      <c r="A32" s="7"/>
      <c r="B32" s="8" t="s">
        <v>70</v>
      </c>
      <c r="C32" s="109">
        <v>1.9672561368269781</v>
      </c>
      <c r="D32" s="109">
        <v>2.0251489080079343</v>
      </c>
      <c r="E32" s="109">
        <v>0.93523199527349998</v>
      </c>
      <c r="F32" s="109">
        <v>1.0444744612683632</v>
      </c>
      <c r="G32" s="109">
        <v>1.6449623029472393</v>
      </c>
      <c r="H32" s="109">
        <v>-2.7322540983609755E-2</v>
      </c>
      <c r="I32" s="110">
        <v>2.6784656656098527</v>
      </c>
      <c r="J32" s="110">
        <v>1.1763699216209567</v>
      </c>
      <c r="K32" s="109">
        <v>0.60961659493252718</v>
      </c>
      <c r="L32" s="111">
        <v>1.3020833333333259</v>
      </c>
      <c r="M32" s="109">
        <v>257.433333</v>
      </c>
      <c r="N32" s="109">
        <v>256.93333333333334</v>
      </c>
      <c r="O32" s="109">
        <v>100.22666666666667</v>
      </c>
      <c r="P32" s="109">
        <v>99.966666700000005</v>
      </c>
      <c r="Q32" s="109">
        <v>98.866666666666674</v>
      </c>
      <c r="R32" s="109">
        <v>243.933333</v>
      </c>
      <c r="S32" s="109">
        <v>98.23933333333332</v>
      </c>
      <c r="T32" s="109">
        <v>98.535666666666643</v>
      </c>
      <c r="U32" s="109">
        <v>78.4566959</v>
      </c>
      <c r="V32" s="111">
        <v>77.8</v>
      </c>
      <c r="W32" s="34"/>
      <c r="AW32" s="28"/>
      <c r="AX32" s="28"/>
      <c r="AY32" s="28"/>
      <c r="AZ32" s="28"/>
      <c r="BA32" s="28"/>
      <c r="BB32" s="28"/>
    </row>
    <row r="33" spans="1:54" ht="16.5" thickBot="1" x14ac:dyDescent="0.3">
      <c r="A33" s="7"/>
      <c r="B33" s="8" t="s">
        <v>71</v>
      </c>
      <c r="C33" s="109">
        <v>0.99789902705107458</v>
      </c>
      <c r="D33" s="109">
        <v>1.0265859436694003</v>
      </c>
      <c r="E33" s="109">
        <v>0.10061340640104</v>
      </c>
      <c r="F33" s="109">
        <v>0.40390440942574823</v>
      </c>
      <c r="G33" s="109">
        <v>1.9151846785225857</v>
      </c>
      <c r="H33" s="109">
        <v>0.34251253596382369</v>
      </c>
      <c r="I33" s="110">
        <v>2.8062794457676343</v>
      </c>
      <c r="J33" s="110">
        <v>1.4335547378984348</v>
      </c>
      <c r="K33" s="109">
        <v>-0.41397737574244697</v>
      </c>
      <c r="L33" s="111">
        <v>1.0362694300518172</v>
      </c>
      <c r="M33" s="109">
        <v>256.39999999999998</v>
      </c>
      <c r="N33" s="109">
        <v>255.86666666666667</v>
      </c>
      <c r="O33" s="109">
        <v>99.490333333333339</v>
      </c>
      <c r="P33" s="109">
        <v>99.433333300000001</v>
      </c>
      <c r="Q33" s="109">
        <v>99.333333333333329</v>
      </c>
      <c r="R33" s="109">
        <v>244.13333299999999</v>
      </c>
      <c r="S33" s="109">
        <v>98.558666666666682</v>
      </c>
      <c r="T33" s="109">
        <v>99.059333333333342</v>
      </c>
      <c r="U33" s="109">
        <v>78.075089899999995</v>
      </c>
      <c r="V33" s="111">
        <v>78</v>
      </c>
      <c r="W33" s="34"/>
      <c r="AW33" s="28"/>
      <c r="AX33" s="28"/>
      <c r="AY33" s="28"/>
      <c r="AZ33" s="28"/>
      <c r="BA33" s="28"/>
      <c r="BB33" s="28"/>
    </row>
    <row r="34" spans="1:54" ht="16.5" thickBot="1" x14ac:dyDescent="0.3">
      <c r="A34" s="7"/>
      <c r="B34" s="8" t="s">
        <v>72</v>
      </c>
      <c r="C34" s="109">
        <v>0.97668967186261835</v>
      </c>
      <c r="D34" s="109">
        <v>1.0046972860125347</v>
      </c>
      <c r="E34" s="109">
        <v>-1.6651513789101013E-2</v>
      </c>
      <c r="F34" s="109">
        <v>0.36789260857263972</v>
      </c>
      <c r="G34" s="109">
        <v>1.9073569482288999</v>
      </c>
      <c r="H34" s="109">
        <v>0.23342001890234165</v>
      </c>
      <c r="I34" s="110">
        <v>2.7666748005760189</v>
      </c>
      <c r="J34" s="110">
        <v>1.9314386969263131</v>
      </c>
      <c r="K34" s="109">
        <v>-0.76487005259687768</v>
      </c>
      <c r="L34" s="111">
        <v>0.90791180285343387</v>
      </c>
      <c r="M34" s="109">
        <v>258.46666699999997</v>
      </c>
      <c r="N34" s="109">
        <v>258.03333333333336</v>
      </c>
      <c r="O34" s="109">
        <v>100.07433333333334</v>
      </c>
      <c r="P34" s="109">
        <v>100.033333</v>
      </c>
      <c r="Q34" s="109">
        <v>99.733333333333348</v>
      </c>
      <c r="R34" s="109">
        <v>243.33333300000001</v>
      </c>
      <c r="S34" s="109">
        <v>99.671000000000006</v>
      </c>
      <c r="T34" s="109">
        <v>99.709333333333291</v>
      </c>
      <c r="U34" s="109">
        <v>78.266810500000005</v>
      </c>
      <c r="V34" s="111">
        <v>77.8</v>
      </c>
      <c r="W34" s="34"/>
      <c r="AW34" s="28"/>
      <c r="AX34" s="28"/>
      <c r="AY34" s="28"/>
      <c r="AZ34" s="28"/>
      <c r="BA34" s="28"/>
      <c r="BB34" s="28"/>
    </row>
    <row r="35" spans="1:54" ht="16.5" thickBot="1" x14ac:dyDescent="0.3">
      <c r="A35" s="7"/>
      <c r="B35" s="8" t="s">
        <v>73</v>
      </c>
      <c r="C35" s="109">
        <v>0.96029042180081348</v>
      </c>
      <c r="D35" s="109">
        <v>1.0271746196853337</v>
      </c>
      <c r="E35" s="109">
        <v>9.6539234876180657E-3</v>
      </c>
      <c r="F35" s="109">
        <v>0.33389018375087343</v>
      </c>
      <c r="G35" s="109">
        <v>1.7947849644429636</v>
      </c>
      <c r="H35" s="109">
        <v>-0.91492544039327717</v>
      </c>
      <c r="I35" s="110">
        <v>2.8867856339199971</v>
      </c>
      <c r="J35" s="110">
        <v>2.2285475549154832</v>
      </c>
      <c r="K35" s="109">
        <v>-0.38476408892953451</v>
      </c>
      <c r="L35" s="111">
        <v>0</v>
      </c>
      <c r="M35" s="109">
        <v>259.33333299999998</v>
      </c>
      <c r="N35" s="109">
        <v>259</v>
      </c>
      <c r="O35" s="109">
        <v>100.14166666666664</v>
      </c>
      <c r="P35" s="109">
        <v>100.166667</v>
      </c>
      <c r="Q35" s="109">
        <v>100.2</v>
      </c>
      <c r="R35" s="109">
        <v>241.86666700000001</v>
      </c>
      <c r="S35" s="109">
        <v>100.58966666666667</v>
      </c>
      <c r="T35" s="109">
        <v>100.32266666666672</v>
      </c>
      <c r="U35" s="109">
        <v>78.443627399999997</v>
      </c>
      <c r="V35" s="111">
        <v>78.099999999999994</v>
      </c>
      <c r="W35" s="34"/>
      <c r="AW35" s="28"/>
      <c r="AX35" s="28"/>
      <c r="AY35" s="28"/>
      <c r="AZ35" s="28"/>
      <c r="BA35" s="28"/>
      <c r="BB35" s="28"/>
    </row>
    <row r="36" spans="1:54" ht="16.5" thickBot="1" x14ac:dyDescent="0.3">
      <c r="A36" s="23"/>
      <c r="B36" s="8" t="s">
        <v>74</v>
      </c>
      <c r="C36" s="109">
        <v>0.98407380679019774</v>
      </c>
      <c r="D36" s="109">
        <v>1.0508562532433485</v>
      </c>
      <c r="E36" s="109">
        <v>6.7181056272436201E-2</v>
      </c>
      <c r="F36" s="109">
        <v>0.36678856273197891</v>
      </c>
      <c r="G36" s="109">
        <v>1.8880647336480427</v>
      </c>
      <c r="H36" s="109">
        <v>-1.352828643554016</v>
      </c>
      <c r="I36" s="110">
        <v>2.9940485481036117</v>
      </c>
      <c r="J36" s="110">
        <v>2.4086033145358954</v>
      </c>
      <c r="K36" s="109">
        <v>0.23095275415492278</v>
      </c>
      <c r="L36" s="111">
        <v>0.77120822622109841</v>
      </c>
      <c r="M36" s="109">
        <v>259.96666699999997</v>
      </c>
      <c r="N36" s="109">
        <v>259.63333333333327</v>
      </c>
      <c r="O36" s="109">
        <v>100.294</v>
      </c>
      <c r="P36" s="109">
        <v>100.333333</v>
      </c>
      <c r="Q36" s="109">
        <v>100.73333333333336</v>
      </c>
      <c r="R36" s="109">
        <v>240.63333299999999</v>
      </c>
      <c r="S36" s="109">
        <v>101.18066666666665</v>
      </c>
      <c r="T36" s="109">
        <v>100.90900000000002</v>
      </c>
      <c r="U36" s="109">
        <v>78.637893800000001</v>
      </c>
      <c r="V36" s="111">
        <v>78.400000000000006</v>
      </c>
      <c r="W36" s="34"/>
      <c r="AW36" s="28"/>
      <c r="AX36" s="28"/>
      <c r="AY36" s="28"/>
      <c r="AZ36" s="28"/>
      <c r="BA36" s="28"/>
      <c r="BB36" s="28"/>
    </row>
    <row r="37" spans="1:54" ht="16.5" thickBot="1" x14ac:dyDescent="0.3">
      <c r="A37" s="7"/>
      <c r="B37" s="8" t="s">
        <v>75</v>
      </c>
      <c r="C37" s="109">
        <v>1.3910557722308869</v>
      </c>
      <c r="D37" s="109">
        <v>1.4721208963001331</v>
      </c>
      <c r="E37" s="109">
        <v>0.34676735763272681</v>
      </c>
      <c r="F37" s="109">
        <v>0.70398897107071257</v>
      </c>
      <c r="G37" s="109">
        <v>2.0134228187919323</v>
      </c>
      <c r="H37" s="109">
        <v>-1.7067173698890103</v>
      </c>
      <c r="I37" s="110">
        <v>2.9312490699278992</v>
      </c>
      <c r="J37" s="110">
        <v>2.5557073538417852</v>
      </c>
      <c r="K37" s="109">
        <v>0.80190186242745654</v>
      </c>
      <c r="L37" s="111">
        <v>1.025641025641022</v>
      </c>
      <c r="M37" s="109">
        <v>259.96666699999997</v>
      </c>
      <c r="N37" s="109">
        <v>259.63333333333327</v>
      </c>
      <c r="O37" s="109">
        <v>99.835333333333324</v>
      </c>
      <c r="P37" s="109">
        <v>100.13333299999999</v>
      </c>
      <c r="Q37" s="109">
        <v>101.33333333333331</v>
      </c>
      <c r="R37" s="109">
        <v>239.966667</v>
      </c>
      <c r="S37" s="109">
        <v>101.44766666666668</v>
      </c>
      <c r="T37" s="109">
        <v>101.59099999999999</v>
      </c>
      <c r="U37" s="109">
        <v>78.701175500000005</v>
      </c>
      <c r="V37" s="111">
        <v>78.8</v>
      </c>
      <c r="W37" s="34"/>
      <c r="AW37" s="28"/>
      <c r="AX37" s="28"/>
      <c r="AY37" s="28"/>
      <c r="AZ37" s="28"/>
      <c r="BA37" s="28"/>
      <c r="BB37" s="28"/>
    </row>
    <row r="38" spans="1:54" ht="16.5" thickBot="1" x14ac:dyDescent="0.3">
      <c r="A38" s="7"/>
      <c r="B38" s="8" t="s">
        <v>76</v>
      </c>
      <c r="C38" s="109">
        <v>1.4444156545725839</v>
      </c>
      <c r="D38" s="109">
        <v>1.5243508590621069</v>
      </c>
      <c r="E38" s="109">
        <v>0.35140545527823086</v>
      </c>
      <c r="F38" s="109">
        <v>0.76641153204402013</v>
      </c>
      <c r="G38" s="109">
        <v>2.3061497326202884</v>
      </c>
      <c r="H38" s="109">
        <v>-1.7945202764308554</v>
      </c>
      <c r="I38" s="110">
        <v>1.8420603786457379</v>
      </c>
      <c r="J38" s="110">
        <v>2.4872295472172956</v>
      </c>
      <c r="K38" s="109">
        <v>0.89220973173553819</v>
      </c>
      <c r="L38" s="111">
        <v>1.413881748071999</v>
      </c>
      <c r="M38" s="109">
        <v>262.2</v>
      </c>
      <c r="N38" s="109">
        <v>261.96666666666664</v>
      </c>
      <c r="O38" s="109">
        <v>100.426</v>
      </c>
      <c r="P38" s="109">
        <v>100.8</v>
      </c>
      <c r="Q38" s="109">
        <v>102.03333333333332</v>
      </c>
      <c r="R38" s="109">
        <v>238.966667</v>
      </c>
      <c r="S38" s="109">
        <v>101.50700000000001</v>
      </c>
      <c r="T38" s="109">
        <v>102.18933333333334</v>
      </c>
      <c r="U38" s="109">
        <v>78.965114600000021</v>
      </c>
      <c r="V38" s="111">
        <v>78.900000000000006</v>
      </c>
      <c r="W38" s="34"/>
      <c r="AW38" s="28"/>
      <c r="AX38" s="28"/>
      <c r="AY38" s="28"/>
      <c r="AZ38" s="28"/>
      <c r="BA38" s="28"/>
      <c r="BB38" s="28"/>
    </row>
    <row r="39" spans="1:54" ht="16.5" thickBot="1" x14ac:dyDescent="0.3">
      <c r="A39" s="7"/>
      <c r="B39" s="8" t="s">
        <v>77</v>
      </c>
      <c r="C39" s="109">
        <v>1.889460156670264</v>
      </c>
      <c r="D39" s="109">
        <v>2.0077220077220126</v>
      </c>
      <c r="E39" s="109">
        <v>0.72630440209706659</v>
      </c>
      <c r="F39" s="109">
        <v>1.0316136404938003</v>
      </c>
      <c r="G39" s="109">
        <v>2.4284763805721976</v>
      </c>
      <c r="H39" s="109">
        <v>-3.1835722117095289</v>
      </c>
      <c r="I39" s="110">
        <v>1.2771358224336948</v>
      </c>
      <c r="J39" s="110">
        <v>2.3474256399351079</v>
      </c>
      <c r="K39" s="109">
        <v>1.4935137994396275</v>
      </c>
      <c r="L39" s="111">
        <v>2.0486555697823317</v>
      </c>
      <c r="M39" s="109">
        <v>264.23333300000002</v>
      </c>
      <c r="N39" s="109">
        <v>264.2</v>
      </c>
      <c r="O39" s="109">
        <v>100.869</v>
      </c>
      <c r="P39" s="109">
        <v>101.2</v>
      </c>
      <c r="Q39" s="109">
        <v>102.63333333333334</v>
      </c>
      <c r="R39" s="109">
        <v>234.16666699999999</v>
      </c>
      <c r="S39" s="109">
        <v>101.87433333333333</v>
      </c>
      <c r="T39" s="109">
        <v>102.6776666666667</v>
      </c>
      <c r="U39" s="109">
        <v>79.6151938</v>
      </c>
      <c r="V39" s="111">
        <v>79.7</v>
      </c>
      <c r="W39" s="34"/>
      <c r="AW39" s="28"/>
      <c r="AX39" s="28"/>
      <c r="AY39" s="28"/>
      <c r="AZ39" s="28"/>
      <c r="BA39" s="28"/>
      <c r="BB39" s="28"/>
    </row>
    <row r="40" spans="1:54" ht="16.5" thickBot="1" x14ac:dyDescent="0.3">
      <c r="A40" s="7"/>
      <c r="B40" s="8" t="s">
        <v>78</v>
      </c>
      <c r="C40" s="109">
        <v>2.2438772890833958</v>
      </c>
      <c r="D40" s="109">
        <v>2.4778533829760141</v>
      </c>
      <c r="E40" s="109">
        <v>1.2111060149826436</v>
      </c>
      <c r="F40" s="109">
        <v>1.5282398721868651</v>
      </c>
      <c r="G40" s="109">
        <v>2.6472534745201726</v>
      </c>
      <c r="H40" s="109">
        <v>-5.7210137217357122</v>
      </c>
      <c r="I40" s="110">
        <v>1.0031560706591058</v>
      </c>
      <c r="J40" s="110">
        <v>2.3047167910361432</v>
      </c>
      <c r="K40" s="109">
        <v>1.7872084717507786</v>
      </c>
      <c r="L40" s="111">
        <v>2.2959183673469274</v>
      </c>
      <c r="M40" s="109">
        <v>265.8</v>
      </c>
      <c r="N40" s="109">
        <v>266.06666666666666</v>
      </c>
      <c r="O40" s="109">
        <v>101.50866666666668</v>
      </c>
      <c r="P40" s="109">
        <v>101.86666700000001</v>
      </c>
      <c r="Q40" s="109">
        <v>103.40000000000002</v>
      </c>
      <c r="R40" s="109">
        <v>226.86666700000001</v>
      </c>
      <c r="S40" s="109">
        <v>102.19566666666667</v>
      </c>
      <c r="T40" s="109">
        <v>103.23466666666668</v>
      </c>
      <c r="U40" s="109">
        <v>80.043316899999979</v>
      </c>
      <c r="V40" s="111">
        <v>80.2</v>
      </c>
      <c r="W40" s="34"/>
      <c r="AW40" s="28"/>
      <c r="AX40" s="28"/>
      <c r="AY40" s="28"/>
      <c r="AZ40" s="28"/>
      <c r="BA40" s="28"/>
      <c r="BB40" s="28"/>
    </row>
    <row r="41" spans="1:54" ht="16.5" thickBot="1" x14ac:dyDescent="0.3">
      <c r="A41" s="7"/>
      <c r="B41" s="8" t="s">
        <v>79</v>
      </c>
      <c r="C41" s="109">
        <v>2.9875622477400388</v>
      </c>
      <c r="D41" s="109">
        <v>3.2610091154192</v>
      </c>
      <c r="E41" s="109">
        <v>2.1435296788712144</v>
      </c>
      <c r="F41" s="109">
        <v>2.1637819645931478</v>
      </c>
      <c r="G41" s="109">
        <v>2.5328947368421284</v>
      </c>
      <c r="H41" s="109">
        <v>-6.2369774882108935</v>
      </c>
      <c r="I41" s="110">
        <v>1.209819184275629</v>
      </c>
      <c r="J41" s="110">
        <v>2.1028765671500027</v>
      </c>
      <c r="K41" s="109">
        <v>1.8535125946117503</v>
      </c>
      <c r="L41" s="111">
        <v>2.1573604060913798</v>
      </c>
      <c r="M41" s="109">
        <v>267.73333300000002</v>
      </c>
      <c r="N41" s="109">
        <v>268.09999999999997</v>
      </c>
      <c r="O41" s="109">
        <v>101.97533333333332</v>
      </c>
      <c r="P41" s="109">
        <v>102.3</v>
      </c>
      <c r="Q41" s="109">
        <v>103.9</v>
      </c>
      <c r="R41" s="109">
        <v>225</v>
      </c>
      <c r="S41" s="109">
        <v>102.675</v>
      </c>
      <c r="T41" s="109">
        <v>103.72733333333336</v>
      </c>
      <c r="U41" s="109">
        <v>80.159911699999995</v>
      </c>
      <c r="V41" s="111">
        <v>80.5</v>
      </c>
      <c r="W41" s="34"/>
      <c r="AW41" s="28"/>
      <c r="AX41" s="28"/>
      <c r="AY41" s="28"/>
      <c r="AZ41" s="28"/>
      <c r="BA41" s="28"/>
      <c r="BB41" s="28"/>
    </row>
    <row r="42" spans="1:54" ht="16.5" thickBot="1" x14ac:dyDescent="0.3">
      <c r="A42" s="7"/>
      <c r="B42" s="8" t="s">
        <v>80</v>
      </c>
      <c r="C42" s="109">
        <v>3.5596235697940681</v>
      </c>
      <c r="D42" s="109">
        <v>3.8300038172795592</v>
      </c>
      <c r="E42" s="109">
        <v>2.7429815651988987</v>
      </c>
      <c r="F42" s="109">
        <v>2.5793650793650924</v>
      </c>
      <c r="G42" s="109">
        <v>2.0908199934662308</v>
      </c>
      <c r="H42" s="109">
        <v>-6.1096387137541619</v>
      </c>
      <c r="I42" s="110">
        <v>1.0826839528308208</v>
      </c>
      <c r="J42" s="110">
        <v>1.7774196915529172</v>
      </c>
      <c r="K42" s="109">
        <v>2.0745850978603819</v>
      </c>
      <c r="L42" s="111">
        <v>2.0278833967046772</v>
      </c>
      <c r="M42" s="109">
        <v>271.53333300000003</v>
      </c>
      <c r="N42" s="109">
        <v>272</v>
      </c>
      <c r="O42" s="109">
        <v>103.18066666666664</v>
      </c>
      <c r="P42" s="109">
        <v>103.4</v>
      </c>
      <c r="Q42" s="109">
        <v>104.16666666666669</v>
      </c>
      <c r="R42" s="109">
        <v>224.36666700000001</v>
      </c>
      <c r="S42" s="109">
        <v>102.60599999999999</v>
      </c>
      <c r="T42" s="109">
        <v>104.00566666666666</v>
      </c>
      <c r="U42" s="109">
        <v>80.603313099999994</v>
      </c>
      <c r="V42" s="111">
        <v>80.5</v>
      </c>
      <c r="W42" s="34"/>
      <c r="AW42" s="28"/>
      <c r="AX42" s="28"/>
      <c r="AY42" s="28"/>
      <c r="AZ42" s="28"/>
      <c r="BA42" s="28"/>
      <c r="BB42" s="28"/>
    </row>
    <row r="43" spans="1:54" ht="16.5" thickBot="1" x14ac:dyDescent="0.3">
      <c r="A43" s="7"/>
      <c r="B43" s="8" t="s">
        <v>81</v>
      </c>
      <c r="C43" s="109">
        <v>3.7845338763523806</v>
      </c>
      <c r="D43" s="109">
        <v>4.0247287408528898</v>
      </c>
      <c r="E43" s="109">
        <v>2.816854864560292</v>
      </c>
      <c r="F43" s="109">
        <v>2.7009219367589044</v>
      </c>
      <c r="G43" s="109">
        <v>1.9162065605716094</v>
      </c>
      <c r="H43" s="109">
        <v>-4.6832741570344893</v>
      </c>
      <c r="I43" s="110">
        <v>0.89620218373616112</v>
      </c>
      <c r="J43" s="110">
        <v>1.6667045413964576</v>
      </c>
      <c r="K43" s="109">
        <v>1.6027497253922274</v>
      </c>
      <c r="L43" s="111">
        <v>1.0037641154328591</v>
      </c>
      <c r="M43" s="109">
        <v>274.23333300000002</v>
      </c>
      <c r="N43" s="109">
        <v>274.83333333333331</v>
      </c>
      <c r="O43" s="109">
        <v>103.71033333333332</v>
      </c>
      <c r="P43" s="109">
        <v>103.933333</v>
      </c>
      <c r="Q43" s="109">
        <v>104.6</v>
      </c>
      <c r="R43" s="109">
        <v>223.2</v>
      </c>
      <c r="S43" s="109">
        <v>102.78733333333332</v>
      </c>
      <c r="T43" s="109">
        <v>104.38899999999995</v>
      </c>
      <c r="U43" s="109">
        <v>80.891226099999997</v>
      </c>
      <c r="V43" s="111">
        <v>80.5</v>
      </c>
      <c r="W43" s="34"/>
      <c r="AW43" s="28"/>
      <c r="AX43" s="28"/>
      <c r="AY43" s="28"/>
      <c r="AZ43" s="28"/>
      <c r="BA43" s="28"/>
      <c r="BB43" s="28"/>
    </row>
    <row r="44" spans="1:54" ht="16.5" thickBot="1" x14ac:dyDescent="0.3">
      <c r="A44" s="7"/>
      <c r="B44" s="8" t="s">
        <v>82</v>
      </c>
      <c r="C44" s="109">
        <v>3.9879608728367044</v>
      </c>
      <c r="D44" s="109">
        <v>4.0967176146329054</v>
      </c>
      <c r="E44" s="109">
        <v>3.0217452696978064</v>
      </c>
      <c r="F44" s="109">
        <v>2.78141327623882</v>
      </c>
      <c r="G44" s="109">
        <v>1.4184397163120366</v>
      </c>
      <c r="H44" s="109">
        <v>-0.26447252385471964</v>
      </c>
      <c r="I44" s="110">
        <v>0.61744300965143051</v>
      </c>
      <c r="J44" s="110">
        <v>1.365820267093687</v>
      </c>
      <c r="K44" s="109">
        <v>1.5239936914708485</v>
      </c>
      <c r="L44" s="111">
        <v>1.1221945137156908</v>
      </c>
      <c r="M44" s="109">
        <v>276.39999999999998</v>
      </c>
      <c r="N44" s="109">
        <v>276.96666666666664</v>
      </c>
      <c r="O44" s="109">
        <v>104.57599999999999</v>
      </c>
      <c r="P44" s="109">
        <v>104.7</v>
      </c>
      <c r="Q44" s="109">
        <v>104.86666666666667</v>
      </c>
      <c r="R44" s="109">
        <v>226.26666700000001</v>
      </c>
      <c r="S44" s="109">
        <v>102.82666666666667</v>
      </c>
      <c r="T44" s="109">
        <v>104.64466666666662</v>
      </c>
      <c r="U44" s="109">
        <v>81.263171999999997</v>
      </c>
      <c r="V44" s="111">
        <v>81.099999999999994</v>
      </c>
      <c r="W44" s="34"/>
      <c r="AW44" s="28"/>
      <c r="AX44" s="28"/>
      <c r="AY44" s="28"/>
      <c r="AZ44" s="28"/>
      <c r="BA44" s="28"/>
      <c r="BB44" s="28"/>
    </row>
    <row r="45" spans="1:54" ht="16.5" thickBot="1" x14ac:dyDescent="0.3">
      <c r="A45" s="7"/>
      <c r="B45" s="8" t="s">
        <v>83</v>
      </c>
      <c r="C45" s="109">
        <v>3.6354584208608598</v>
      </c>
      <c r="D45" s="109">
        <v>3.6802188238219902</v>
      </c>
      <c r="E45" s="109">
        <v>2.7176506736923622</v>
      </c>
      <c r="F45" s="109">
        <v>2.4763763440860176</v>
      </c>
      <c r="G45" s="109">
        <v>1.1549566891241536</v>
      </c>
      <c r="H45" s="109">
        <v>2.2222222222222143</v>
      </c>
      <c r="I45" s="110">
        <v>0.31393555717882382</v>
      </c>
      <c r="J45" s="110">
        <v>1.083288879176747</v>
      </c>
      <c r="K45" s="109">
        <v>2.086932189073254</v>
      </c>
      <c r="L45" s="111">
        <v>1.1180124223602483</v>
      </c>
      <c r="M45" s="109">
        <v>277.46666699999997</v>
      </c>
      <c r="N45" s="109">
        <v>277.9666666666667</v>
      </c>
      <c r="O45" s="109">
        <v>104.74666666666668</v>
      </c>
      <c r="P45" s="109">
        <v>104.833333</v>
      </c>
      <c r="Q45" s="109">
        <v>105.1</v>
      </c>
      <c r="R45" s="109">
        <v>230</v>
      </c>
      <c r="S45" s="109">
        <v>102.99733333333334</v>
      </c>
      <c r="T45" s="109">
        <v>104.85099999999996</v>
      </c>
      <c r="U45" s="109">
        <v>81.832794699999994</v>
      </c>
      <c r="V45" s="111">
        <v>81.400000000000006</v>
      </c>
      <c r="W45" s="34"/>
      <c r="AW45" s="28"/>
      <c r="AX45" s="28"/>
      <c r="AY45" s="28"/>
      <c r="AZ45" s="28"/>
      <c r="BA45" s="28"/>
      <c r="BB45" s="28"/>
    </row>
    <row r="46" spans="1:54" ht="16.5" thickBot="1" x14ac:dyDescent="0.3">
      <c r="A46" s="7"/>
      <c r="B46" s="8" t="s">
        <v>84</v>
      </c>
      <c r="C46" s="109">
        <v>3.3513380841533547</v>
      </c>
      <c r="D46" s="109">
        <v>3.3823529411764586</v>
      </c>
      <c r="E46" s="109">
        <v>2.4164733703342822</v>
      </c>
      <c r="F46" s="109">
        <v>2.2888462282398381</v>
      </c>
      <c r="G46" s="109">
        <v>1.1519999999999975</v>
      </c>
      <c r="H46" s="109">
        <v>2.2284950197169806</v>
      </c>
      <c r="I46" s="110">
        <v>0.35670428629903661</v>
      </c>
      <c r="J46" s="110">
        <v>1.0066759182993712</v>
      </c>
      <c r="K46" s="109">
        <v>1.9757515401684023</v>
      </c>
      <c r="L46" s="111">
        <v>1.8633540372670732</v>
      </c>
      <c r="M46" s="109">
        <v>280.63333299999999</v>
      </c>
      <c r="N46" s="109">
        <v>281.2</v>
      </c>
      <c r="O46" s="109">
        <v>105.67400000000002</v>
      </c>
      <c r="P46" s="109">
        <v>105.766667</v>
      </c>
      <c r="Q46" s="109">
        <v>105.36666666666667</v>
      </c>
      <c r="R46" s="109">
        <v>229.36666700000001</v>
      </c>
      <c r="S46" s="109">
        <v>102.97199999999999</v>
      </c>
      <c r="T46" s="109">
        <v>105.0526666666667</v>
      </c>
      <c r="U46" s="109">
        <v>82.195834300000001</v>
      </c>
      <c r="V46" s="111">
        <v>82</v>
      </c>
      <c r="W46" s="34"/>
      <c r="AW46" s="28"/>
      <c r="AX46" s="28"/>
      <c r="AY46" s="28"/>
      <c r="AZ46" s="28"/>
      <c r="BA46" s="28"/>
      <c r="BB46" s="28"/>
    </row>
    <row r="47" spans="1:54" ht="16.5" thickBot="1" x14ac:dyDescent="0.3">
      <c r="A47" s="7"/>
      <c r="B47" s="8" t="s">
        <v>85</v>
      </c>
      <c r="C47" s="109">
        <v>3.3183420485211279</v>
      </c>
      <c r="D47" s="109">
        <v>3.2989690721649811</v>
      </c>
      <c r="E47" s="109">
        <v>2.5153391979584327</v>
      </c>
      <c r="F47" s="109">
        <v>2.3091725539100993</v>
      </c>
      <c r="G47" s="109">
        <v>1.0834926704907932</v>
      </c>
      <c r="H47" s="109">
        <v>4.3309439964157814</v>
      </c>
      <c r="I47" s="110">
        <v>0.4945486149395828</v>
      </c>
      <c r="J47" s="110">
        <v>0.92634281389802897</v>
      </c>
      <c r="K47" s="109">
        <v>2.1214149948457717</v>
      </c>
      <c r="L47" s="111">
        <v>2.3602484472049712</v>
      </c>
      <c r="M47" s="109">
        <v>283.33333299999998</v>
      </c>
      <c r="N47" s="109">
        <v>283.90000000000009</v>
      </c>
      <c r="O47" s="109">
        <v>106.319</v>
      </c>
      <c r="P47" s="109">
        <v>106.333333</v>
      </c>
      <c r="Q47" s="109">
        <v>105.73333333333336</v>
      </c>
      <c r="R47" s="109">
        <v>232.86666700000001</v>
      </c>
      <c r="S47" s="109">
        <v>103.29566666666666</v>
      </c>
      <c r="T47" s="109">
        <v>105.35599999999997</v>
      </c>
      <c r="U47" s="109">
        <v>82.607264700000002</v>
      </c>
      <c r="V47" s="111">
        <v>82.4</v>
      </c>
      <c r="W47" s="34"/>
      <c r="AW47" s="28"/>
      <c r="AX47" s="28"/>
      <c r="AY47" s="28"/>
      <c r="AZ47" s="28"/>
      <c r="BA47" s="28"/>
      <c r="BB47" s="28"/>
    </row>
    <row r="48" spans="1:54" ht="16.5" thickBot="1" x14ac:dyDescent="0.3">
      <c r="A48" s="7"/>
      <c r="B48" s="8" t="s">
        <v>86</v>
      </c>
      <c r="C48" s="109">
        <v>3.0752532561505008</v>
      </c>
      <c r="D48" s="109">
        <v>3.0087856541100244</v>
      </c>
      <c r="E48" s="109">
        <v>2.2682068543451672</v>
      </c>
      <c r="F48" s="109">
        <v>2.1012416427889313</v>
      </c>
      <c r="G48" s="109">
        <v>1.176096630642065</v>
      </c>
      <c r="H48" s="109">
        <v>5.5981140165024756</v>
      </c>
      <c r="I48" s="110">
        <v>0.6483402489626533</v>
      </c>
      <c r="J48" s="110">
        <v>0.97918670803418539</v>
      </c>
      <c r="K48" s="109">
        <v>1.9275746459909371</v>
      </c>
      <c r="L48" s="111">
        <v>2.4660912453760897</v>
      </c>
      <c r="M48" s="109">
        <v>284.89999999999998</v>
      </c>
      <c r="N48" s="109">
        <v>285.3</v>
      </c>
      <c r="O48" s="109">
        <v>106.94799999999999</v>
      </c>
      <c r="P48" s="109">
        <v>106.9</v>
      </c>
      <c r="Q48" s="109">
        <v>106.1</v>
      </c>
      <c r="R48" s="109">
        <v>238.933333</v>
      </c>
      <c r="S48" s="109">
        <v>103.49333333333334</v>
      </c>
      <c r="T48" s="109">
        <v>105.66933333333331</v>
      </c>
      <c r="U48" s="109">
        <v>82.829580300000003</v>
      </c>
      <c r="V48" s="111">
        <v>83.1</v>
      </c>
      <c r="W48" s="34"/>
      <c r="AW48" s="28"/>
      <c r="AX48" s="28"/>
      <c r="AY48" s="28"/>
      <c r="AZ48" s="28"/>
      <c r="BA48" s="28"/>
      <c r="BB48" s="28"/>
    </row>
    <row r="49" spans="1:54" ht="16.5" thickBot="1" x14ac:dyDescent="0.3">
      <c r="A49" s="7"/>
      <c r="B49" s="8" t="s">
        <v>87</v>
      </c>
      <c r="C49" s="109">
        <v>2.4867851964358811</v>
      </c>
      <c r="D49" s="109">
        <v>2.4463364911859742</v>
      </c>
      <c r="E49" s="109">
        <v>1.8750000000000044</v>
      </c>
      <c r="F49" s="109">
        <v>1.8124006416928573</v>
      </c>
      <c r="G49" s="109">
        <v>1.1417697431018059</v>
      </c>
      <c r="H49" s="109">
        <v>4.2173913043478173</v>
      </c>
      <c r="I49" s="110">
        <v>0.6747747514498581</v>
      </c>
      <c r="J49" s="110">
        <v>1.1244527949185956</v>
      </c>
      <c r="K49" s="109">
        <v>1.3060285963812923</v>
      </c>
      <c r="L49" s="111">
        <v>2.2113022113022129</v>
      </c>
      <c r="M49" s="109">
        <v>284.36666700000001</v>
      </c>
      <c r="N49" s="109">
        <v>284.76666666666665</v>
      </c>
      <c r="O49" s="109">
        <v>106.71066666666668</v>
      </c>
      <c r="P49" s="109">
        <v>106.733333</v>
      </c>
      <c r="Q49" s="109">
        <v>106.3</v>
      </c>
      <c r="R49" s="109">
        <v>239.7</v>
      </c>
      <c r="S49" s="109">
        <v>103.69233333333334</v>
      </c>
      <c r="T49" s="109">
        <v>106.03000000000006</v>
      </c>
      <c r="U49" s="109">
        <v>82.901554399999995</v>
      </c>
      <c r="V49" s="111">
        <v>83.2</v>
      </c>
      <c r="W49" s="34"/>
      <c r="AW49" s="28"/>
      <c r="AX49" s="28"/>
      <c r="AY49" s="28"/>
      <c r="AZ49" s="28"/>
      <c r="BA49" s="28"/>
      <c r="BB49" s="28"/>
    </row>
    <row r="50" spans="1:54" ht="16.5" thickBot="1" x14ac:dyDescent="0.3">
      <c r="A50" s="7"/>
      <c r="B50" s="8" t="s">
        <v>88</v>
      </c>
      <c r="C50" s="109">
        <v>2.9813518267981287</v>
      </c>
      <c r="D50" s="109">
        <v>2.9397818871502945</v>
      </c>
      <c r="E50" s="109">
        <v>2.0478074076877739</v>
      </c>
      <c r="F50" s="109">
        <v>1.9224705265601383</v>
      </c>
      <c r="G50" s="109">
        <v>1.1705156596013788</v>
      </c>
      <c r="H50" s="109">
        <v>4.3888966656170592</v>
      </c>
      <c r="I50" s="110">
        <v>0.82838053062970207</v>
      </c>
      <c r="J50" s="110">
        <v>1.2580991121913243</v>
      </c>
      <c r="K50" s="109">
        <v>1.4852543445744937</v>
      </c>
      <c r="L50" s="111">
        <v>2.5609756097560998</v>
      </c>
      <c r="M50" s="109">
        <v>289</v>
      </c>
      <c r="N50" s="109">
        <v>289.46666666666664</v>
      </c>
      <c r="O50" s="109">
        <v>107.83799999999999</v>
      </c>
      <c r="P50" s="109">
        <v>107.8</v>
      </c>
      <c r="Q50" s="109">
        <v>106.6</v>
      </c>
      <c r="R50" s="109">
        <v>239.433333</v>
      </c>
      <c r="S50" s="109">
        <v>103.825</v>
      </c>
      <c r="T50" s="109">
        <v>106.37433333333334</v>
      </c>
      <c r="U50" s="109">
        <v>83.4166515</v>
      </c>
      <c r="V50" s="111">
        <v>84.1</v>
      </c>
      <c r="W50" s="34"/>
      <c r="AW50" s="28"/>
      <c r="AX50" s="28"/>
      <c r="AY50" s="28"/>
      <c r="AZ50" s="28"/>
      <c r="BA50" s="28"/>
      <c r="BB50" s="28"/>
    </row>
    <row r="51" spans="1:54" ht="16.5" thickBot="1" x14ac:dyDescent="0.3">
      <c r="A51" s="7"/>
      <c r="B51" s="8" t="s">
        <v>89</v>
      </c>
      <c r="C51" s="109">
        <v>2.6117647089550333</v>
      </c>
      <c r="D51" s="109">
        <v>2.583069155806017</v>
      </c>
      <c r="E51" s="109">
        <v>1.8328489420204042</v>
      </c>
      <c r="F51" s="109">
        <v>1.7868338614007495</v>
      </c>
      <c r="G51" s="109">
        <v>1.1349306431273298</v>
      </c>
      <c r="H51" s="109">
        <v>3.2350413638204456</v>
      </c>
      <c r="I51" s="110">
        <v>0.69057430611803028</v>
      </c>
      <c r="J51" s="110">
        <v>1.2927597858688911</v>
      </c>
      <c r="K51" s="109">
        <v>1.5092328798534727</v>
      </c>
      <c r="L51" s="111">
        <v>2.6699029126213469</v>
      </c>
      <c r="M51" s="109">
        <v>290.73333300000002</v>
      </c>
      <c r="N51" s="109">
        <v>291.23333333333335</v>
      </c>
      <c r="O51" s="109">
        <v>108.26766666666668</v>
      </c>
      <c r="P51" s="109">
        <v>108.233333</v>
      </c>
      <c r="Q51" s="109">
        <v>106.93333333333332</v>
      </c>
      <c r="R51" s="109">
        <v>240.4</v>
      </c>
      <c r="S51" s="109">
        <v>104.009</v>
      </c>
      <c r="T51" s="109">
        <v>106.718</v>
      </c>
      <c r="U51" s="109">
        <v>83.8540007</v>
      </c>
      <c r="V51" s="111">
        <v>84.6</v>
      </c>
      <c r="W51" s="34"/>
      <c r="AW51" s="28"/>
      <c r="AX51" s="28"/>
      <c r="AY51" s="28"/>
      <c r="AZ51" s="28"/>
      <c r="BA51" s="28"/>
      <c r="BB51" s="28"/>
    </row>
    <row r="52" spans="1:54" ht="16.5" thickBot="1" x14ac:dyDescent="0.3">
      <c r="A52" s="7"/>
      <c r="B52" s="8" t="s">
        <v>90</v>
      </c>
      <c r="C52" s="109">
        <v>2.1762021762022021</v>
      </c>
      <c r="D52" s="109">
        <v>2.2198855006425822</v>
      </c>
      <c r="E52" s="109">
        <v>1.4134595005672601</v>
      </c>
      <c r="F52" s="109">
        <v>1.4343620205799823</v>
      </c>
      <c r="G52" s="109">
        <v>1.1624253848570465</v>
      </c>
      <c r="H52" s="109">
        <v>0.68359402997153484</v>
      </c>
      <c r="I52" s="110">
        <v>0.74304303014687267</v>
      </c>
      <c r="J52" s="110">
        <v>1.3703124211376538</v>
      </c>
      <c r="K52" s="109">
        <v>1.3819491730540534</v>
      </c>
      <c r="L52" s="111">
        <v>2.4067388688327362</v>
      </c>
      <c r="M52" s="109">
        <v>291.10000000000002</v>
      </c>
      <c r="N52" s="109">
        <v>291.63333333333333</v>
      </c>
      <c r="O52" s="109">
        <v>108.45966666666668</v>
      </c>
      <c r="P52" s="109">
        <v>108.433333</v>
      </c>
      <c r="Q52" s="109">
        <v>107.33333333333331</v>
      </c>
      <c r="R52" s="109">
        <v>240.566667</v>
      </c>
      <c r="S52" s="109">
        <v>104.26233333333334</v>
      </c>
      <c r="T52" s="109">
        <v>107.11733333333333</v>
      </c>
      <c r="U52" s="109">
        <v>83.974243000000001</v>
      </c>
      <c r="V52" s="111">
        <v>85.1</v>
      </c>
      <c r="W52" s="34"/>
      <c r="AW52" s="28"/>
      <c r="AX52" s="28"/>
      <c r="AY52" s="28"/>
      <c r="AZ52" s="28"/>
      <c r="BA52" s="28"/>
      <c r="BB52" s="28"/>
    </row>
    <row r="53" spans="1:54" ht="16.5" thickBot="1" x14ac:dyDescent="0.3">
      <c r="A53" s="7"/>
      <c r="B53" s="8" t="s">
        <v>91</v>
      </c>
      <c r="C53" s="109">
        <v>2.5905518666152316</v>
      </c>
      <c r="D53" s="109">
        <v>2.6688516914432858</v>
      </c>
      <c r="E53" s="109">
        <v>1.6671248110154524</v>
      </c>
      <c r="F53" s="109">
        <v>1.6552158077926871</v>
      </c>
      <c r="G53" s="109">
        <v>1.2543116964565559</v>
      </c>
      <c r="H53" s="109">
        <v>-0.79265748852731521</v>
      </c>
      <c r="I53" s="110">
        <v>0.75897607344803664</v>
      </c>
      <c r="J53" s="110">
        <v>1.4033764029047324</v>
      </c>
      <c r="K53" s="109">
        <v>0.7480587119124138</v>
      </c>
      <c r="L53" s="111">
        <v>3.125</v>
      </c>
      <c r="M53" s="109">
        <v>291.73333300000002</v>
      </c>
      <c r="N53" s="109">
        <v>292.36666666666662</v>
      </c>
      <c r="O53" s="109">
        <v>108.48966666666668</v>
      </c>
      <c r="P53" s="109">
        <v>108.5</v>
      </c>
      <c r="Q53" s="109">
        <v>107.63333333333333</v>
      </c>
      <c r="R53" s="109">
        <v>237.8</v>
      </c>
      <c r="S53" s="109">
        <v>104.47933333333333</v>
      </c>
      <c r="T53" s="109">
        <v>107.51799999999996</v>
      </c>
      <c r="U53" s="109">
        <v>83.521706699999996</v>
      </c>
      <c r="V53" s="111">
        <v>85.8</v>
      </c>
      <c r="W53" s="34"/>
      <c r="AW53" s="28"/>
      <c r="AX53" s="28"/>
      <c r="AY53" s="28"/>
      <c r="AZ53" s="28"/>
      <c r="BA53" s="28"/>
      <c r="BB53" s="28"/>
    </row>
    <row r="54" spans="1:54" ht="16.5" thickBot="1" x14ac:dyDescent="0.3">
      <c r="A54" s="7"/>
      <c r="B54" s="8" t="s">
        <v>92</v>
      </c>
      <c r="C54" s="109">
        <v>1.211072664359869</v>
      </c>
      <c r="D54" s="109">
        <v>1.381851681252888</v>
      </c>
      <c r="E54" s="109">
        <v>0.61666573934977542</v>
      </c>
      <c r="F54" s="109">
        <v>0.80395825602967985</v>
      </c>
      <c r="G54" s="109">
        <v>1.1257035647279645</v>
      </c>
      <c r="H54" s="109">
        <v>-5.2206598986783481</v>
      </c>
      <c r="I54" s="110">
        <v>1.3281964844690686</v>
      </c>
      <c r="J54" s="110">
        <v>1.4577451327544289</v>
      </c>
      <c r="K54" s="109">
        <v>0.63517030529569585</v>
      </c>
      <c r="L54" s="111">
        <v>9.5124851367419652</v>
      </c>
      <c r="M54" s="109">
        <v>292.5</v>
      </c>
      <c r="N54" s="109">
        <v>293.46666666666664</v>
      </c>
      <c r="O54" s="109">
        <v>108.503</v>
      </c>
      <c r="P54" s="109">
        <v>108.666667</v>
      </c>
      <c r="Q54" s="109">
        <v>107.8</v>
      </c>
      <c r="R54" s="109">
        <v>226.933333</v>
      </c>
      <c r="S54" s="109">
        <v>105.20400000000001</v>
      </c>
      <c r="T54" s="109">
        <v>107.92499999999998</v>
      </c>
      <c r="U54" s="109">
        <v>83.946489299999996</v>
      </c>
      <c r="V54" s="111">
        <v>92.1</v>
      </c>
      <c r="W54" s="34"/>
      <c r="AW54" s="28"/>
      <c r="AX54" s="28"/>
      <c r="AY54" s="28"/>
      <c r="AZ54" s="28"/>
      <c r="BA54" s="28"/>
      <c r="BB54" s="28"/>
    </row>
    <row r="55" spans="1:54" ht="16.5" thickBot="1" x14ac:dyDescent="0.3">
      <c r="A55" s="7"/>
      <c r="B55" s="8" t="s">
        <v>93</v>
      </c>
      <c r="C55" s="109">
        <v>1.1006649863571027</v>
      </c>
      <c r="D55" s="109">
        <v>1.3391324253176018</v>
      </c>
      <c r="E55" s="109">
        <v>0.59666936573858909</v>
      </c>
      <c r="F55" s="109">
        <v>0.76994210277161468</v>
      </c>
      <c r="G55" s="109">
        <v>1.122194513715713</v>
      </c>
      <c r="H55" s="109">
        <v>-8.0282861896838646</v>
      </c>
      <c r="I55" s="110">
        <v>1.7748464075224346</v>
      </c>
      <c r="J55" s="110">
        <v>1.454924817431591</v>
      </c>
      <c r="K55" s="109">
        <v>0.17773451326814627</v>
      </c>
      <c r="L55" s="111">
        <v>4.4917257683215306</v>
      </c>
      <c r="M55" s="109">
        <v>293.933333</v>
      </c>
      <c r="N55" s="109">
        <v>295.13333333333333</v>
      </c>
      <c r="O55" s="109">
        <v>108.91366666666666</v>
      </c>
      <c r="P55" s="109">
        <v>109.066667</v>
      </c>
      <c r="Q55" s="109">
        <v>108.13333333333333</v>
      </c>
      <c r="R55" s="109">
        <v>221.1</v>
      </c>
      <c r="S55" s="109">
        <v>105.855</v>
      </c>
      <c r="T55" s="109">
        <v>108.27066666666666</v>
      </c>
      <c r="U55" s="109">
        <v>84.003038200000006</v>
      </c>
      <c r="V55" s="111">
        <v>88.4</v>
      </c>
      <c r="W55" s="34"/>
      <c r="AW55" s="28"/>
      <c r="AX55" s="28"/>
      <c r="AY55" s="28"/>
      <c r="AZ55" s="28"/>
      <c r="BA55" s="28"/>
      <c r="BB55" s="28"/>
    </row>
    <row r="56" spans="1:54" ht="16.5" thickBot="1" x14ac:dyDescent="0.3">
      <c r="A56" s="7"/>
      <c r="B56" s="8" t="s">
        <v>94</v>
      </c>
      <c r="C56" s="109">
        <v>1.1336310546203876</v>
      </c>
      <c r="D56" s="109">
        <v>1.3601554463367416</v>
      </c>
      <c r="E56" s="109">
        <v>0.53353166614931169</v>
      </c>
      <c r="F56" s="109">
        <v>0.73778051256618848</v>
      </c>
      <c r="G56" s="109">
        <v>1.1801242236024967</v>
      </c>
      <c r="H56" s="109">
        <v>-8.2582791904416304</v>
      </c>
      <c r="I56" s="110">
        <v>1.7631806948498419</v>
      </c>
      <c r="J56" s="110">
        <v>1.396288182429184</v>
      </c>
      <c r="K56" s="109">
        <v>4.7764407950667831E-2</v>
      </c>
      <c r="L56" s="111">
        <v>3.1727379553466495</v>
      </c>
      <c r="M56" s="109">
        <v>294.39999999999998</v>
      </c>
      <c r="N56" s="109">
        <v>295.60000000000002</v>
      </c>
      <c r="O56" s="109">
        <v>109.03833333333334</v>
      </c>
      <c r="P56" s="109">
        <v>109.233333</v>
      </c>
      <c r="Q56" s="109">
        <v>108.6</v>
      </c>
      <c r="R56" s="109">
        <v>220.7</v>
      </c>
      <c r="S56" s="109">
        <v>106.10066666666667</v>
      </c>
      <c r="T56" s="109">
        <v>108.61299999999996</v>
      </c>
      <c r="U56" s="109">
        <v>84.014352799999998</v>
      </c>
      <c r="V56" s="111">
        <v>87.8</v>
      </c>
      <c r="W56" s="34"/>
      <c r="AW56" s="28"/>
      <c r="AX56" s="28"/>
      <c r="AY56" s="28"/>
      <c r="AZ56" s="28"/>
      <c r="BA56" s="28"/>
      <c r="BB56" s="28"/>
    </row>
    <row r="57" spans="1:54" ht="16.5" thickBot="1" x14ac:dyDescent="0.3">
      <c r="A57" s="7"/>
      <c r="B57" s="8" t="s">
        <v>95</v>
      </c>
      <c r="C57" s="109">
        <v>1.4053930546222393</v>
      </c>
      <c r="D57" s="109">
        <v>1.5961691939345934</v>
      </c>
      <c r="E57" s="109">
        <v>0.60958186493951239</v>
      </c>
      <c r="F57" s="109">
        <v>0.89093732718894536</v>
      </c>
      <c r="G57" s="109">
        <v>1.3316816351811811</v>
      </c>
      <c r="H57" s="109">
        <v>-7.1768994953742782</v>
      </c>
      <c r="I57" s="110">
        <v>1.8188605082982923</v>
      </c>
      <c r="J57" s="110">
        <v>1.2459929190151264</v>
      </c>
      <c r="K57" s="109">
        <v>1.4985627682342351</v>
      </c>
      <c r="L57" s="111">
        <v>3.7296037296037365</v>
      </c>
      <c r="M57" s="109">
        <v>295.83333299999998</v>
      </c>
      <c r="N57" s="109">
        <v>297.03333333333336</v>
      </c>
      <c r="O57" s="109">
        <v>109.151</v>
      </c>
      <c r="P57" s="109">
        <v>109.466667</v>
      </c>
      <c r="Q57" s="109">
        <v>109.06666666666666</v>
      </c>
      <c r="R57" s="109">
        <v>220.73333299999999</v>
      </c>
      <c r="S57" s="109">
        <v>106.37966666666667</v>
      </c>
      <c r="T57" s="109">
        <v>108.85766666666665</v>
      </c>
      <c r="U57" s="109">
        <v>84.773331900000002</v>
      </c>
      <c r="V57" s="111">
        <v>89</v>
      </c>
      <c r="W57" s="34"/>
      <c r="AW57" s="28"/>
      <c r="AX57" s="28"/>
      <c r="AY57" s="28"/>
      <c r="AZ57" s="28"/>
      <c r="BA57" s="28"/>
      <c r="BB57" s="28"/>
    </row>
    <row r="58" spans="1:54" ht="16.5" thickBot="1" x14ac:dyDescent="0.3">
      <c r="A58" s="7"/>
      <c r="B58" s="8" t="s">
        <v>96</v>
      </c>
      <c r="C58" s="109">
        <v>3.3618232478632493</v>
      </c>
      <c r="D58" s="109">
        <v>3.5097682871422231</v>
      </c>
      <c r="E58" s="109">
        <v>2.0518633893379157</v>
      </c>
      <c r="F58" s="109">
        <v>2.0858889506567779</v>
      </c>
      <c r="G58" s="109">
        <v>1.484230055658653</v>
      </c>
      <c r="H58" s="109">
        <v>-2.4823735347860976</v>
      </c>
      <c r="I58" s="110">
        <v>1.5591929330950549</v>
      </c>
      <c r="J58" s="110">
        <v>1.1443131804494078</v>
      </c>
      <c r="K58" s="109">
        <v>1.297300350593722</v>
      </c>
      <c r="L58" s="111">
        <v>-4.4516829533116091</v>
      </c>
      <c r="M58" s="109">
        <v>302.33333299999998</v>
      </c>
      <c r="N58" s="109">
        <v>303.76666666666665</v>
      </c>
      <c r="O58" s="109">
        <v>110.72933333333332</v>
      </c>
      <c r="P58" s="109">
        <v>110.933333</v>
      </c>
      <c r="Q58" s="109">
        <v>109.40000000000002</v>
      </c>
      <c r="R58" s="109">
        <v>221.3</v>
      </c>
      <c r="S58" s="109">
        <v>106.84433333333334</v>
      </c>
      <c r="T58" s="109">
        <v>109.16</v>
      </c>
      <c r="U58" s="109">
        <v>85.035527400000021</v>
      </c>
      <c r="V58" s="111">
        <v>88</v>
      </c>
      <c r="W58" s="34"/>
      <c r="AW58" s="28"/>
      <c r="AX58" s="28"/>
      <c r="AY58" s="28"/>
      <c r="AZ58" s="28"/>
      <c r="BA58" s="28"/>
      <c r="BB58" s="28"/>
    </row>
    <row r="59" spans="1:54" ht="16.5" thickBot="1" x14ac:dyDescent="0.3">
      <c r="A59" s="7"/>
      <c r="B59" s="8" t="s">
        <v>97</v>
      </c>
      <c r="C59" s="109">
        <v>4.5021549155161766</v>
      </c>
      <c r="D59" s="109">
        <v>4.596792410210071</v>
      </c>
      <c r="E59" s="109">
        <v>2.7716142143165756</v>
      </c>
      <c r="F59" s="109">
        <v>2.6589241972526878</v>
      </c>
      <c r="G59" s="109">
        <v>1.7262638717632672</v>
      </c>
      <c r="H59" s="109">
        <v>0.31659882406152029</v>
      </c>
      <c r="I59" s="110">
        <v>1.4466329727772065</v>
      </c>
      <c r="J59" s="110">
        <v>1.2742755809514561</v>
      </c>
      <c r="K59" s="109">
        <v>2.8468797691652892</v>
      </c>
      <c r="L59" s="111">
        <v>0.56561085972850478</v>
      </c>
      <c r="M59" s="109">
        <v>307.16666700000002</v>
      </c>
      <c r="N59" s="109">
        <v>308.7</v>
      </c>
      <c r="O59" s="109">
        <v>111.93233333333336</v>
      </c>
      <c r="P59" s="109">
        <v>111.966667</v>
      </c>
      <c r="Q59" s="109">
        <v>110</v>
      </c>
      <c r="R59" s="109">
        <v>221.8</v>
      </c>
      <c r="S59" s="109">
        <v>107.38633333333333</v>
      </c>
      <c r="T59" s="109">
        <v>109.65033333333334</v>
      </c>
      <c r="U59" s="109">
        <v>86.394503700000001</v>
      </c>
      <c r="V59" s="111">
        <v>88.9</v>
      </c>
      <c r="W59" s="34"/>
      <c r="AW59" s="28"/>
      <c r="AX59" s="28"/>
      <c r="AY59" s="28"/>
      <c r="AZ59" s="28"/>
      <c r="BA59" s="28"/>
      <c r="BB59" s="28"/>
    </row>
    <row r="60" spans="1:54" ht="16.5" thickBot="1" x14ac:dyDescent="0.3">
      <c r="A60" s="7"/>
      <c r="B60" s="8" t="s">
        <v>98</v>
      </c>
      <c r="C60" s="109">
        <v>6.884058084239153</v>
      </c>
      <c r="D60" s="109">
        <v>7.0252593594948065</v>
      </c>
      <c r="E60" s="109">
        <v>4.9074484508506266</v>
      </c>
      <c r="F60" s="109">
        <v>4.4247793848787742</v>
      </c>
      <c r="G60" s="109">
        <v>2.0564763658686092</v>
      </c>
      <c r="H60" s="109">
        <v>0.69475894879926781</v>
      </c>
      <c r="I60" s="110">
        <v>1.9117064925762373</v>
      </c>
      <c r="J60" s="110">
        <v>1.6437565791695086</v>
      </c>
      <c r="K60" s="109">
        <v>5.1970859198239294</v>
      </c>
      <c r="L60" s="111">
        <v>2.5056947608200542</v>
      </c>
      <c r="M60" s="109">
        <v>314.66666700000002</v>
      </c>
      <c r="N60" s="109">
        <v>316.36666666666667</v>
      </c>
      <c r="O60" s="109">
        <v>114.38933333333334</v>
      </c>
      <c r="P60" s="109">
        <v>114.066667</v>
      </c>
      <c r="Q60" s="109">
        <v>110.83333333333331</v>
      </c>
      <c r="R60" s="109">
        <v>222.23333299999999</v>
      </c>
      <c r="S60" s="109">
        <v>108.129</v>
      </c>
      <c r="T60" s="109">
        <v>110.39833333333333</v>
      </c>
      <c r="U60" s="109">
        <v>88.380650900000006</v>
      </c>
      <c r="V60" s="111">
        <v>90</v>
      </c>
      <c r="W60" s="34"/>
      <c r="AW60" s="28"/>
      <c r="AX60" s="28"/>
      <c r="AY60" s="28"/>
      <c r="AZ60" s="28"/>
      <c r="BA60" s="28"/>
      <c r="BB60" s="28"/>
    </row>
    <row r="61" spans="1:54" ht="16.5" thickBot="1" x14ac:dyDescent="0.3">
      <c r="A61" s="7"/>
      <c r="B61" s="8" t="s">
        <v>99</v>
      </c>
      <c r="C61" s="109">
        <v>8.3267607981146519</v>
      </c>
      <c r="D61" s="109">
        <v>8.4838963079340033</v>
      </c>
      <c r="E61" s="109">
        <v>6.2195185263228314</v>
      </c>
      <c r="F61" s="109">
        <v>5.5115709332777874</v>
      </c>
      <c r="G61" s="109">
        <v>2.5366748166258946</v>
      </c>
      <c r="H61" s="109">
        <v>2.6276049571543503</v>
      </c>
      <c r="I61" s="110">
        <v>2.3497598225225014</v>
      </c>
      <c r="J61" s="110">
        <v>2.1688872013301719</v>
      </c>
      <c r="K61" s="109">
        <v>6.0289452891021833</v>
      </c>
      <c r="L61" s="111">
        <v>2.5842696629213346</v>
      </c>
      <c r="M61" s="109">
        <v>320.46666699999997</v>
      </c>
      <c r="N61" s="109">
        <v>322.23333333333335</v>
      </c>
      <c r="O61" s="109">
        <v>115.93966666666664</v>
      </c>
      <c r="P61" s="109">
        <v>115.5</v>
      </c>
      <c r="Q61" s="109">
        <v>111.83333333333331</v>
      </c>
      <c r="R61" s="109">
        <v>226.533333</v>
      </c>
      <c r="S61" s="109">
        <v>108.87933333333335</v>
      </c>
      <c r="T61" s="109">
        <v>111.21866666666664</v>
      </c>
      <c r="U61" s="109">
        <v>89.884269700000004</v>
      </c>
      <c r="V61" s="111">
        <v>91.3</v>
      </c>
      <c r="W61" s="34"/>
      <c r="AW61" s="28"/>
      <c r="AX61" s="28"/>
      <c r="AY61" s="28"/>
      <c r="AZ61" s="28"/>
      <c r="BA61" s="28"/>
      <c r="BB61" s="28"/>
    </row>
    <row r="62" spans="1:54" ht="16.5" thickBot="1" x14ac:dyDescent="0.3">
      <c r="A62" s="7"/>
      <c r="B62" s="8" t="s">
        <v>100</v>
      </c>
      <c r="C62" s="109">
        <v>11.543550178107576</v>
      </c>
      <c r="D62" s="109">
        <v>11.631734884231303</v>
      </c>
      <c r="E62" s="109">
        <v>9.169205389719103</v>
      </c>
      <c r="F62" s="109">
        <v>7.9326923315285125</v>
      </c>
      <c r="G62" s="109">
        <v>3.0773918342473561</v>
      </c>
      <c r="H62" s="109">
        <v>7.3806294622684065</v>
      </c>
      <c r="I62" s="110">
        <v>3.0034349037384667</v>
      </c>
      <c r="J62" s="110">
        <v>2.7705508733357531</v>
      </c>
      <c r="K62" s="109">
        <v>9.0744352812704108</v>
      </c>
      <c r="L62" s="111">
        <v>5.795454545454537</v>
      </c>
      <c r="M62" s="109">
        <v>337.23333300000002</v>
      </c>
      <c r="N62" s="109">
        <v>339.09999999999991</v>
      </c>
      <c r="O62" s="109">
        <v>120.88233333333334</v>
      </c>
      <c r="P62" s="109">
        <v>119.733333</v>
      </c>
      <c r="Q62" s="109">
        <v>112.76666666666664</v>
      </c>
      <c r="R62" s="109">
        <v>237.63333299999999</v>
      </c>
      <c r="S62" s="109">
        <v>110.05333333333334</v>
      </c>
      <c r="T62" s="109">
        <v>112.18433333333331</v>
      </c>
      <c r="U62" s="109">
        <v>92.752021299999996</v>
      </c>
      <c r="V62" s="111">
        <v>93.1</v>
      </c>
      <c r="W62" s="36"/>
      <c r="AW62" s="28"/>
      <c r="AX62" s="28"/>
      <c r="AY62" s="28"/>
      <c r="AZ62" s="28"/>
      <c r="BA62" s="28"/>
      <c r="BB62" s="28"/>
    </row>
    <row r="63" spans="1:54" ht="16.5" thickBot="1" x14ac:dyDescent="0.3">
      <c r="A63" s="7"/>
      <c r="B63" s="8" t="s">
        <v>101</v>
      </c>
      <c r="C63" s="109">
        <v>12.425393149836772</v>
      </c>
      <c r="D63" s="109">
        <v>12.320483749055189</v>
      </c>
      <c r="E63" s="109">
        <v>10.022126463309643</v>
      </c>
      <c r="F63" s="109">
        <v>8.7526049158898278</v>
      </c>
      <c r="G63" s="109">
        <v>3.4848484848484684</v>
      </c>
      <c r="H63" s="109">
        <v>16.381123985572586</v>
      </c>
      <c r="I63" s="110">
        <v>4.0197542207419223</v>
      </c>
      <c r="J63" s="110">
        <v>3.3530829819639063</v>
      </c>
      <c r="K63" s="109">
        <v>9.2473608364509907</v>
      </c>
      <c r="L63" s="111">
        <v>6.4116985376827751</v>
      </c>
      <c r="M63" s="109">
        <v>345.33333299999998</v>
      </c>
      <c r="N63" s="109">
        <v>346.73333333333335</v>
      </c>
      <c r="O63" s="109">
        <v>123.15033333333334</v>
      </c>
      <c r="P63" s="109">
        <v>121.766667</v>
      </c>
      <c r="Q63" s="109">
        <v>113.83333333333331</v>
      </c>
      <c r="R63" s="109">
        <v>258.13333299999999</v>
      </c>
      <c r="S63" s="109">
        <v>111.70299999999999</v>
      </c>
      <c r="T63" s="109">
        <v>113.32700000000004</v>
      </c>
      <c r="U63" s="109">
        <v>94.383715199999997</v>
      </c>
      <c r="V63" s="111">
        <v>94.6</v>
      </c>
      <c r="W63" s="36"/>
      <c r="AW63" s="28"/>
      <c r="AX63" s="28"/>
      <c r="AY63" s="28"/>
      <c r="AZ63" s="28"/>
      <c r="BA63" s="28"/>
      <c r="BB63" s="28"/>
    </row>
    <row r="64" spans="1:54" ht="16.5" thickBot="1" x14ac:dyDescent="0.3">
      <c r="A64" s="7"/>
      <c r="B64" s="8" t="s">
        <v>102</v>
      </c>
      <c r="C64" s="109">
        <v>13.866525303107501</v>
      </c>
      <c r="D64" s="109">
        <v>13.423243072384361</v>
      </c>
      <c r="E64" s="109">
        <v>10.749545412159645</v>
      </c>
      <c r="F64" s="109">
        <v>9.409701608972231</v>
      </c>
      <c r="G64" s="109">
        <v>3.7593984962406291</v>
      </c>
      <c r="H64" s="109">
        <v>31.993400377971206</v>
      </c>
      <c r="I64" s="110">
        <v>4.4863080209749384</v>
      </c>
      <c r="J64" s="110">
        <v>3.9028366974139361</v>
      </c>
      <c r="K64" s="109">
        <v>9.74635094025993</v>
      </c>
      <c r="L64" s="111">
        <v>7.7777777777777724</v>
      </c>
      <c r="M64" s="109">
        <v>358.3</v>
      </c>
      <c r="N64" s="109">
        <v>358.83333333333331</v>
      </c>
      <c r="O64" s="109">
        <v>126.68566666666668</v>
      </c>
      <c r="P64" s="109">
        <v>124.8</v>
      </c>
      <c r="Q64" s="109">
        <v>115</v>
      </c>
      <c r="R64" s="109">
        <v>293.33333299999998</v>
      </c>
      <c r="S64" s="109">
        <v>112.98</v>
      </c>
      <c r="T64" s="109">
        <v>114.70700000000002</v>
      </c>
      <c r="U64" s="109">
        <v>96.9945393</v>
      </c>
      <c r="V64" s="111">
        <v>97</v>
      </c>
      <c r="W64" s="36"/>
      <c r="AW64" s="28"/>
      <c r="AX64" s="28"/>
      <c r="AY64" s="28"/>
      <c r="AZ64" s="28"/>
      <c r="BA64" s="28"/>
      <c r="BB64" s="28"/>
    </row>
    <row r="65" spans="1:54" ht="16.5" thickBot="1" x14ac:dyDescent="0.3">
      <c r="A65" s="7"/>
      <c r="B65" s="8" t="s">
        <v>103</v>
      </c>
      <c r="C65" s="109">
        <v>13.584356029140476</v>
      </c>
      <c r="D65" s="109">
        <v>12.703010241026181</v>
      </c>
      <c r="E65" s="109">
        <v>10.17483231220837</v>
      </c>
      <c r="F65" s="109">
        <v>8.9754692640692681</v>
      </c>
      <c r="G65" s="109">
        <v>3.9344262295082366</v>
      </c>
      <c r="H65" s="109">
        <v>48.896409871831104</v>
      </c>
      <c r="I65" s="110">
        <v>4.7033719285569875</v>
      </c>
      <c r="J65" s="110">
        <v>4.4980458915770072</v>
      </c>
      <c r="K65" s="109">
        <v>10.021804404781175</v>
      </c>
      <c r="L65" s="111">
        <v>7.8860898138006563</v>
      </c>
      <c r="M65" s="109">
        <v>364</v>
      </c>
      <c r="N65" s="109">
        <v>363.16666666666674</v>
      </c>
      <c r="O65" s="109">
        <v>127.73633333333332</v>
      </c>
      <c r="P65" s="109">
        <v>125.86666700000001</v>
      </c>
      <c r="Q65" s="109">
        <v>116.23333333333336</v>
      </c>
      <c r="R65" s="109">
        <v>337.3</v>
      </c>
      <c r="S65" s="109">
        <v>114.00033333333333</v>
      </c>
      <c r="T65" s="109">
        <v>116.22133333333336</v>
      </c>
      <c r="U65" s="109">
        <v>98.892295399999995</v>
      </c>
      <c r="V65" s="111">
        <v>98.5</v>
      </c>
      <c r="W65" s="36"/>
      <c r="AW65" s="28"/>
      <c r="AX65" s="28"/>
      <c r="AY65" s="28"/>
      <c r="AZ65" s="28"/>
      <c r="BA65" s="28"/>
      <c r="BB65" s="28"/>
    </row>
    <row r="66" spans="1:54" ht="16.5" thickBot="1" x14ac:dyDescent="0.3">
      <c r="A66" s="7"/>
      <c r="B66" s="8" t="s">
        <v>104</v>
      </c>
      <c r="C66" s="109">
        <v>11.149550272955967</v>
      </c>
      <c r="D66" s="109">
        <v>10.085520495429101</v>
      </c>
      <c r="E66" s="109">
        <v>8.4277548139099387</v>
      </c>
      <c r="F66" s="109">
        <v>7.6837416694981675</v>
      </c>
      <c r="G66" s="109">
        <v>4.197457877623445</v>
      </c>
      <c r="H66" s="109">
        <v>54.944592726812445</v>
      </c>
      <c r="I66" s="110">
        <v>5.5467046280591292</v>
      </c>
      <c r="J66" s="110">
        <v>4.94216364138782</v>
      </c>
      <c r="K66" s="109">
        <v>7.7409327574406106</v>
      </c>
      <c r="L66" s="111">
        <v>7.4113856068743322</v>
      </c>
      <c r="M66" s="109">
        <v>374.83333299999998</v>
      </c>
      <c r="N66" s="109">
        <v>373.3</v>
      </c>
      <c r="O66" s="109">
        <v>131.07</v>
      </c>
      <c r="P66" s="109">
        <v>128.933333</v>
      </c>
      <c r="Q66" s="109">
        <v>117.5</v>
      </c>
      <c r="R66" s="109">
        <v>368.2</v>
      </c>
      <c r="S66" s="109">
        <v>116.15766666666667</v>
      </c>
      <c r="T66" s="109">
        <v>117.72866666666664</v>
      </c>
      <c r="U66" s="109">
        <v>99.931892899999994</v>
      </c>
      <c r="V66" s="111">
        <v>100</v>
      </c>
      <c r="W66" s="36"/>
      <c r="AW66" s="28"/>
      <c r="AX66" s="28"/>
      <c r="AY66" s="28"/>
      <c r="AZ66" s="28"/>
      <c r="BA66" s="28"/>
      <c r="BB66" s="28"/>
    </row>
    <row r="67" spans="1:54" ht="16.5" thickBot="1" x14ac:dyDescent="0.3">
      <c r="A67" s="7"/>
      <c r="B67" s="8" t="s">
        <v>105</v>
      </c>
      <c r="C67" s="109">
        <v>8.9961391013476231</v>
      </c>
      <c r="D67" s="109">
        <v>7.7581234378004016</v>
      </c>
      <c r="E67" s="109">
        <v>6.7118508273086297</v>
      </c>
      <c r="F67" s="109">
        <v>6.3509441381030873</v>
      </c>
      <c r="G67" s="109">
        <v>4.714494875549069</v>
      </c>
      <c r="H67" s="109">
        <v>56.86983478418108</v>
      </c>
      <c r="I67" s="110">
        <v>6.4104515247277893</v>
      </c>
      <c r="J67" s="110">
        <v>5.5285442421782127</v>
      </c>
      <c r="K67" s="109">
        <v>6.4347221203684857</v>
      </c>
      <c r="L67" s="111">
        <v>6.4482029598308843</v>
      </c>
      <c r="M67" s="109">
        <v>376.4</v>
      </c>
      <c r="N67" s="109">
        <v>373.63333333333327</v>
      </c>
      <c r="O67" s="109">
        <v>131.416</v>
      </c>
      <c r="P67" s="109">
        <v>129.5</v>
      </c>
      <c r="Q67" s="109">
        <v>119.2</v>
      </c>
      <c r="R67" s="109">
        <v>404.933333</v>
      </c>
      <c r="S67" s="109">
        <v>118.86366666666667</v>
      </c>
      <c r="T67" s="109">
        <v>119.59233333333336</v>
      </c>
      <c r="U67" s="109">
        <v>100.45704499999999</v>
      </c>
      <c r="V67" s="111">
        <v>100.7</v>
      </c>
      <c r="W67" s="36"/>
      <c r="AW67" s="28"/>
      <c r="AX67" s="28"/>
      <c r="AY67" s="28"/>
      <c r="AZ67" s="28"/>
      <c r="BA67" s="28"/>
      <c r="BB67" s="28"/>
    </row>
    <row r="68" spans="1:54" ht="16.5" thickBot="1" x14ac:dyDescent="0.3">
      <c r="A68" s="7"/>
      <c r="B68" s="8" t="s">
        <v>106</v>
      </c>
      <c r="C68" s="109">
        <v>5.5074889757186662</v>
      </c>
      <c r="D68" s="109">
        <v>4.3009753831862785</v>
      </c>
      <c r="E68" s="109">
        <v>4.1772681466201167</v>
      </c>
      <c r="F68" s="109">
        <v>4.3536322115384607</v>
      </c>
      <c r="G68" s="109">
        <v>5.3043478260869303</v>
      </c>
      <c r="H68" s="109">
        <v>48.545454600619856</v>
      </c>
      <c r="I68" s="110">
        <v>6.3155720776538526</v>
      </c>
      <c r="J68" s="110">
        <v>6.1228463244033859</v>
      </c>
      <c r="K68" s="109">
        <v>3.8557198446325325</v>
      </c>
      <c r="L68" s="111">
        <v>3.8144329896907303</v>
      </c>
      <c r="M68" s="109">
        <v>378.03333300000003</v>
      </c>
      <c r="N68" s="109">
        <v>374.26666666666671</v>
      </c>
      <c r="O68" s="109">
        <v>131.97766666666669</v>
      </c>
      <c r="P68" s="109">
        <v>130.23333299999999</v>
      </c>
      <c r="Q68" s="109">
        <v>121.09999999999998</v>
      </c>
      <c r="R68" s="109">
        <v>435.73333300000002</v>
      </c>
      <c r="S68" s="109">
        <v>120.11533333333334</v>
      </c>
      <c r="T68" s="109">
        <v>121.73033333333341</v>
      </c>
      <c r="U68" s="109">
        <v>100.73437699999999</v>
      </c>
      <c r="V68" s="111">
        <v>100.7</v>
      </c>
      <c r="W68" s="36"/>
      <c r="AW68" s="28"/>
      <c r="AX68" s="28"/>
      <c r="AY68" s="28"/>
      <c r="AZ68" s="28"/>
      <c r="BA68" s="28"/>
      <c r="BB68" s="28"/>
    </row>
    <row r="69" spans="1:54" ht="16.5" thickBot="1" x14ac:dyDescent="0.3">
      <c r="A69" s="7"/>
      <c r="B69" s="8" t="s">
        <v>107</v>
      </c>
      <c r="C69" s="109">
        <v>4.5787546703296655</v>
      </c>
      <c r="D69" s="109">
        <v>3.5429095915557207</v>
      </c>
      <c r="E69" s="109">
        <v>3.5377561591716233</v>
      </c>
      <c r="F69" s="109">
        <v>3.9194912502132251</v>
      </c>
      <c r="G69" s="109">
        <v>5.8789790650989104</v>
      </c>
      <c r="H69" s="109">
        <v>37.474058701452705</v>
      </c>
      <c r="I69" s="110">
        <v>6.8751260961225302</v>
      </c>
      <c r="J69" s="110">
        <v>6.7279673267098605</v>
      </c>
      <c r="K69" s="109">
        <v>3.2309135783291865</v>
      </c>
      <c r="L69" s="111">
        <v>3.654822335025365</v>
      </c>
      <c r="M69" s="109">
        <v>380.66666700000002</v>
      </c>
      <c r="N69" s="109">
        <v>376.0333333333333</v>
      </c>
      <c r="O69" s="109">
        <v>132.25533333333331</v>
      </c>
      <c r="P69" s="109">
        <v>130.80000000000001</v>
      </c>
      <c r="Q69" s="109">
        <v>123.06666666666668</v>
      </c>
      <c r="R69" s="109">
        <v>463.7</v>
      </c>
      <c r="S69" s="109">
        <v>121.83800000000001</v>
      </c>
      <c r="T69" s="109">
        <v>124.0406666666666</v>
      </c>
      <c r="U69" s="109">
        <v>102.08741999999999</v>
      </c>
      <c r="V69" s="111">
        <v>102.1</v>
      </c>
      <c r="W69" s="36"/>
      <c r="AW69" s="28"/>
      <c r="AX69" s="28"/>
      <c r="AY69" s="28"/>
      <c r="AZ69" s="28"/>
      <c r="BA69" s="28"/>
      <c r="BB69" s="28"/>
    </row>
    <row r="70" spans="1:54" ht="16.5" thickBot="1" x14ac:dyDescent="0.3">
      <c r="A70" s="7"/>
      <c r="B70" s="8" t="s">
        <v>108</v>
      </c>
      <c r="C70" s="109">
        <v>3.0413517145765789</v>
      </c>
      <c r="D70" s="109">
        <v>2.0716135369229338</v>
      </c>
      <c r="E70" s="109">
        <v>2.0988784618906076</v>
      </c>
      <c r="F70" s="109">
        <v>2.8697001108316966</v>
      </c>
      <c r="G70" s="109">
        <v>6.666666666666643</v>
      </c>
      <c r="H70" s="109">
        <v>32.237914177077663</v>
      </c>
      <c r="I70" s="110">
        <v>7.065109778949874</v>
      </c>
      <c r="J70" s="110">
        <v>7.5487137089239376</v>
      </c>
      <c r="K70" s="109">
        <v>2.7823760956698473</v>
      </c>
      <c r="L70" s="111">
        <v>3.2999999999999918</v>
      </c>
      <c r="M70" s="109">
        <v>386.23333300000002</v>
      </c>
      <c r="N70" s="109">
        <v>381.0333333333333</v>
      </c>
      <c r="O70" s="109">
        <v>133.821</v>
      </c>
      <c r="P70" s="109">
        <v>132.63333299999999</v>
      </c>
      <c r="Q70" s="109">
        <v>125.33333333333331</v>
      </c>
      <c r="R70" s="109">
        <v>486.9</v>
      </c>
      <c r="S70" s="109">
        <v>124.36433333333333</v>
      </c>
      <c r="T70" s="109">
        <v>126.61566666666668</v>
      </c>
      <c r="U70" s="109">
        <v>102.712374</v>
      </c>
      <c r="V70" s="111">
        <v>103.3</v>
      </c>
      <c r="W70" s="36"/>
      <c r="X70" s="36"/>
      <c r="Y70" s="36"/>
      <c r="AW70" s="28"/>
      <c r="AX70" s="28"/>
      <c r="AY70" s="28"/>
      <c r="AZ70" s="28"/>
      <c r="BA70" s="28"/>
      <c r="BB70" s="28"/>
    </row>
    <row r="71" spans="1:54" ht="16.5" thickBot="1" x14ac:dyDescent="0.3">
      <c r="A71" s="7"/>
      <c r="B71" s="8" t="s">
        <v>109</v>
      </c>
      <c r="C71" s="109">
        <v>3.2589444739638873</v>
      </c>
      <c r="D71" s="109">
        <v>2.5158354893389356</v>
      </c>
      <c r="E71" s="109">
        <v>2.042876565004792</v>
      </c>
      <c r="F71" s="109">
        <v>2.9086231660231832</v>
      </c>
      <c r="G71" s="109">
        <v>7.1308724832214843</v>
      </c>
      <c r="H71" s="109">
        <v>24.152123826269456</v>
      </c>
      <c r="I71" s="110">
        <v>7.1723627348979635</v>
      </c>
      <c r="J71" s="110">
        <v>7.9079762638073259</v>
      </c>
      <c r="K71" s="109">
        <v>2.7496319446784545</v>
      </c>
      <c r="L71" s="111">
        <v>4.170804369414105</v>
      </c>
      <c r="M71" s="109">
        <v>388.66666700000002</v>
      </c>
      <c r="N71" s="109">
        <v>383.0333333333333</v>
      </c>
      <c r="O71" s="109">
        <v>134.10066666666668</v>
      </c>
      <c r="P71" s="109">
        <v>133.26666700000001</v>
      </c>
      <c r="Q71" s="109">
        <v>127.7</v>
      </c>
      <c r="R71" s="109">
        <v>502.73333300000002</v>
      </c>
      <c r="S71" s="109">
        <v>127.389</v>
      </c>
      <c r="T71" s="109">
        <v>129.0496666666667</v>
      </c>
      <c r="U71" s="109">
        <v>103.219244</v>
      </c>
      <c r="V71" s="111">
        <v>104.9</v>
      </c>
      <c r="W71" s="36"/>
      <c r="X71" s="36"/>
      <c r="Y71" s="36"/>
      <c r="AW71" s="28"/>
      <c r="AX71" s="28"/>
      <c r="AY71" s="28"/>
      <c r="AZ71" s="28"/>
      <c r="BA71" s="28"/>
      <c r="BB71" s="28"/>
    </row>
    <row r="72" spans="1:54" ht="16.5" thickBot="1" x14ac:dyDescent="0.3">
      <c r="A72" s="7"/>
      <c r="B72" s="8" t="s">
        <v>110</v>
      </c>
      <c r="C72" s="109">
        <v>3.4917555801884825</v>
      </c>
      <c r="D72" s="109">
        <v>2.9212682579266014</v>
      </c>
      <c r="E72" s="109">
        <v>2.4685994852664317</v>
      </c>
      <c r="F72" s="109">
        <v>3.4041469245051026</v>
      </c>
      <c r="G72" s="109">
        <v>7.7071290944123572</v>
      </c>
      <c r="H72" s="109">
        <v>18.168604741561033</v>
      </c>
      <c r="I72" s="110">
        <v>7.5188846275524135</v>
      </c>
      <c r="J72" s="110">
        <v>8.5256756053681215</v>
      </c>
      <c r="K72" s="109">
        <v>3.2366319196077464</v>
      </c>
      <c r="L72" s="111">
        <v>4.7666335650446756</v>
      </c>
      <c r="M72" s="109">
        <v>391.23333300000002</v>
      </c>
      <c r="N72" s="109">
        <v>385.2</v>
      </c>
      <c r="O72" s="109">
        <v>135.23566666666667</v>
      </c>
      <c r="P72" s="109">
        <v>134.66666699999999</v>
      </c>
      <c r="Q72" s="109">
        <v>130.43333333333334</v>
      </c>
      <c r="R72" s="109">
        <v>514.9</v>
      </c>
      <c r="S72" s="109">
        <v>129.14666666666668</v>
      </c>
      <c r="T72" s="109">
        <v>132.10866666666672</v>
      </c>
      <c r="U72" s="109">
        <v>103.994778</v>
      </c>
      <c r="V72" s="111">
        <v>105.5</v>
      </c>
      <c r="W72" s="36"/>
      <c r="X72" s="36"/>
      <c r="Y72" s="36"/>
      <c r="AW72" s="28"/>
      <c r="AX72" s="28"/>
      <c r="AY72" s="28"/>
      <c r="AZ72" s="28"/>
      <c r="BA72" s="28"/>
      <c r="BB72" s="28"/>
    </row>
    <row r="73" spans="1:54" ht="16.5" thickBot="1" x14ac:dyDescent="0.3">
      <c r="A73" s="7"/>
      <c r="B73" s="8" t="s">
        <v>111</v>
      </c>
      <c r="C73" s="109">
        <v>3.4150612929815471</v>
      </c>
      <c r="D73" s="109">
        <v>3.0050527435510954</v>
      </c>
      <c r="E73" s="109">
        <v>2.8036676529743287</v>
      </c>
      <c r="F73" s="109">
        <v>3.6697247706421798</v>
      </c>
      <c r="G73" s="109">
        <v>7.5568797399783394</v>
      </c>
      <c r="H73" s="109">
        <v>13.981740996333825</v>
      </c>
      <c r="I73" s="110">
        <v>7.4776889530907109</v>
      </c>
      <c r="J73" s="110">
        <v>8.12099257770309</v>
      </c>
      <c r="K73" s="109">
        <v>3.1207547413775405</v>
      </c>
      <c r="L73" s="111">
        <v>4.1136141038197849</v>
      </c>
      <c r="M73" s="109">
        <v>393.66666700000002</v>
      </c>
      <c r="N73" s="109">
        <v>387.33333333333326</v>
      </c>
      <c r="O73" s="109">
        <v>135.96333333333334</v>
      </c>
      <c r="P73" s="109">
        <v>135.6</v>
      </c>
      <c r="Q73" s="109">
        <v>132.36666666666667</v>
      </c>
      <c r="R73" s="109">
        <v>528.53333299999997</v>
      </c>
      <c r="S73" s="109">
        <v>130.94866666666667</v>
      </c>
      <c r="T73" s="109">
        <v>134.11400000000003</v>
      </c>
      <c r="U73" s="109">
        <v>105.273318</v>
      </c>
      <c r="V73" s="111">
        <v>106.3</v>
      </c>
      <c r="W73" s="36"/>
      <c r="X73" s="36"/>
      <c r="Y73" s="36"/>
      <c r="AW73" s="28"/>
      <c r="AX73" s="28"/>
      <c r="AY73" s="28"/>
      <c r="AZ73" s="28"/>
      <c r="BA73" s="28"/>
      <c r="BB73" s="28"/>
    </row>
    <row r="74" spans="1:54" ht="16.5" thickBot="1" x14ac:dyDescent="0.3">
      <c r="A74" s="7"/>
      <c r="B74" s="8" t="s">
        <v>112</v>
      </c>
      <c r="C74" s="109">
        <v>4.3928541506799368</v>
      </c>
      <c r="D74" s="109">
        <v>4.1641151255358277</v>
      </c>
      <c r="E74" s="109">
        <v>3.48724539994969</v>
      </c>
      <c r="F74" s="109">
        <v>4.0713747274978118</v>
      </c>
      <c r="G74" s="109">
        <v>6.6755319148936287</v>
      </c>
      <c r="H74" s="109">
        <v>10.296433148490447</v>
      </c>
      <c r="I74" s="110">
        <v>6.0896344879158848</v>
      </c>
      <c r="J74" s="110">
        <v>6.952009624927924</v>
      </c>
      <c r="K74" s="109">
        <v>3.488900957541885</v>
      </c>
      <c r="L74" s="111">
        <v>3.8722168441432725</v>
      </c>
      <c r="M74" s="109">
        <v>403.2</v>
      </c>
      <c r="N74" s="109">
        <v>396.9</v>
      </c>
      <c r="O74" s="109">
        <v>138.48766666666668</v>
      </c>
      <c r="P74" s="109">
        <v>138.033333</v>
      </c>
      <c r="Q74" s="109">
        <v>133.69999999999999</v>
      </c>
      <c r="R74" s="109">
        <v>537.03333299999997</v>
      </c>
      <c r="S74" s="109">
        <v>131.93766666666667</v>
      </c>
      <c r="T74" s="109">
        <v>135.41800000000001</v>
      </c>
      <c r="U74" s="109">
        <v>106.295907</v>
      </c>
      <c r="V74" s="111">
        <v>107.3</v>
      </c>
      <c r="W74" s="36"/>
      <c r="X74" s="36"/>
      <c r="Y74" s="36"/>
      <c r="AW74" s="28"/>
      <c r="AX74" s="28"/>
      <c r="AY74" s="28"/>
      <c r="AZ74" s="28"/>
      <c r="BA74" s="28"/>
      <c r="BB74" s="28"/>
    </row>
    <row r="75" spans="1:54" ht="16.5" thickBot="1" x14ac:dyDescent="0.3">
      <c r="A75" s="7"/>
      <c r="B75" s="8" t="s">
        <v>113</v>
      </c>
      <c r="C75" s="109">
        <v>4.6312178347931221</v>
      </c>
      <c r="D75" s="109">
        <v>4.4991732660343065</v>
      </c>
      <c r="E75" s="109">
        <v>3.8001302504089063</v>
      </c>
      <c r="F75" s="109">
        <v>4.1270635214430529</v>
      </c>
      <c r="G75" s="109">
        <v>5.3510832680762066</v>
      </c>
      <c r="H75" s="109">
        <v>7.7509614823968676</v>
      </c>
      <c r="I75" s="110">
        <v>4.4310471600112145</v>
      </c>
      <c r="J75" s="110">
        <v>5.6606112891935068</v>
      </c>
      <c r="K75" s="109">
        <v>3.7587467701274857</v>
      </c>
      <c r="L75" s="111">
        <v>3.1458531935176337</v>
      </c>
      <c r="M75" s="109">
        <v>406.66666700000002</v>
      </c>
      <c r="N75" s="109">
        <v>400.26666666666671</v>
      </c>
      <c r="O75" s="109">
        <v>139.19666666666669</v>
      </c>
      <c r="P75" s="109">
        <v>138.76666700000001</v>
      </c>
      <c r="Q75" s="109">
        <v>134.53333333333333</v>
      </c>
      <c r="R75" s="109">
        <v>541.70000000000005</v>
      </c>
      <c r="S75" s="109">
        <v>133.03366666666668</v>
      </c>
      <c r="T75" s="109">
        <v>136.35466666666662</v>
      </c>
      <c r="U75" s="109">
        <v>107.098994</v>
      </c>
      <c r="V75" s="111">
        <v>108.2</v>
      </c>
      <c r="W75" s="36"/>
      <c r="X75" s="36"/>
      <c r="AW75" s="28"/>
      <c r="AX75" s="28"/>
      <c r="AY75" s="28"/>
      <c r="AZ75" s="28"/>
      <c r="BA75" s="28"/>
      <c r="BB75" s="28"/>
    </row>
    <row r="76" spans="1:54" ht="16.5" thickBot="1" x14ac:dyDescent="0.3">
      <c r="A76" s="7"/>
      <c r="B76" s="8" t="s">
        <v>114</v>
      </c>
      <c r="C76" s="109">
        <v>4.072591125562397</v>
      </c>
      <c r="D76" s="109">
        <v>3.9979231568016749</v>
      </c>
      <c r="E76" s="109">
        <v>3.3933355845474633</v>
      </c>
      <c r="F76" s="109">
        <v>3.663366080041186</v>
      </c>
      <c r="G76" s="109">
        <v>4.5233835931510313</v>
      </c>
      <c r="H76" s="109">
        <v>6.493170130122361</v>
      </c>
      <c r="I76" s="110">
        <v>3.8091059260788818</v>
      </c>
      <c r="J76" s="110">
        <v>4.4107628568400559</v>
      </c>
      <c r="K76" s="109">
        <v>3.4356811646830909</v>
      </c>
      <c r="L76" s="111">
        <v>3.1279620853080559</v>
      </c>
      <c r="M76" s="109">
        <v>407.16666700000002</v>
      </c>
      <c r="N76" s="109">
        <v>400.6</v>
      </c>
      <c r="O76" s="109">
        <v>139.82466666666667</v>
      </c>
      <c r="P76" s="109">
        <v>139.6</v>
      </c>
      <c r="Q76" s="109">
        <v>136.33333333333334</v>
      </c>
      <c r="R76" s="109">
        <v>548.33333300000004</v>
      </c>
      <c r="S76" s="109">
        <v>134.066</v>
      </c>
      <c r="T76" s="109">
        <v>137.93566666666669</v>
      </c>
      <c r="U76" s="109">
        <v>107.567707</v>
      </c>
      <c r="V76" s="111">
        <v>108.8</v>
      </c>
      <c r="W76" s="36"/>
      <c r="X76" s="36"/>
      <c r="AW76" s="28"/>
      <c r="AX76" s="28"/>
      <c r="AY76" s="28"/>
      <c r="AZ76" s="28"/>
      <c r="BA76" s="28"/>
      <c r="BB76" s="28"/>
    </row>
    <row r="77" spans="1:54" ht="16.5" thickBot="1" x14ac:dyDescent="0.3">
      <c r="A77" s="7"/>
      <c r="B77" s="8" t="s">
        <v>115</v>
      </c>
      <c r="C77" s="109">
        <v>3.8103302253934546</v>
      </c>
      <c r="D77" s="109">
        <v>3.7521514629948349</v>
      </c>
      <c r="E77" s="109">
        <v>3.105003800044126</v>
      </c>
      <c r="F77" s="109">
        <v>3.2940022123893797</v>
      </c>
      <c r="G77" s="109">
        <v>3.7773860488541811</v>
      </c>
      <c r="H77" s="109">
        <v>4.8688195035751836</v>
      </c>
      <c r="I77" s="110">
        <v>3.1332888714661555</v>
      </c>
      <c r="J77" s="110">
        <v>3.4935452923135157</v>
      </c>
      <c r="K77" s="109">
        <v>2.9890669922648216</v>
      </c>
      <c r="L77" s="111">
        <v>3.4807149576669749</v>
      </c>
      <c r="M77" s="109">
        <v>408.66666700000002</v>
      </c>
      <c r="N77" s="109">
        <v>401.86666666666662</v>
      </c>
      <c r="O77" s="109">
        <v>140.185</v>
      </c>
      <c r="P77" s="109">
        <v>140.066667</v>
      </c>
      <c r="Q77" s="109">
        <v>137.36666666666665</v>
      </c>
      <c r="R77" s="109">
        <v>554.26666699999998</v>
      </c>
      <c r="S77" s="109">
        <v>135.05166666666665</v>
      </c>
      <c r="T77" s="109">
        <v>138.79933333333338</v>
      </c>
      <c r="U77" s="109">
        <v>108.420008</v>
      </c>
      <c r="V77" s="111">
        <v>110</v>
      </c>
      <c r="W77" s="36"/>
      <c r="X77" s="36"/>
      <c r="AW77" s="28"/>
      <c r="AX77" s="28"/>
      <c r="AY77" s="28"/>
      <c r="AZ77" s="28"/>
      <c r="BA77" s="28"/>
      <c r="BB77" s="28"/>
    </row>
    <row r="78" spans="1:54" ht="16.5" thickBot="1" x14ac:dyDescent="0.3">
      <c r="A78" s="7"/>
      <c r="B78" s="8" t="s">
        <v>116</v>
      </c>
      <c r="C78" s="109">
        <v>3.0257936507936511</v>
      </c>
      <c r="D78" s="109">
        <v>2.9562442260855137</v>
      </c>
      <c r="E78" s="109">
        <v>2.7672741014242108</v>
      </c>
      <c r="F78" s="109">
        <v>2.9220000070562691</v>
      </c>
      <c r="G78" s="109">
        <v>3.3657442034405571</v>
      </c>
      <c r="H78" s="109">
        <v>4.4317547045073402</v>
      </c>
      <c r="I78" s="110">
        <v>3.4324289500344829</v>
      </c>
      <c r="J78" s="110">
        <v>3.3392901977580047</v>
      </c>
      <c r="K78" s="109">
        <v>2.5939051444379801</v>
      </c>
      <c r="L78" s="111">
        <v>2.8890959925442772</v>
      </c>
      <c r="M78" s="109">
        <v>415.4</v>
      </c>
      <c r="N78" s="109">
        <v>408.63333333333338</v>
      </c>
      <c r="O78" s="109">
        <v>142.32000000000005</v>
      </c>
      <c r="P78" s="109">
        <v>142.066667</v>
      </c>
      <c r="Q78" s="109">
        <v>138.20000000000002</v>
      </c>
      <c r="R78" s="109">
        <v>560.83333300000004</v>
      </c>
      <c r="S78" s="109">
        <v>136.46633333333332</v>
      </c>
      <c r="T78" s="109">
        <v>139.93999999999994</v>
      </c>
      <c r="U78" s="109">
        <v>109.053122</v>
      </c>
      <c r="V78" s="111">
        <v>110.4</v>
      </c>
      <c r="W78" s="36"/>
      <c r="X78" s="36"/>
      <c r="AW78" s="28"/>
      <c r="AX78" s="28"/>
      <c r="AY78" s="28"/>
      <c r="AZ78" s="28"/>
      <c r="BA78" s="28"/>
      <c r="BB78" s="28"/>
    </row>
    <row r="79" spans="1:54" ht="16.5" thickBot="1" x14ac:dyDescent="0.3">
      <c r="A79" s="7"/>
      <c r="B79" s="8" t="s">
        <v>117</v>
      </c>
      <c r="C79" s="109">
        <v>3.4114669644168316</v>
      </c>
      <c r="D79" s="109">
        <v>3.2653389596607685</v>
      </c>
      <c r="E79" s="109">
        <v>3.0520143390794896</v>
      </c>
      <c r="F79" s="109">
        <v>3.2160972778858987</v>
      </c>
      <c r="G79" s="109">
        <v>3.6420615771336484</v>
      </c>
      <c r="H79" s="109">
        <v>6.7750352593686447</v>
      </c>
      <c r="I79" s="110">
        <v>4.042936336434666</v>
      </c>
      <c r="J79" s="110">
        <v>3.5451511582420547</v>
      </c>
      <c r="K79" s="109">
        <v>2.6811997879270466</v>
      </c>
      <c r="L79" s="111">
        <v>2.707248014268715</v>
      </c>
      <c r="M79" s="109">
        <v>420.53996599999999</v>
      </c>
      <c r="N79" s="109">
        <v>413.3367300758689</v>
      </c>
      <c r="O79" s="109">
        <v>143.44496889285404</v>
      </c>
      <c r="P79" s="109">
        <v>143.22953799999999</v>
      </c>
      <c r="Q79" s="109">
        <v>139.4331201751038</v>
      </c>
      <c r="R79" s="109">
        <v>578.40036599999996</v>
      </c>
      <c r="S79" s="109">
        <v>138.41213311602471</v>
      </c>
      <c r="T79" s="109">
        <v>141.18864571131704</v>
      </c>
      <c r="U79" s="109">
        <v>109.97053200000001</v>
      </c>
      <c r="V79" s="111">
        <v>111.12924235143876</v>
      </c>
      <c r="W79" s="36"/>
      <c r="X79" s="36"/>
      <c r="AW79" s="28"/>
      <c r="AX79" s="28"/>
      <c r="AY79" s="28"/>
      <c r="AZ79" s="28"/>
      <c r="BA79" s="28"/>
      <c r="BB79" s="28"/>
    </row>
    <row r="80" spans="1:54" ht="16.5" thickBot="1" x14ac:dyDescent="0.3">
      <c r="A80" s="7"/>
      <c r="B80" s="8" t="s">
        <v>118</v>
      </c>
      <c r="C80" s="109">
        <v>4.0982750682781122</v>
      </c>
      <c r="D80" s="109">
        <v>3.8935146173491475</v>
      </c>
      <c r="E80" s="109">
        <v>3.523086694128108</v>
      </c>
      <c r="F80" s="109">
        <v>3.5065193409742124</v>
      </c>
      <c r="G80" s="109">
        <v>3.1918364569262891</v>
      </c>
      <c r="H80" s="109">
        <v>8.7640411603428845</v>
      </c>
      <c r="I80" s="110">
        <v>3.971369481522502</v>
      </c>
      <c r="J80" s="110">
        <v>3.277244707560456</v>
      </c>
      <c r="K80" s="109">
        <v>3.1058503459593156</v>
      </c>
      <c r="L80" s="111">
        <v>2.7753677847924596</v>
      </c>
      <c r="M80" s="109">
        <v>423.853477</v>
      </c>
      <c r="N80" s="109">
        <v>416.19741955710072</v>
      </c>
      <c r="O80" s="109">
        <v>144.75081089310899</v>
      </c>
      <c r="P80" s="109">
        <v>144.49510100000001</v>
      </c>
      <c r="Q80" s="109">
        <v>140.68487036960951</v>
      </c>
      <c r="R80" s="109">
        <v>596.38949200000002</v>
      </c>
      <c r="S80" s="109">
        <v>139.39025620909797</v>
      </c>
      <c r="T80" s="109">
        <v>142.45615600233825</v>
      </c>
      <c r="U80" s="109">
        <v>110.908599</v>
      </c>
      <c r="V80" s="111">
        <v>111.8196001498542</v>
      </c>
      <c r="W80" s="36"/>
      <c r="X80" s="36"/>
      <c r="AW80" s="28"/>
      <c r="AX80" s="28"/>
      <c r="AY80" s="28"/>
      <c r="AZ80" s="28"/>
      <c r="BA80" s="28"/>
      <c r="BB80" s="28"/>
    </row>
    <row r="81" spans="1:54" ht="16.5" thickBot="1" x14ac:dyDescent="0.3">
      <c r="A81" s="7"/>
      <c r="B81" s="8" t="s">
        <v>119</v>
      </c>
      <c r="C81" s="109">
        <v>4.5565157385346389</v>
      </c>
      <c r="D81" s="109">
        <v>4.3035198363088112</v>
      </c>
      <c r="E81" s="109">
        <v>3.7903461720349974</v>
      </c>
      <c r="F81" s="109">
        <v>3.6808464929061202</v>
      </c>
      <c r="G81" s="109">
        <v>2.9890876936589761</v>
      </c>
      <c r="H81" s="109">
        <v>10.970716194989972</v>
      </c>
      <c r="I81" s="110">
        <v>3.69250859093182</v>
      </c>
      <c r="J81" s="110">
        <v>3.209343895200778</v>
      </c>
      <c r="K81" s="109">
        <v>3.1259285647719182</v>
      </c>
      <c r="L81" s="111">
        <v>2.1683966851019587</v>
      </c>
      <c r="M81" s="109">
        <v>427.28762799999998</v>
      </c>
      <c r="N81" s="109">
        <v>419.1610783821796</v>
      </c>
      <c r="O81" s="109">
        <v>145.49849678126728</v>
      </c>
      <c r="P81" s="109">
        <v>145.222306</v>
      </c>
      <c r="Q81" s="109">
        <v>141.47267679518953</v>
      </c>
      <c r="R81" s="109">
        <v>615.07369000000006</v>
      </c>
      <c r="S81" s="109">
        <v>140.03846106052993</v>
      </c>
      <c r="T81" s="109">
        <v>143.2538812642461</v>
      </c>
      <c r="U81" s="109">
        <v>111.80914</v>
      </c>
      <c r="V81" s="111">
        <v>112.38523635361214</v>
      </c>
      <c r="W81" s="36"/>
      <c r="X81" s="36"/>
      <c r="AW81" s="28"/>
      <c r="AX81" s="28"/>
      <c r="AY81" s="28"/>
      <c r="AZ81" s="28"/>
      <c r="BA81" s="28"/>
      <c r="BB81" s="28"/>
    </row>
    <row r="82" spans="1:54" ht="16.5" thickBot="1" x14ac:dyDescent="0.3">
      <c r="A82" s="7"/>
      <c r="B82" s="8" t="s">
        <v>120</v>
      </c>
      <c r="C82" s="109">
        <v>4.5540173326913846</v>
      </c>
      <c r="D82" s="109">
        <v>4.2145934340265478</v>
      </c>
      <c r="E82" s="109">
        <v>3.6375382857618543</v>
      </c>
      <c r="F82" s="109">
        <v>3.4822052945044479</v>
      </c>
      <c r="G82" s="109">
        <v>2.6596539740392888</v>
      </c>
      <c r="H82" s="109">
        <v>12.694600661334077</v>
      </c>
      <c r="I82" s="110">
        <v>3.3809307777043607</v>
      </c>
      <c r="J82" s="110">
        <v>2.6596539740392888</v>
      </c>
      <c r="K82" s="109">
        <v>3.2789643564720583</v>
      </c>
      <c r="L82" s="111">
        <v>2.3830228157195821</v>
      </c>
      <c r="M82" s="109">
        <v>434.31738799999999</v>
      </c>
      <c r="N82" s="109">
        <v>425.85556696924385</v>
      </c>
      <c r="O82" s="109">
        <v>147.49694448829632</v>
      </c>
      <c r="P82" s="109">
        <v>147.01372000000001</v>
      </c>
      <c r="Q82" s="109">
        <v>141.87564179212231</v>
      </c>
      <c r="R82" s="109">
        <v>632.02888499999995</v>
      </c>
      <c r="S82" s="109">
        <v>141.08016559820462</v>
      </c>
      <c r="T82" s="109">
        <v>143.66191977127053</v>
      </c>
      <c r="U82" s="109">
        <v>112.628935</v>
      </c>
      <c r="V82" s="111">
        <v>113.03085718855442</v>
      </c>
      <c r="W82" s="36"/>
      <c r="X82" s="36"/>
      <c r="AW82" s="28"/>
      <c r="AX82" s="28"/>
      <c r="AY82" s="28"/>
      <c r="AZ82" s="28"/>
      <c r="BA82" s="28"/>
      <c r="BB82" s="28"/>
    </row>
    <row r="83" spans="1:54" ht="16.5" thickBot="1" x14ac:dyDescent="0.3">
      <c r="A83" s="7"/>
      <c r="B83" s="8" t="s">
        <v>121</v>
      </c>
      <c r="C83" s="109">
        <v>4.3200750151770384</v>
      </c>
      <c r="D83" s="109">
        <v>4.0025073290397506</v>
      </c>
      <c r="E83" s="109">
        <v>3.3819758866599381</v>
      </c>
      <c r="F83" s="109">
        <v>3.2422941977233721</v>
      </c>
      <c r="G83" s="109">
        <v>2.4499999999999966</v>
      </c>
      <c r="H83" s="109">
        <v>12.016309477923116</v>
      </c>
      <c r="I83" s="110">
        <v>2.8522246426309072</v>
      </c>
      <c r="J83" s="110">
        <v>2.4499999999999966</v>
      </c>
      <c r="K83" s="109">
        <v>3.0587012164313254</v>
      </c>
      <c r="L83" s="111">
        <v>2.149612982843796</v>
      </c>
      <c r="M83" s="109">
        <v>438.70760799999999</v>
      </c>
      <c r="N83" s="109">
        <v>429.88056299076879</v>
      </c>
      <c r="O83" s="109">
        <v>148.29624315143721</v>
      </c>
      <c r="P83" s="109">
        <v>147.87346099999999</v>
      </c>
      <c r="Q83" s="109">
        <v>142.84923161939383</v>
      </c>
      <c r="R83" s="109">
        <v>647.90274399999998</v>
      </c>
      <c r="S83" s="109">
        <v>142.35995808515105</v>
      </c>
      <c r="T83" s="109">
        <v>144.64776753124431</v>
      </c>
      <c r="U83" s="109">
        <v>113.334202</v>
      </c>
      <c r="V83" s="111">
        <v>113.51809097276124</v>
      </c>
      <c r="W83" s="36"/>
      <c r="X83" s="36"/>
      <c r="AW83" s="28"/>
      <c r="AX83" s="28"/>
      <c r="AY83" s="28"/>
      <c r="AZ83" s="28"/>
      <c r="BA83" s="28"/>
      <c r="BB83" s="28"/>
    </row>
    <row r="84" spans="1:54" ht="16.5" thickBot="1" x14ac:dyDescent="0.3">
      <c r="A84" s="7"/>
      <c r="B84" s="8" t="s">
        <v>122</v>
      </c>
      <c r="C84" s="109">
        <v>3.8623854441095062</v>
      </c>
      <c r="D84" s="109">
        <v>3.5780368610116353</v>
      </c>
      <c r="E84" s="109">
        <v>2.890205491111808</v>
      </c>
      <c r="F84" s="109">
        <v>2.8266217828381457</v>
      </c>
      <c r="G84" s="109">
        <v>2.2999999999999687</v>
      </c>
      <c r="H84" s="109">
        <v>10.591946009672482</v>
      </c>
      <c r="I84" s="110">
        <v>2.7481199591721905</v>
      </c>
      <c r="J84" s="110">
        <v>2.3000000000000131</v>
      </c>
      <c r="K84" s="109">
        <v>2.7473622671944531</v>
      </c>
      <c r="L84" s="111">
        <v>1.9880031880358473</v>
      </c>
      <c r="M84" s="109">
        <v>440.224332</v>
      </c>
      <c r="N84" s="109">
        <v>431.08911664343299</v>
      </c>
      <c r="O84" s="109">
        <v>148.93440677797051</v>
      </c>
      <c r="P84" s="109">
        <v>148.579431</v>
      </c>
      <c r="Q84" s="109">
        <v>143.92062238811047</v>
      </c>
      <c r="R84" s="109">
        <v>659.55874500000004</v>
      </c>
      <c r="S84" s="109">
        <v>143.22086766112145</v>
      </c>
      <c r="T84" s="109">
        <v>145.73264759039205</v>
      </c>
      <c r="U84" s="109">
        <v>113.95565999999999</v>
      </c>
      <c r="V84" s="111">
        <v>114.04257736568223</v>
      </c>
      <c r="W84" s="36"/>
      <c r="X84" s="36"/>
      <c r="AW84" s="28"/>
      <c r="AX84" s="28"/>
      <c r="AY84" s="28"/>
      <c r="AZ84" s="28"/>
      <c r="BA84" s="28"/>
      <c r="BB84" s="28"/>
    </row>
    <row r="85" spans="1:54" s="28" customFormat="1" ht="16.5" thickBot="1" x14ac:dyDescent="0.3">
      <c r="A85" s="7"/>
      <c r="B85" s="8" t="s">
        <v>123</v>
      </c>
      <c r="C85" s="109">
        <v>3.3590670685180735</v>
      </c>
      <c r="D85" s="109">
        <v>3.1034109436001822</v>
      </c>
      <c r="E85" s="109">
        <v>2.3656048487211923</v>
      </c>
      <c r="F85" s="109">
        <v>2.3832013795456408</v>
      </c>
      <c r="G85" s="109">
        <v>2.1399999999999642</v>
      </c>
      <c r="H85" s="109">
        <v>9.2675560549500879</v>
      </c>
      <c r="I85" s="110">
        <v>2.8081908163574587</v>
      </c>
      <c r="J85" s="110">
        <v>2.1399999999999864</v>
      </c>
      <c r="K85" s="109">
        <v>2.4397450870295545</v>
      </c>
      <c r="L85" s="111">
        <v>1.9605878970317958</v>
      </c>
      <c r="M85" s="109">
        <v>441.64050600000002</v>
      </c>
      <c r="N85" s="109">
        <v>432.16936916000469</v>
      </c>
      <c r="O85" s="109">
        <v>148.94041627594137</v>
      </c>
      <c r="P85" s="109">
        <v>148.683246</v>
      </c>
      <c r="Q85" s="109">
        <v>144.50019207860655</v>
      </c>
      <c r="R85" s="109">
        <v>672.07598900000005</v>
      </c>
      <c r="S85" s="109">
        <v>143.97100826340005</v>
      </c>
      <c r="T85" s="109">
        <v>146.31951432330095</v>
      </c>
      <c r="U85" s="109">
        <v>114.536998</v>
      </c>
      <c r="V85" s="111">
        <v>114.58864769561164</v>
      </c>
      <c r="W85" s="36"/>
      <c r="X85" s="36"/>
    </row>
    <row r="86" spans="1:54" s="28" customFormat="1" ht="16.5" thickBot="1" x14ac:dyDescent="0.3">
      <c r="A86" s="7"/>
      <c r="B86" s="8" t="s">
        <v>124</v>
      </c>
      <c r="C86" s="109">
        <v>3.104539300646203</v>
      </c>
      <c r="D86" s="109">
        <v>2.9170266254857857</v>
      </c>
      <c r="E86" s="109">
        <v>2.1356806542808471</v>
      </c>
      <c r="F86" s="109">
        <v>2.1686316079887025</v>
      </c>
      <c r="G86" s="109">
        <v>1.9599999999999618</v>
      </c>
      <c r="H86" s="109">
        <v>7.3892569008139786</v>
      </c>
      <c r="I86" s="110">
        <v>2.6635407556159008</v>
      </c>
      <c r="J86" s="110">
        <v>1.9600000000000062</v>
      </c>
      <c r="K86" s="109">
        <v>2.1889588141803973</v>
      </c>
      <c r="L86" s="111">
        <v>1.8696143152595379</v>
      </c>
      <c r="M86" s="109">
        <v>447.80094200000002</v>
      </c>
      <c r="N86" s="109">
        <v>438.27788724385016</v>
      </c>
      <c r="O86" s="109">
        <v>150.64700819738823</v>
      </c>
      <c r="P86" s="109">
        <v>150.20190600000001</v>
      </c>
      <c r="Q86" s="109">
        <v>144.65640437124785</v>
      </c>
      <c r="R86" s="109">
        <v>678.73112300000003</v>
      </c>
      <c r="S86" s="109">
        <v>144.83789330700318</v>
      </c>
      <c r="T86" s="109">
        <v>146.47769339878744</v>
      </c>
      <c r="U86" s="109">
        <v>115.094336</v>
      </c>
      <c r="V86" s="111">
        <v>115.1440982752122</v>
      </c>
      <c r="W86" s="36"/>
      <c r="X86" s="36"/>
    </row>
    <row r="87" spans="1:54" s="28" customFormat="1" ht="16.5" thickBot="1" x14ac:dyDescent="0.3">
      <c r="A87" s="7"/>
      <c r="B87" s="8" t="s">
        <v>125</v>
      </c>
      <c r="C87" s="109">
        <v>2.8907169077405204</v>
      </c>
      <c r="D87" s="109">
        <v>2.7754159310330762</v>
      </c>
      <c r="E87" s="109">
        <v>1.9853963218819048</v>
      </c>
      <c r="F87" s="109">
        <v>2.0390339007484437</v>
      </c>
      <c r="G87" s="109">
        <v>1.8999999999999462</v>
      </c>
      <c r="H87" s="109">
        <v>5.4851156796458911</v>
      </c>
      <c r="I87" s="110">
        <v>2.6219459228720376</v>
      </c>
      <c r="J87" s="110">
        <v>1.8999999999999906</v>
      </c>
      <c r="K87" s="109">
        <v>2.0498701707009737</v>
      </c>
      <c r="L87" s="111">
        <v>1.9563636606815704</v>
      </c>
      <c r="M87" s="109">
        <v>451.38940300000002</v>
      </c>
      <c r="N87" s="109">
        <v>441.81153662042931</v>
      </c>
      <c r="O87" s="109">
        <v>151.2405113084549</v>
      </c>
      <c r="P87" s="109">
        <v>150.88865100000001</v>
      </c>
      <c r="Q87" s="109">
        <v>145.56336702016225</v>
      </c>
      <c r="R87" s="109">
        <v>683.44095900000002</v>
      </c>
      <c r="S87" s="109">
        <v>146.09255920196702</v>
      </c>
      <c r="T87" s="109">
        <v>147.39607511433795</v>
      </c>
      <c r="U87" s="109">
        <v>115.65740599999999</v>
      </c>
      <c r="V87" s="111">
        <v>115.7389176528518</v>
      </c>
      <c r="W87" s="36"/>
      <c r="X87" s="36"/>
    </row>
    <row r="88" spans="1:54" s="28" customFormat="1" ht="16.5" thickBot="1" x14ac:dyDescent="0.3">
      <c r="A88" s="7"/>
      <c r="B88" s="8" t="s">
        <v>126</v>
      </c>
      <c r="C88" s="109">
        <v>2.795212373676792</v>
      </c>
      <c r="D88" s="109">
        <v>2.7071378795752832</v>
      </c>
      <c r="E88" s="109">
        <v>1.9137533347414637</v>
      </c>
      <c r="F88" s="109">
        <v>1.9878848506291513</v>
      </c>
      <c r="G88" s="109">
        <v>1.9299999999999873</v>
      </c>
      <c r="H88" s="109">
        <v>4.7474371672533877</v>
      </c>
      <c r="I88" s="110">
        <v>2.6428229220817112</v>
      </c>
      <c r="J88" s="110">
        <v>1.9299999999999873</v>
      </c>
      <c r="K88" s="109">
        <v>2.0134410173220152</v>
      </c>
      <c r="L88" s="111">
        <v>2.0002069040320203</v>
      </c>
      <c r="M88" s="109">
        <v>452.529537</v>
      </c>
      <c r="N88" s="109">
        <v>442.75929341481384</v>
      </c>
      <c r="O88" s="109">
        <v>151.78464395426133</v>
      </c>
      <c r="P88" s="109">
        <v>151.533019</v>
      </c>
      <c r="Q88" s="109">
        <v>146.69829040020099</v>
      </c>
      <c r="R88" s="109">
        <v>690.87088200000005</v>
      </c>
      <c r="S88" s="109">
        <v>147.00594158087387</v>
      </c>
      <c r="T88" s="109">
        <v>148.54528768888659</v>
      </c>
      <c r="U88" s="109">
        <v>116.25009</v>
      </c>
      <c r="V88" s="111">
        <v>116.32366487168667</v>
      </c>
      <c r="W88" s="36"/>
      <c r="X88" s="36"/>
    </row>
    <row r="89" spans="1:54" s="28" customFormat="1" ht="16.5" thickBot="1" x14ac:dyDescent="0.3">
      <c r="A89" s="7"/>
      <c r="B89" s="8" t="s">
        <v>127</v>
      </c>
      <c r="C89" s="109">
        <v>2.8739431341924915</v>
      </c>
      <c r="D89" s="109">
        <v>2.8167193702349325</v>
      </c>
      <c r="E89" s="109">
        <v>2.020532412379672</v>
      </c>
      <c r="F89" s="109">
        <v>2.0813030944992983</v>
      </c>
      <c r="G89" s="109">
        <v>1.9799999999999818</v>
      </c>
      <c r="H89" s="109">
        <v>4.1218389666350497</v>
      </c>
      <c r="I89" s="110">
        <v>2.6432235516165692</v>
      </c>
      <c r="J89" s="110">
        <v>1.9800000000000262</v>
      </c>
      <c r="K89" s="109">
        <v>2.0293163262407266</v>
      </c>
      <c r="L89" s="111">
        <v>2.0115522555947729</v>
      </c>
      <c r="M89" s="109">
        <v>454.33300300000002</v>
      </c>
      <c r="N89" s="109">
        <v>444.34236749335662</v>
      </c>
      <c r="O89" s="109">
        <v>151.94980566192999</v>
      </c>
      <c r="P89" s="109">
        <v>151.777795</v>
      </c>
      <c r="Q89" s="109">
        <v>147.36129588176294</v>
      </c>
      <c r="R89" s="109">
        <v>699.77787899999998</v>
      </c>
      <c r="S89" s="109">
        <v>147.77648386131807</v>
      </c>
      <c r="T89" s="109">
        <v>149.21664070690235</v>
      </c>
      <c r="U89" s="109">
        <v>116.861316</v>
      </c>
      <c r="V89" s="111">
        <v>116.89365822298826</v>
      </c>
      <c r="W89" s="36"/>
      <c r="X89" s="36"/>
    </row>
    <row r="90" spans="1:54" s="28" customFormat="1" ht="16.5" thickBot="1" x14ac:dyDescent="0.3">
      <c r="A90" s="7"/>
      <c r="B90" s="8" t="s">
        <v>128</v>
      </c>
      <c r="C90" s="109">
        <v>2.9867757625217317</v>
      </c>
      <c r="D90" s="109">
        <v>2.9253471377190809</v>
      </c>
      <c r="E90" s="109">
        <v>2.1298275684964452</v>
      </c>
      <c r="F90" s="109">
        <v>2.1787539766639163</v>
      </c>
      <c r="G90" s="109">
        <v>2.0458717637029222</v>
      </c>
      <c r="H90" s="109">
        <v>4.3319840513634356</v>
      </c>
      <c r="I90" s="110">
        <v>2.5540737453582096</v>
      </c>
      <c r="J90" s="110">
        <v>2.0458717637029444</v>
      </c>
      <c r="K90" s="109">
        <v>2.0684215077273693</v>
      </c>
      <c r="L90" s="111">
        <v>2.0064267282493997</v>
      </c>
      <c r="M90" s="109">
        <v>461.17575199999999</v>
      </c>
      <c r="N90" s="109">
        <v>451.09903687359383</v>
      </c>
      <c r="O90" s="109">
        <v>153.85552970909131</v>
      </c>
      <c r="P90" s="109">
        <v>153.474436</v>
      </c>
      <c r="Q90" s="109">
        <v>147.61588890266711</v>
      </c>
      <c r="R90" s="109">
        <v>708.133647</v>
      </c>
      <c r="S90" s="109">
        <v>148.5371599132873</v>
      </c>
      <c r="T90" s="109">
        <v>149.47443916815661</v>
      </c>
      <c r="U90" s="109">
        <v>117.47497199999999</v>
      </c>
      <c r="V90" s="111">
        <v>117.45438023900782</v>
      </c>
      <c r="W90" s="36"/>
      <c r="X90" s="36"/>
    </row>
    <row r="91" spans="1:54" s="28" customFormat="1" ht="16.5" thickBot="1" x14ac:dyDescent="0.3">
      <c r="A91" s="7"/>
      <c r="B91" s="8" t="s">
        <v>129</v>
      </c>
      <c r="C91" s="109">
        <v>3.0283287354887278</v>
      </c>
      <c r="D91" s="109">
        <v>2.933355843774077</v>
      </c>
      <c r="E91" s="109">
        <v>2.1368039117803717</v>
      </c>
      <c r="F91" s="109">
        <v>2.1984549388011976</v>
      </c>
      <c r="G91" s="109">
        <v>2.1240881442302184</v>
      </c>
      <c r="H91" s="109">
        <v>5.110432809163834</v>
      </c>
      <c r="I91" s="110">
        <v>2.6081837114523054</v>
      </c>
      <c r="J91" s="110">
        <v>2.1240881442302406</v>
      </c>
      <c r="K91" s="109">
        <v>2.1010448738578935</v>
      </c>
      <c r="L91" s="111">
        <v>1.9603023232938943</v>
      </c>
      <c r="M91" s="109">
        <v>465.05895800000002</v>
      </c>
      <c r="N91" s="109">
        <v>454.77144114835272</v>
      </c>
      <c r="O91" s="109">
        <v>154.4722244702906</v>
      </c>
      <c r="P91" s="109">
        <v>154.20587</v>
      </c>
      <c r="Q91" s="109">
        <v>148.65526124137983</v>
      </c>
      <c r="R91" s="109">
        <v>718.36775</v>
      </c>
      <c r="S91" s="109">
        <v>149.90292153471654</v>
      </c>
      <c r="T91" s="109">
        <v>150.52689767090229</v>
      </c>
      <c r="U91" s="109">
        <v>118.08741999999999</v>
      </c>
      <c r="V91" s="111">
        <v>118.00775034455584</v>
      </c>
      <c r="W91" s="36"/>
      <c r="X91" s="36"/>
    </row>
    <row r="92" spans="1:54" s="28" customFormat="1" ht="16.5" thickBot="1" x14ac:dyDescent="0.3">
      <c r="A92" s="7"/>
      <c r="B92" s="8" t="s">
        <v>130</v>
      </c>
      <c r="C92" s="109">
        <v>3.0371999783961101</v>
      </c>
      <c r="D92" s="109">
        <v>2.9270383104563535</v>
      </c>
      <c r="E92" s="109">
        <v>2.1300338863993407</v>
      </c>
      <c r="F92" s="109">
        <v>2.2044852151992034</v>
      </c>
      <c r="G92" s="109">
        <v>2.1867985926383726</v>
      </c>
      <c r="H92" s="109">
        <v>5.4314418189649327</v>
      </c>
      <c r="I92" s="110">
        <v>2.6517262726748703</v>
      </c>
      <c r="J92" s="110">
        <v>2.1867985926383948</v>
      </c>
      <c r="K92" s="109">
        <v>2.096479237134341</v>
      </c>
      <c r="L92" s="111">
        <v>1.9335539706995863</v>
      </c>
      <c r="M92" s="109">
        <v>466.27376400000003</v>
      </c>
      <c r="N92" s="109">
        <v>455.71902755617128</v>
      </c>
      <c r="O92" s="109">
        <v>155.01770830483767</v>
      </c>
      <c r="P92" s="109">
        <v>154.87354199999999</v>
      </c>
      <c r="Q92" s="109">
        <v>149.90628655009715</v>
      </c>
      <c r="R92" s="109">
        <v>728.39513199999999</v>
      </c>
      <c r="S92" s="109">
        <v>150.90413675616696</v>
      </c>
      <c r="T92" s="109">
        <v>151.79367394949782</v>
      </c>
      <c r="U92" s="109">
        <v>118.68724899999999</v>
      </c>
      <c r="V92" s="111">
        <v>118.57284571267644</v>
      </c>
      <c r="W92" s="36"/>
      <c r="X92" s="36"/>
    </row>
    <row r="93" spans="1:54" s="28" customFormat="1" ht="16.5" thickBot="1" x14ac:dyDescent="0.3">
      <c r="A93" s="7"/>
      <c r="B93" s="47" t="s">
        <v>131</v>
      </c>
      <c r="C93" s="109">
        <v>2.7928305705759993</v>
      </c>
      <c r="D93" s="109"/>
      <c r="E93" s="109">
        <v>2.1135570672859982</v>
      </c>
      <c r="F93" s="109">
        <v>2.2033479930315236</v>
      </c>
      <c r="G93" s="109">
        <v>2.2522656408679786</v>
      </c>
      <c r="H93" s="109">
        <v>5.5403474678855869</v>
      </c>
      <c r="I93" s="110">
        <v>2.4591424101467974</v>
      </c>
      <c r="J93" s="110">
        <v>2.2522656408679786</v>
      </c>
      <c r="K93" s="109">
        <v>2.0641800747819739</v>
      </c>
      <c r="L93" s="111">
        <v>1.9313441768990192</v>
      </c>
      <c r="M93" s="109">
        <v>467.02175399999999</v>
      </c>
      <c r="N93" s="109"/>
      <c r="O93" s="109">
        <v>155.16135151822505</v>
      </c>
      <c r="P93" s="109">
        <v>155.12198799999999</v>
      </c>
      <c r="Q93" s="109">
        <v>150.68026371684567</v>
      </c>
      <c r="R93" s="109"/>
      <c r="S93" s="109">
        <v>151.41051804817548</v>
      </c>
      <c r="T93" s="109">
        <v>152.57739583600133</v>
      </c>
      <c r="U93" s="109">
        <v>119.273544</v>
      </c>
      <c r="V93" s="111">
        <v>119.1512770842422</v>
      </c>
      <c r="W93" s="36"/>
      <c r="X93" s="36"/>
    </row>
    <row r="94" spans="1:54" s="28" customFormat="1" ht="16.5" thickBot="1" x14ac:dyDescent="0.3">
      <c r="A94" s="7"/>
      <c r="B94" s="47" t="s">
        <v>132</v>
      </c>
      <c r="C94" s="109">
        <v>2.3182819030780344</v>
      </c>
      <c r="D94" s="109"/>
      <c r="E94" s="109">
        <v>1.9971863969222348</v>
      </c>
      <c r="F94" s="109">
        <v>2.1221403934659211</v>
      </c>
      <c r="G94" s="109">
        <v>2.3100000000000342</v>
      </c>
      <c r="H94" s="109"/>
      <c r="I94" s="110">
        <v>2.521349351124802</v>
      </c>
      <c r="J94" s="110">
        <v>2.3099999999999676</v>
      </c>
      <c r="K94" s="109">
        <v>2.0284805856348731</v>
      </c>
      <c r="L94" s="111">
        <v>1.9463531157649205</v>
      </c>
      <c r="M94" s="109">
        <v>471.86710599999998</v>
      </c>
      <c r="N94" s="109"/>
      <c r="O94" s="109">
        <v>156.92831141935395</v>
      </c>
      <c r="P94" s="109">
        <v>156.731379</v>
      </c>
      <c r="Q94" s="109">
        <v>151.02581593631876</v>
      </c>
      <c r="R94" s="109"/>
      <c r="S94" s="109">
        <v>152.28230063094017</v>
      </c>
      <c r="T94" s="109">
        <v>152.92729871294097</v>
      </c>
      <c r="U94" s="109">
        <v>119.857929</v>
      </c>
      <c r="V94" s="111">
        <v>119.74045722839212</v>
      </c>
      <c r="W94" s="36"/>
      <c r="X94" s="36"/>
    </row>
    <row r="95" spans="1:54" s="28" customFormat="1" ht="16.5" thickBot="1" x14ac:dyDescent="0.3">
      <c r="A95" s="7"/>
      <c r="B95" s="47" t="s">
        <v>133</v>
      </c>
      <c r="C95" s="109">
        <v>1.9371313776521237</v>
      </c>
      <c r="D95" s="109"/>
      <c r="E95" s="109">
        <v>1.9679682559472278</v>
      </c>
      <c r="F95" s="109">
        <v>2.1117613745832209</v>
      </c>
      <c r="G95" s="109">
        <v>2.3800000000000265</v>
      </c>
      <c r="H95" s="109"/>
      <c r="I95" s="110">
        <v>2.5696463346911225</v>
      </c>
      <c r="J95" s="110">
        <v>2.3800000000000043</v>
      </c>
      <c r="K95" s="109">
        <v>1.9989428171095724</v>
      </c>
      <c r="L95" s="111">
        <v>1.972272644393458</v>
      </c>
      <c r="M95" s="109">
        <v>474.06776100000002</v>
      </c>
      <c r="N95" s="109"/>
      <c r="O95" s="109">
        <v>157.51218881212145</v>
      </c>
      <c r="P95" s="109">
        <v>157.46233000000001</v>
      </c>
      <c r="Q95" s="109">
        <v>152.19325645892471</v>
      </c>
      <c r="R95" s="109"/>
      <c r="S95" s="109">
        <v>153.7548964635283</v>
      </c>
      <c r="T95" s="109">
        <v>154.10943783546978</v>
      </c>
      <c r="U95" s="109">
        <v>120.44792</v>
      </c>
      <c r="V95" s="111">
        <v>120.33518492286564</v>
      </c>
      <c r="W95" s="36"/>
      <c r="X95" s="36"/>
    </row>
    <row r="96" spans="1:54" s="28" customFormat="1" ht="16.5" thickBot="1" x14ac:dyDescent="0.3">
      <c r="A96" s="7"/>
      <c r="B96" s="47" t="s">
        <v>134</v>
      </c>
      <c r="C96" s="109">
        <v>2.1210071772341799</v>
      </c>
      <c r="D96" s="109"/>
      <c r="E96" s="109">
        <v>1.9635953764772562</v>
      </c>
      <c r="F96" s="109">
        <v>2.1210072150348536</v>
      </c>
      <c r="G96" s="109">
        <v>2.4500000000000188</v>
      </c>
      <c r="H96" s="109"/>
      <c r="I96" s="110">
        <v>2.6181198341484579</v>
      </c>
      <c r="J96" s="110">
        <v>2.4499999999999966</v>
      </c>
      <c r="K96" s="109">
        <v>1.9874005167985764</v>
      </c>
      <c r="L96" s="111">
        <v>1.9847047351676084</v>
      </c>
      <c r="M96" s="109">
        <v>476.16346399999998</v>
      </c>
      <c r="N96" s="109"/>
      <c r="O96" s="109">
        <v>158.06162885783246</v>
      </c>
      <c r="P96" s="109">
        <v>158.158421</v>
      </c>
      <c r="Q96" s="109">
        <v>153.57899057057455</v>
      </c>
      <c r="R96" s="109"/>
      <c r="S96" s="109">
        <v>154.85498789113069</v>
      </c>
      <c r="T96" s="109">
        <v>155.5126189612605</v>
      </c>
      <c r="U96" s="109">
        <v>121.04604</v>
      </c>
      <c r="V96" s="111">
        <v>120.92616659615892</v>
      </c>
      <c r="W96" s="36"/>
      <c r="X96" s="36"/>
    </row>
    <row r="97" spans="1:24" s="28" customFormat="1" ht="16.5" thickBot="1" x14ac:dyDescent="0.3">
      <c r="A97" s="7"/>
      <c r="B97" s="47" t="s">
        <v>135</v>
      </c>
      <c r="C97" s="109">
        <v>2.1625142541004783</v>
      </c>
      <c r="D97" s="109"/>
      <c r="E97" s="109">
        <v>2.000063790348916</v>
      </c>
      <c r="F97" s="109">
        <v>2.162514188510789</v>
      </c>
      <c r="G97" s="109">
        <v>2.5200000000000111</v>
      </c>
      <c r="H97" s="109"/>
      <c r="I97" s="110">
        <v>2.7063028595147198</v>
      </c>
      <c r="J97" s="110">
        <v>2.5200000000000111</v>
      </c>
      <c r="K97" s="109">
        <v>1.9910920061199766</v>
      </c>
      <c r="L97" s="111">
        <v>1.9803404634496591</v>
      </c>
      <c r="M97" s="109">
        <v>477.12116600000002</v>
      </c>
      <c r="N97" s="109"/>
      <c r="O97" s="109">
        <v>158.26467752655705</v>
      </c>
      <c r="P97" s="109">
        <v>158.47652299999999</v>
      </c>
      <c r="Q97" s="109">
        <v>154.47740636251021</v>
      </c>
      <c r="R97" s="109"/>
      <c r="S97" s="109">
        <v>155.5081452277193</v>
      </c>
      <c r="T97" s="109">
        <v>156.42234621106857</v>
      </c>
      <c r="U97" s="109">
        <v>121.64839000000001</v>
      </c>
      <c r="V97" s="111">
        <v>121.51087803705848</v>
      </c>
      <c r="W97" s="36"/>
      <c r="X97" s="36"/>
    </row>
    <row r="98" spans="1:24" s="28" customFormat="1" ht="16.5" thickBot="1" x14ac:dyDescent="0.3">
      <c r="A98" s="7"/>
      <c r="B98" s="47" t="s">
        <v>645</v>
      </c>
      <c r="C98" s="109">
        <v>2.1716154547971378</v>
      </c>
      <c r="D98" s="109"/>
      <c r="E98" s="109">
        <v>1.9997959592323866</v>
      </c>
      <c r="F98" s="109">
        <v>2.1716155512164548</v>
      </c>
      <c r="G98" s="109">
        <v>2.5699999999999834</v>
      </c>
      <c r="H98" s="109"/>
      <c r="I98" s="110">
        <v>2.7295145169153212</v>
      </c>
      <c r="J98" s="110">
        <v>2.5700000000000056</v>
      </c>
      <c r="K98" s="109">
        <v>1.998347560301994</v>
      </c>
      <c r="L98" s="111">
        <v>1.9623427721854547</v>
      </c>
      <c r="M98" s="109">
        <v>482.11424499999998</v>
      </c>
      <c r="N98" s="109"/>
      <c r="O98" s="109">
        <v>160.06655745000981</v>
      </c>
      <c r="P98" s="109">
        <v>160.13498200000001</v>
      </c>
      <c r="Q98" s="109">
        <v>154.90717940588212</v>
      </c>
      <c r="R98" s="109"/>
      <c r="S98" s="109">
        <v>156.4388681333543</v>
      </c>
      <c r="T98" s="109">
        <v>156.85753028986355</v>
      </c>
      <c r="U98" s="109">
        <v>122.253107</v>
      </c>
      <c r="V98" s="111">
        <v>122.09017543619528</v>
      </c>
      <c r="W98" s="36"/>
      <c r="X98" s="36"/>
    </row>
    <row r="99" spans="1:24" s="28" customFormat="1" ht="16.5" thickBot="1" x14ac:dyDescent="0.3">
      <c r="A99" s="7"/>
      <c r="B99" s="47" t="s">
        <v>646</v>
      </c>
      <c r="C99" s="109">
        <v>2.1806015617248375</v>
      </c>
      <c r="D99" s="109"/>
      <c r="E99" s="109">
        <v>1.9996872807483745</v>
      </c>
      <c r="F99" s="109">
        <v>2.1806015445090976</v>
      </c>
      <c r="G99" s="109">
        <v>2.6200000000000223</v>
      </c>
      <c r="H99" s="109"/>
      <c r="I99" s="110">
        <v>2.7640021285286753</v>
      </c>
      <c r="J99" s="110">
        <v>2.6200000000000223</v>
      </c>
      <c r="K99" s="109">
        <v>2.0022022796242656</v>
      </c>
      <c r="L99" s="111">
        <v>1.9262405839541863</v>
      </c>
      <c r="M99" s="109">
        <v>484.40528999999998</v>
      </c>
      <c r="N99" s="109"/>
      <c r="O99" s="109">
        <v>160.66194001742582</v>
      </c>
      <c r="P99" s="109">
        <v>160.89595600000001</v>
      </c>
      <c r="Q99" s="109">
        <v>156.18071977814856</v>
      </c>
      <c r="R99" s="109"/>
      <c r="S99" s="109">
        <v>158.00468507449727</v>
      </c>
      <c r="T99" s="109">
        <v>158.14710510675911</v>
      </c>
      <c r="U99" s="109">
        <v>122.859531</v>
      </c>
      <c r="V99" s="111">
        <v>122.6531300916262</v>
      </c>
      <c r="W99" s="36"/>
      <c r="X99" s="36"/>
    </row>
    <row r="100" spans="1:24" s="28" customFormat="1" ht="16.5" thickBot="1" x14ac:dyDescent="0.3">
      <c r="A100" s="7"/>
      <c r="B100" s="47" t="s">
        <v>647</v>
      </c>
      <c r="C100" s="109">
        <v>2.1901945000971423</v>
      </c>
      <c r="D100" s="109"/>
      <c r="E100" s="109">
        <v>2.0003474078460259</v>
      </c>
      <c r="F100" s="109">
        <v>2.1901944759552094</v>
      </c>
      <c r="G100" s="109">
        <v>2.6699999999999946</v>
      </c>
      <c r="H100" s="109"/>
      <c r="I100" s="110">
        <v>2.7986178387743088</v>
      </c>
      <c r="J100" s="110">
        <v>2.6700000000000168</v>
      </c>
      <c r="K100" s="109">
        <v>2.0022059375093937</v>
      </c>
      <c r="L100" s="111">
        <v>1.8912421275955049</v>
      </c>
      <c r="M100" s="109">
        <v>486.59237000000002</v>
      </c>
      <c r="N100" s="109"/>
      <c r="O100" s="109">
        <v>161.22341055348932</v>
      </c>
      <c r="P100" s="109">
        <v>161.622398</v>
      </c>
      <c r="Q100" s="109">
        <v>157.67954961880889</v>
      </c>
      <c r="R100" s="109"/>
      <c r="S100" s="109">
        <v>159.18878720648368</v>
      </c>
      <c r="T100" s="109">
        <v>159.66480588752617</v>
      </c>
      <c r="U100" s="109">
        <v>123.46963100000001</v>
      </c>
      <c r="V100" s="111">
        <v>123.2131732021118</v>
      </c>
      <c r="W100" s="36"/>
      <c r="X100" s="36"/>
    </row>
    <row r="101" spans="1:24" s="28" customFormat="1" x14ac:dyDescent="0.25">
      <c r="A101" s="7"/>
      <c r="B101" s="47" t="s">
        <v>648</v>
      </c>
      <c r="C101" s="109">
        <v>2.1989097838514216</v>
      </c>
      <c r="D101" s="109"/>
      <c r="E101" s="109">
        <v>1.9998958314420889</v>
      </c>
      <c r="F101" s="109">
        <v>2.1989099293906245</v>
      </c>
      <c r="G101" s="109">
        <v>2.7200000000000113</v>
      </c>
      <c r="H101" s="109"/>
      <c r="I101" s="110">
        <v>2.8133412950158254</v>
      </c>
      <c r="J101" s="110">
        <v>2.7200000000000335</v>
      </c>
      <c r="K101" s="109">
        <v>2.0022607779683677</v>
      </c>
      <c r="L101" s="111">
        <v>1.858541453797824</v>
      </c>
      <c r="M101" s="109">
        <v>487.61263000000002</v>
      </c>
      <c r="N101" s="109"/>
      <c r="O101" s="109">
        <v>161.42980621505595</v>
      </c>
      <c r="P101" s="109">
        <v>161.96127899999999</v>
      </c>
      <c r="Q101" s="109">
        <v>158.6791918155705</v>
      </c>
      <c r="R101" s="109"/>
      <c r="S101" s="109">
        <v>159.88312009452392</v>
      </c>
      <c r="T101" s="109">
        <v>160.67703402800967</v>
      </c>
      <c r="U101" s="109">
        <v>124.084108</v>
      </c>
      <c r="V101" s="111">
        <v>123.76920807625092</v>
      </c>
      <c r="W101" s="36"/>
      <c r="X101" s="36"/>
    </row>
    <row r="102" spans="1:24" s="28" customFormat="1" x14ac:dyDescent="0.25">
      <c r="A102" s="7"/>
      <c r="B102" s="128">
        <v>2008</v>
      </c>
      <c r="C102" s="383">
        <v>4.0062938755749178</v>
      </c>
      <c r="D102" s="383">
        <v>4.2552304742852431</v>
      </c>
      <c r="E102" s="383">
        <v>3.6177519616834797</v>
      </c>
      <c r="F102" s="383">
        <v>3.5524867307114683</v>
      </c>
      <c r="G102" s="383">
        <v>2.6807173229802084</v>
      </c>
      <c r="H102" s="383">
        <v>-0.28914733663175651</v>
      </c>
      <c r="I102" s="384">
        <v>3.3295609010762632</v>
      </c>
      <c r="J102" s="384">
        <v>2.0527898985170934</v>
      </c>
      <c r="K102" s="383">
        <v>4.0810869946606543</v>
      </c>
      <c r="L102" s="385">
        <v>3.3457249070631967</v>
      </c>
      <c r="M102" s="383">
        <v>214.82499999999999</v>
      </c>
      <c r="N102" s="383">
        <v>208.45833333333334</v>
      </c>
      <c r="O102" s="383">
        <v>84.73341666666667</v>
      </c>
      <c r="P102" s="383">
        <v>86.23333332499999</v>
      </c>
      <c r="Q102" s="383">
        <v>92.566666666666663</v>
      </c>
      <c r="R102" s="383">
        <v>387.95000000000005</v>
      </c>
      <c r="S102" s="386">
        <v>84.759</v>
      </c>
      <c r="T102" s="386">
        <v>94.117249999999999</v>
      </c>
      <c r="U102" s="383">
        <v>70.693244149999998</v>
      </c>
      <c r="V102" s="385">
        <v>69.5</v>
      </c>
      <c r="W102" s="36"/>
      <c r="X102" s="36"/>
    </row>
    <row r="103" spans="1:24" s="28" customFormat="1" x14ac:dyDescent="0.25">
      <c r="A103" s="7"/>
      <c r="B103" s="8">
        <v>2009</v>
      </c>
      <c r="C103" s="112">
        <v>-0.53144024205747931</v>
      </c>
      <c r="D103" s="112">
        <v>1.9788127123725685</v>
      </c>
      <c r="E103" s="112">
        <v>2.1653204511010493</v>
      </c>
      <c r="F103" s="112">
        <v>1.9617317164632775</v>
      </c>
      <c r="G103" s="112">
        <v>0.90025207057977674</v>
      </c>
      <c r="H103" s="112">
        <v>-42.376594922026037</v>
      </c>
      <c r="I103" s="88">
        <v>1.8457233646770987</v>
      </c>
      <c r="J103" s="88">
        <v>-0.68071120508373939</v>
      </c>
      <c r="K103" s="112">
        <v>0.88348997490448333</v>
      </c>
      <c r="L103" s="71">
        <v>1.9784172661870603</v>
      </c>
      <c r="M103" s="112">
        <v>213.6833335</v>
      </c>
      <c r="N103" s="112">
        <v>212.58333333333331</v>
      </c>
      <c r="O103" s="112">
        <v>86.56816666666667</v>
      </c>
      <c r="P103" s="112">
        <v>87.924999975000006</v>
      </c>
      <c r="Q103" s="112">
        <v>93.4</v>
      </c>
      <c r="R103" s="112">
        <v>223.55</v>
      </c>
      <c r="S103" s="113">
        <v>86.32341666666666</v>
      </c>
      <c r="T103" s="113">
        <v>93.476583333333323</v>
      </c>
      <c r="U103" s="112">
        <v>71.317811875000004</v>
      </c>
      <c r="V103" s="71">
        <v>70.875</v>
      </c>
      <c r="W103" s="36"/>
      <c r="X103" s="36"/>
    </row>
    <row r="104" spans="1:24" s="28" customFormat="1" x14ac:dyDescent="0.25">
      <c r="A104" s="7"/>
      <c r="B104" s="8">
        <v>2010</v>
      </c>
      <c r="C104" s="112">
        <v>4.6213243860687037</v>
      </c>
      <c r="D104" s="112">
        <v>4.7628381027048139</v>
      </c>
      <c r="E104" s="112">
        <v>3.2981715757716801</v>
      </c>
      <c r="F104" s="112">
        <v>2.4926547917238029</v>
      </c>
      <c r="G104" s="112">
        <v>-1.0260528194147023</v>
      </c>
      <c r="H104" s="112">
        <v>0.51442630284053159</v>
      </c>
      <c r="I104" s="88">
        <v>1.3727445527044466</v>
      </c>
      <c r="J104" s="88">
        <v>-0.18961968193461631</v>
      </c>
      <c r="K104" s="112">
        <v>0.89790461620213868</v>
      </c>
      <c r="L104" s="71">
        <v>1.3403880070546714</v>
      </c>
      <c r="M104" s="112">
        <v>223.5583335</v>
      </c>
      <c r="N104" s="112">
        <v>222.70833333333331</v>
      </c>
      <c r="O104" s="112">
        <v>89.423333333333332</v>
      </c>
      <c r="P104" s="112">
        <v>90.116666699999996</v>
      </c>
      <c r="Q104" s="112">
        <v>92.441666666666677</v>
      </c>
      <c r="R104" s="112">
        <v>224.70000000000002</v>
      </c>
      <c r="S104" s="113">
        <v>87.508416666666676</v>
      </c>
      <c r="T104" s="113">
        <v>93.299333333333308</v>
      </c>
      <c r="U104" s="112">
        <v>71.958177799999987</v>
      </c>
      <c r="V104" s="71">
        <v>71.825000000000003</v>
      </c>
      <c r="W104" s="36"/>
      <c r="X104" s="36"/>
    </row>
    <row r="105" spans="1:24" s="28" customFormat="1" x14ac:dyDescent="0.25">
      <c r="A105" s="7"/>
      <c r="B105" s="8">
        <v>2011</v>
      </c>
      <c r="C105" s="112">
        <v>5.1999848621165468</v>
      </c>
      <c r="D105" s="112">
        <v>5.2871842843779326</v>
      </c>
      <c r="E105" s="112">
        <v>4.463693294069393</v>
      </c>
      <c r="F105" s="112">
        <v>3.8561123899182315</v>
      </c>
      <c r="G105" s="112">
        <v>1.5144685837915839</v>
      </c>
      <c r="H105" s="112">
        <v>3.0559264574988809</v>
      </c>
      <c r="I105" s="88">
        <v>2.5092824404509599</v>
      </c>
      <c r="J105" s="88">
        <v>1.2935962386297684</v>
      </c>
      <c r="K105" s="112">
        <v>3.9007023743728109</v>
      </c>
      <c r="L105" s="71">
        <v>2.5060911938739938</v>
      </c>
      <c r="M105" s="112">
        <v>235.183333</v>
      </c>
      <c r="N105" s="112">
        <v>234.48333333333335</v>
      </c>
      <c r="O105" s="112">
        <v>93.414916666666656</v>
      </c>
      <c r="P105" s="112">
        <v>93.591666650000008</v>
      </c>
      <c r="Q105" s="112">
        <v>93.841666666666683</v>
      </c>
      <c r="R105" s="112">
        <v>231.56666675</v>
      </c>
      <c r="S105" s="113">
        <v>89.704250000000002</v>
      </c>
      <c r="T105" s="113">
        <v>94.506249999999966</v>
      </c>
      <c r="U105" s="112">
        <v>74.765052150000002</v>
      </c>
      <c r="V105" s="71">
        <v>73.625</v>
      </c>
      <c r="W105" s="36"/>
      <c r="X105" s="36"/>
    </row>
    <row r="106" spans="1:24" s="28" customFormat="1" x14ac:dyDescent="0.25">
      <c r="A106" s="7"/>
      <c r="B106" s="8">
        <v>2012</v>
      </c>
      <c r="C106" s="112">
        <v>3.2067183094135254</v>
      </c>
      <c r="D106" s="112">
        <v>3.216291136541316</v>
      </c>
      <c r="E106" s="112">
        <v>2.8282420990937363</v>
      </c>
      <c r="F106" s="112">
        <v>2.5732348148113537</v>
      </c>
      <c r="G106" s="112">
        <v>1.6605985258857814</v>
      </c>
      <c r="H106" s="112">
        <v>2.3499351510184452</v>
      </c>
      <c r="I106" s="88">
        <v>3.3419078063005259</v>
      </c>
      <c r="J106" s="88">
        <v>1.381301942111457</v>
      </c>
      <c r="K106" s="112">
        <v>1.6609012690964819</v>
      </c>
      <c r="L106" s="71">
        <v>1.4940577249575426</v>
      </c>
      <c r="M106" s="112">
        <v>242.72499999999999</v>
      </c>
      <c r="N106" s="112">
        <v>242.02499999999998</v>
      </c>
      <c r="O106" s="112">
        <v>96.056916666666652</v>
      </c>
      <c r="P106" s="112">
        <v>95.999999999999986</v>
      </c>
      <c r="Q106" s="112">
        <v>95.4</v>
      </c>
      <c r="R106" s="112">
        <v>237.00833324999996</v>
      </c>
      <c r="S106" s="113">
        <v>92.702083333333334</v>
      </c>
      <c r="T106" s="113">
        <v>95.811666666666667</v>
      </c>
      <c r="U106" s="112">
        <v>76.006825849999998</v>
      </c>
      <c r="V106" s="71">
        <v>74.724999999999994</v>
      </c>
      <c r="W106" s="36"/>
      <c r="X106" s="36"/>
    </row>
    <row r="107" spans="1:24" s="28" customFormat="1" x14ac:dyDescent="0.25">
      <c r="A107" s="7"/>
      <c r="B107" s="8">
        <v>2013</v>
      </c>
      <c r="C107" s="112">
        <v>3.041851272015661</v>
      </c>
      <c r="D107" s="112">
        <v>3.0540922081052191</v>
      </c>
      <c r="E107" s="112">
        <v>2.5647988215320439</v>
      </c>
      <c r="F107" s="112">
        <v>2.2916666666666918</v>
      </c>
      <c r="G107" s="112">
        <v>1.4063591893780369</v>
      </c>
      <c r="H107" s="112">
        <v>2.795260470024008</v>
      </c>
      <c r="I107" s="88">
        <v>2.4712677259141032</v>
      </c>
      <c r="J107" s="88">
        <v>1.2623723624471728</v>
      </c>
      <c r="K107" s="112">
        <v>2.2151077961374943</v>
      </c>
      <c r="L107" s="71">
        <v>2.1411843425894972</v>
      </c>
      <c r="M107" s="112">
        <v>250.10833350000001</v>
      </c>
      <c r="N107" s="112">
        <v>249.41666666666666</v>
      </c>
      <c r="O107" s="112">
        <v>98.520583333333335</v>
      </c>
      <c r="P107" s="112">
        <v>98.2</v>
      </c>
      <c r="Q107" s="112">
        <v>96.74166666666666</v>
      </c>
      <c r="R107" s="112">
        <v>243.63333349999999</v>
      </c>
      <c r="S107" s="113">
        <v>94.992999999999995</v>
      </c>
      <c r="T107" s="113">
        <v>97.021166666666673</v>
      </c>
      <c r="U107" s="112">
        <v>77.690458974999999</v>
      </c>
      <c r="V107" s="71">
        <v>76.325000000000003</v>
      </c>
      <c r="W107" s="36"/>
      <c r="X107" s="36"/>
    </row>
    <row r="108" spans="1:24" s="28" customFormat="1" x14ac:dyDescent="0.25">
      <c r="A108" s="2"/>
      <c r="B108" s="8">
        <v>2014</v>
      </c>
      <c r="C108" s="112">
        <v>2.3689734432619458</v>
      </c>
      <c r="D108" s="112">
        <v>2.4423655195455973</v>
      </c>
      <c r="E108" s="112">
        <v>1.4610314088342014</v>
      </c>
      <c r="F108" s="112">
        <v>1.4511201629327841</v>
      </c>
      <c r="G108" s="112">
        <v>1.4643810836419968</v>
      </c>
      <c r="H108" s="112">
        <v>-4.446579556404151E-2</v>
      </c>
      <c r="I108" s="88">
        <v>2.3398215307092869</v>
      </c>
      <c r="J108" s="88">
        <v>1.0477095204310949</v>
      </c>
      <c r="K108" s="112">
        <v>1.1942221892376148</v>
      </c>
      <c r="L108" s="71">
        <v>1.6049787094660983</v>
      </c>
      <c r="M108" s="112">
        <v>256.03333350000003</v>
      </c>
      <c r="N108" s="112">
        <v>255.50833333333333</v>
      </c>
      <c r="O108" s="112">
        <v>99.960000000000008</v>
      </c>
      <c r="P108" s="112">
        <v>99.625</v>
      </c>
      <c r="Q108" s="112">
        <v>98.158333333333331</v>
      </c>
      <c r="R108" s="112">
        <v>243.52500000000003</v>
      </c>
      <c r="S108" s="113">
        <v>97.215666666666664</v>
      </c>
      <c r="T108" s="113">
        <v>98.037666666666667</v>
      </c>
      <c r="U108" s="112">
        <v>78.618255675</v>
      </c>
      <c r="V108" s="71">
        <v>77.55</v>
      </c>
      <c r="W108" s="36"/>
      <c r="X108" s="36"/>
    </row>
    <row r="109" spans="1:24" s="28" customFormat="1" x14ac:dyDescent="0.25">
      <c r="A109" s="2"/>
      <c r="B109" s="8">
        <v>2015</v>
      </c>
      <c r="C109" s="112">
        <v>0.97969011132683637</v>
      </c>
      <c r="D109" s="112">
        <v>1.0273637519976564</v>
      </c>
      <c r="E109" s="112">
        <v>4.0099373082536083E-2</v>
      </c>
      <c r="F109" s="112">
        <v>0.36804675031367751</v>
      </c>
      <c r="G109" s="112">
        <v>1.8762203922234599</v>
      </c>
      <c r="H109" s="112">
        <v>-0.42432337542347431</v>
      </c>
      <c r="I109" s="88">
        <v>2.8640788350300141</v>
      </c>
      <c r="J109" s="88">
        <v>2.0016966268067149</v>
      </c>
      <c r="K109" s="112">
        <v>-0.33376506861808597</v>
      </c>
      <c r="L109" s="71">
        <v>0.67698259187620735</v>
      </c>
      <c r="M109" s="112">
        <v>258.54166674999999</v>
      </c>
      <c r="N109" s="112">
        <v>258.13333333333333</v>
      </c>
      <c r="O109" s="112">
        <v>100.00008333333332</v>
      </c>
      <c r="P109" s="112">
        <v>99.991666574999996</v>
      </c>
      <c r="Q109" s="112">
        <v>100</v>
      </c>
      <c r="R109" s="112">
        <v>242.49166650000001</v>
      </c>
      <c r="S109" s="113">
        <v>100</v>
      </c>
      <c r="T109" s="113">
        <v>100.00008333333335</v>
      </c>
      <c r="U109" s="112">
        <v>78.355855399999996</v>
      </c>
      <c r="V109" s="71">
        <v>78.075000000000003</v>
      </c>
      <c r="W109" s="36"/>
      <c r="X109" s="36"/>
    </row>
    <row r="110" spans="1:24" s="28" customFormat="1" x14ac:dyDescent="0.25">
      <c r="A110" s="2"/>
      <c r="B110" s="8">
        <v>2016</v>
      </c>
      <c r="C110" s="112">
        <v>1.7437550034669735</v>
      </c>
      <c r="D110" s="112">
        <v>1.8724173553718915</v>
      </c>
      <c r="E110" s="112">
        <v>0.6596661169449014</v>
      </c>
      <c r="F110" s="112">
        <v>1.0084174607127849</v>
      </c>
      <c r="G110" s="112">
        <v>2.3499999999999854</v>
      </c>
      <c r="H110" s="112">
        <v>-3.0928895859602679</v>
      </c>
      <c r="I110" s="88">
        <v>1.7561666666666724</v>
      </c>
      <c r="J110" s="88">
        <v>2.423081314098896</v>
      </c>
      <c r="K110" s="112">
        <v>1.2447631322776598</v>
      </c>
      <c r="L110" s="71">
        <v>1.6970861351264688</v>
      </c>
      <c r="M110" s="112">
        <v>263.05</v>
      </c>
      <c r="N110" s="112">
        <v>262.96666666666664</v>
      </c>
      <c r="O110" s="112">
        <v>100.65974999999999</v>
      </c>
      <c r="P110" s="112">
        <v>101</v>
      </c>
      <c r="Q110" s="112">
        <v>102.35</v>
      </c>
      <c r="R110" s="112">
        <v>234.99166700000001</v>
      </c>
      <c r="S110" s="113">
        <v>101.75616666666667</v>
      </c>
      <c r="T110" s="113">
        <v>102.42316666666667</v>
      </c>
      <c r="U110" s="112">
        <v>79.331200199999998</v>
      </c>
      <c r="V110" s="71">
        <v>79.399999999999991</v>
      </c>
      <c r="W110" s="36"/>
      <c r="X110" s="36"/>
    </row>
    <row r="111" spans="1:24" s="28" customFormat="1" x14ac:dyDescent="0.25">
      <c r="A111" s="2"/>
      <c r="B111" s="8">
        <v>2017</v>
      </c>
      <c r="C111" s="112">
        <v>3.5829689222581118</v>
      </c>
      <c r="D111" s="112">
        <v>3.8059323108125209</v>
      </c>
      <c r="E111" s="112">
        <v>2.6831313740927509</v>
      </c>
      <c r="F111" s="112">
        <v>2.5577556930693079</v>
      </c>
      <c r="G111" s="112">
        <v>1.9866471258752849</v>
      </c>
      <c r="H111" s="112">
        <v>-4.3760417683236348</v>
      </c>
      <c r="I111" s="88">
        <v>0.95088422159508923</v>
      </c>
      <c r="J111" s="88">
        <v>1.7266601468743037</v>
      </c>
      <c r="K111" s="112">
        <v>1.7624913293571964</v>
      </c>
      <c r="L111" s="71">
        <v>1.5743073047859157</v>
      </c>
      <c r="M111" s="112">
        <v>272.47499974999999</v>
      </c>
      <c r="N111" s="112">
        <v>272.97499999999997</v>
      </c>
      <c r="O111" s="112">
        <v>103.36058333333332</v>
      </c>
      <c r="P111" s="112">
        <v>103.58333325</v>
      </c>
      <c r="Q111" s="112">
        <v>104.38333333333334</v>
      </c>
      <c r="R111" s="112">
        <v>224.70833350000001</v>
      </c>
      <c r="S111" s="113">
        <v>102.72375</v>
      </c>
      <c r="T111" s="113">
        <v>104.19166666666665</v>
      </c>
      <c r="U111" s="112">
        <v>80.729405724999992</v>
      </c>
      <c r="V111" s="71">
        <v>80.650000000000006</v>
      </c>
      <c r="W111" s="36"/>
      <c r="X111" s="36"/>
    </row>
    <row r="112" spans="1:24" s="28" customFormat="1" x14ac:dyDescent="0.25">
      <c r="A112" s="2"/>
      <c r="B112" s="8">
        <v>2018</v>
      </c>
      <c r="C112" s="112">
        <v>3.3428143897080709</v>
      </c>
      <c r="D112" s="112">
        <v>3.3397441768171943</v>
      </c>
      <c r="E112" s="112">
        <v>2.4780561900208831</v>
      </c>
      <c r="F112" s="112">
        <v>2.2928399053039783</v>
      </c>
      <c r="G112" s="112">
        <v>1.1416254191282338</v>
      </c>
      <c r="H112" s="112">
        <v>3.5972556620825102</v>
      </c>
      <c r="I112" s="88">
        <v>0.45348162750417487</v>
      </c>
      <c r="J112" s="88">
        <v>0.99872030712628845</v>
      </c>
      <c r="K112" s="112">
        <v>2.0277156264177476</v>
      </c>
      <c r="L112" s="71">
        <v>1.9528828270303666</v>
      </c>
      <c r="M112" s="112">
        <v>281.58333325000001</v>
      </c>
      <c r="N112" s="112">
        <v>282.0916666666667</v>
      </c>
      <c r="O112" s="112">
        <v>105.92191666666668</v>
      </c>
      <c r="P112" s="112">
        <v>105.95833325000001</v>
      </c>
      <c r="Q112" s="112">
        <v>105.57500000000002</v>
      </c>
      <c r="R112" s="112">
        <v>232.79166674999999</v>
      </c>
      <c r="S112" s="113">
        <v>103.18958333333333</v>
      </c>
      <c r="T112" s="113">
        <v>105.23224999999998</v>
      </c>
      <c r="U112" s="112">
        <v>82.366368499999993</v>
      </c>
      <c r="V112" s="71">
        <v>82.224999999999994</v>
      </c>
      <c r="W112" s="36"/>
      <c r="X112" s="36"/>
    </row>
    <row r="113" spans="1:24" s="28" customFormat="1" x14ac:dyDescent="0.25">
      <c r="A113" s="2"/>
      <c r="B113" s="8">
        <v>2019</v>
      </c>
      <c r="C113" s="112">
        <v>2.5628884588821732</v>
      </c>
      <c r="D113" s="112">
        <v>2.5464535759652351</v>
      </c>
      <c r="E113" s="112">
        <v>1.7910205867057716</v>
      </c>
      <c r="F113" s="112">
        <v>1.7381044449375382</v>
      </c>
      <c r="G113" s="112">
        <v>1.152419291183171</v>
      </c>
      <c r="H113" s="112">
        <v>3.1072131365286415</v>
      </c>
      <c r="I113" s="88">
        <v>0.73416648159738429</v>
      </c>
      <c r="J113" s="88">
        <v>1.2616537864263977</v>
      </c>
      <c r="K113" s="112">
        <v>1.4207787975986763</v>
      </c>
      <c r="L113" s="71">
        <v>2.4627546366676967</v>
      </c>
      <c r="M113" s="112">
        <v>288.8</v>
      </c>
      <c r="N113" s="112">
        <v>289.27499999999998</v>
      </c>
      <c r="O113" s="112">
        <v>107.81900000000002</v>
      </c>
      <c r="P113" s="112">
        <v>107.79999975</v>
      </c>
      <c r="Q113" s="112">
        <v>106.79166666666666</v>
      </c>
      <c r="R113" s="112">
        <v>240.02499999999998</v>
      </c>
      <c r="S113" s="113">
        <v>103.94716666666667</v>
      </c>
      <c r="T113" s="113">
        <v>106.55991666666668</v>
      </c>
      <c r="U113" s="112">
        <v>83.536612399999996</v>
      </c>
      <c r="V113" s="71">
        <v>84.25</v>
      </c>
      <c r="W113" s="36"/>
      <c r="X113" s="36"/>
    </row>
    <row r="114" spans="1:24" s="28" customFormat="1" x14ac:dyDescent="0.25">
      <c r="A114" s="2"/>
      <c r="B114" s="8">
        <v>2020</v>
      </c>
      <c r="C114" s="112">
        <v>1.5033471260387898</v>
      </c>
      <c r="D114" s="112">
        <v>1.6823668366318101</v>
      </c>
      <c r="E114" s="112">
        <v>0.85065402820156955</v>
      </c>
      <c r="F114" s="112">
        <v>0.98948701528174254</v>
      </c>
      <c r="G114" s="112">
        <v>1.1705033164260525</v>
      </c>
      <c r="H114" s="112">
        <v>-5.5792799708363479</v>
      </c>
      <c r="I114" s="88">
        <v>1.4070449250660886</v>
      </c>
      <c r="J114" s="88">
        <v>1.4280698104899958</v>
      </c>
      <c r="K114" s="112">
        <v>0.40076361774994407</v>
      </c>
      <c r="L114" s="71">
        <v>5.0741839762611152</v>
      </c>
      <c r="M114" s="112">
        <v>293.14166650000004</v>
      </c>
      <c r="N114" s="112">
        <v>294.14166666666665</v>
      </c>
      <c r="O114" s="112">
        <v>108.73616666666668</v>
      </c>
      <c r="P114" s="112">
        <v>108.86666675000001</v>
      </c>
      <c r="Q114" s="112">
        <v>108.04166666666666</v>
      </c>
      <c r="R114" s="112">
        <v>226.63333325000002</v>
      </c>
      <c r="S114" s="113">
        <v>105.40975</v>
      </c>
      <c r="T114" s="113">
        <v>108.08166666666664</v>
      </c>
      <c r="U114" s="112">
        <v>83.871396749999988</v>
      </c>
      <c r="V114" s="71">
        <v>88.524999999999991</v>
      </c>
      <c r="W114" s="36"/>
      <c r="X114" s="36"/>
    </row>
    <row r="115" spans="1:24" s="28" customFormat="1" x14ac:dyDescent="0.25">
      <c r="A115" s="2"/>
      <c r="B115" s="8">
        <v>2021</v>
      </c>
      <c r="C115" s="112">
        <v>4.0452569031158125</v>
      </c>
      <c r="D115" s="112">
        <v>4.1901578037793819</v>
      </c>
      <c r="E115" s="112">
        <v>2.5882219500718229</v>
      </c>
      <c r="F115" s="112">
        <v>2.5183711707605694</v>
      </c>
      <c r="G115" s="112">
        <v>1.650597763208661</v>
      </c>
      <c r="H115" s="112">
        <v>-2.2576849912699259</v>
      </c>
      <c r="I115" s="88">
        <v>1.6839840084368944</v>
      </c>
      <c r="J115" s="88">
        <v>1.3276226310351857</v>
      </c>
      <c r="K115" s="112">
        <v>2.7120172229634809</v>
      </c>
      <c r="L115" s="71">
        <v>0.50833097994917864</v>
      </c>
      <c r="M115" s="112">
        <v>305</v>
      </c>
      <c r="N115" s="112">
        <v>306.4666666666667</v>
      </c>
      <c r="O115" s="112">
        <v>111.55050000000001</v>
      </c>
      <c r="P115" s="112">
        <v>111.6083335</v>
      </c>
      <c r="Q115" s="112">
        <v>109.825</v>
      </c>
      <c r="R115" s="112">
        <v>221.51666650000001</v>
      </c>
      <c r="S115" s="113">
        <v>107.18483333333333</v>
      </c>
      <c r="T115" s="113">
        <v>109.51658333333332</v>
      </c>
      <c r="U115" s="112">
        <v>86.146003475000015</v>
      </c>
      <c r="V115" s="71">
        <v>88.974999999999994</v>
      </c>
      <c r="W115" s="36"/>
      <c r="X115" s="36"/>
    </row>
    <row r="116" spans="1:24" s="28" customFormat="1" x14ac:dyDescent="0.25">
      <c r="A116" s="2"/>
      <c r="B116" s="8">
        <v>2022</v>
      </c>
      <c r="C116" s="112">
        <v>11.584699426229506</v>
      </c>
      <c r="D116" s="112">
        <v>11.504785729823785</v>
      </c>
      <c r="E116" s="112">
        <v>9.0667455547039033</v>
      </c>
      <c r="F116" s="112">
        <v>7.9220486703172499</v>
      </c>
      <c r="G116" s="112">
        <v>3.2172395477653604</v>
      </c>
      <c r="H116" s="112">
        <v>14.622676935236356</v>
      </c>
      <c r="I116" s="88">
        <v>3.4697850597643622</v>
      </c>
      <c r="J116" s="88">
        <v>3.0522013789388236</v>
      </c>
      <c r="K116" s="112">
        <v>8.5408871023659358</v>
      </c>
      <c r="L116" s="71">
        <v>5.6476538353470218</v>
      </c>
      <c r="M116" s="112">
        <v>340.33333325000001</v>
      </c>
      <c r="N116" s="112">
        <v>341.72499999999997</v>
      </c>
      <c r="O116" s="112">
        <v>121.6645</v>
      </c>
      <c r="P116" s="112">
        <v>120.45</v>
      </c>
      <c r="Q116" s="112">
        <v>113.35833333333332</v>
      </c>
      <c r="R116" s="112">
        <v>253.90833299999997</v>
      </c>
      <c r="S116" s="113">
        <v>110.90391666666667</v>
      </c>
      <c r="T116" s="113">
        <v>112.85925</v>
      </c>
      <c r="U116" s="112">
        <v>93.503636374999999</v>
      </c>
      <c r="V116" s="71">
        <v>94</v>
      </c>
      <c r="W116" s="36"/>
      <c r="X116" s="36"/>
    </row>
    <row r="117" spans="1:24" s="28" customFormat="1" x14ac:dyDescent="0.25">
      <c r="A117" s="2"/>
      <c r="B117" s="8">
        <v>2023</v>
      </c>
      <c r="C117" s="112">
        <v>9.6914789201007601</v>
      </c>
      <c r="D117" s="112">
        <v>8.5936547418733475</v>
      </c>
      <c r="E117" s="112">
        <v>7.3032807433557112</v>
      </c>
      <c r="F117" s="112">
        <v>6.7939669987546525</v>
      </c>
      <c r="G117" s="112">
        <v>4.5431154892303205</v>
      </c>
      <c r="H117" s="112">
        <v>52.236699730528358</v>
      </c>
      <c r="I117" s="88">
        <v>5.7530279588863493</v>
      </c>
      <c r="J117" s="88">
        <v>5.2799541611934231</v>
      </c>
      <c r="K117" s="112">
        <v>6.9518859928938248</v>
      </c>
      <c r="L117" s="71">
        <v>6.3563829787234072</v>
      </c>
      <c r="M117" s="112">
        <v>373.31666650000005</v>
      </c>
      <c r="N117" s="112">
        <v>371.09166666666664</v>
      </c>
      <c r="O117" s="112">
        <v>130.55000000000001</v>
      </c>
      <c r="P117" s="112">
        <v>128.63333324999999</v>
      </c>
      <c r="Q117" s="112">
        <v>118.50833333333333</v>
      </c>
      <c r="R117" s="112">
        <v>386.54166650000002</v>
      </c>
      <c r="S117" s="113">
        <v>117.28425000000001</v>
      </c>
      <c r="T117" s="113">
        <v>118.81816666666668</v>
      </c>
      <c r="U117" s="112">
        <v>100.003902575</v>
      </c>
      <c r="V117" s="71">
        <v>99.974999999999994</v>
      </c>
      <c r="W117" s="36"/>
      <c r="X117" s="36"/>
    </row>
    <row r="118" spans="1:24" s="28" customFormat="1" x14ac:dyDescent="0.25">
      <c r="A118" s="2"/>
      <c r="B118" s="8">
        <v>2024</v>
      </c>
      <c r="C118" s="112">
        <v>3.5849815186325129</v>
      </c>
      <c r="D118" s="112">
        <v>2.7576295165165909</v>
      </c>
      <c r="E118" s="112">
        <v>2.5301927741606001</v>
      </c>
      <c r="F118" s="112">
        <v>3.2715730780458641</v>
      </c>
      <c r="G118" s="112">
        <v>6.8560579424794321</v>
      </c>
      <c r="H118" s="112">
        <v>27.297617797692197</v>
      </c>
      <c r="I118" s="88">
        <v>7.1623001383391198</v>
      </c>
      <c r="J118" s="88">
        <v>7.6886390829685292</v>
      </c>
      <c r="K118" s="112">
        <v>2.9994343698241499</v>
      </c>
      <c r="L118" s="71">
        <v>3.9759939984996162</v>
      </c>
      <c r="M118" s="112">
        <v>386.70000000000005</v>
      </c>
      <c r="N118" s="112">
        <v>381.32499999999999</v>
      </c>
      <c r="O118" s="112">
        <v>133.85316666666668</v>
      </c>
      <c r="P118" s="112">
        <v>132.84166675</v>
      </c>
      <c r="Q118" s="112">
        <v>126.63333333333333</v>
      </c>
      <c r="R118" s="112">
        <v>492.05833325000003</v>
      </c>
      <c r="S118" s="113">
        <v>125.68450000000001</v>
      </c>
      <c r="T118" s="113">
        <v>127.95366666666669</v>
      </c>
      <c r="U118" s="112">
        <v>103.003454</v>
      </c>
      <c r="V118" s="71">
        <v>103.94999999999999</v>
      </c>
      <c r="W118" s="36"/>
      <c r="X118" s="36"/>
    </row>
    <row r="119" spans="1:24" s="28" customFormat="1" x14ac:dyDescent="0.25">
      <c r="A119" s="2"/>
      <c r="B119" s="8">
        <v>2025</v>
      </c>
      <c r="C119" s="112">
        <v>4.1311094517713753</v>
      </c>
      <c r="D119" s="112">
        <v>3.9205402215957585</v>
      </c>
      <c r="E119" s="112">
        <v>3.3730368724933735</v>
      </c>
      <c r="F119" s="112">
        <v>3.8830687510927442</v>
      </c>
      <c r="G119" s="112">
        <v>6.0015793629902836</v>
      </c>
      <c r="H119" s="112">
        <v>9.5195352531914459</v>
      </c>
      <c r="I119" s="88">
        <v>5.419920515258454</v>
      </c>
      <c r="J119" s="88">
        <v>6.2537611270746085</v>
      </c>
      <c r="K119" s="112">
        <v>3.4518526922407755</v>
      </c>
      <c r="L119" s="71">
        <v>3.5594035594035844</v>
      </c>
      <c r="M119" s="112">
        <v>402.67500024999998</v>
      </c>
      <c r="N119" s="112">
        <v>396.27499999999998</v>
      </c>
      <c r="O119" s="112">
        <v>138.36808333333335</v>
      </c>
      <c r="P119" s="112">
        <v>138</v>
      </c>
      <c r="Q119" s="112">
        <v>134.23333333333335</v>
      </c>
      <c r="R119" s="112">
        <v>538.89999975000001</v>
      </c>
      <c r="S119" s="113">
        <v>132.49650000000003</v>
      </c>
      <c r="T119" s="113">
        <v>135.95558333333332</v>
      </c>
      <c r="U119" s="112">
        <v>106.5589815</v>
      </c>
      <c r="V119" s="71">
        <v>107.65</v>
      </c>
      <c r="W119" s="36"/>
      <c r="X119" s="36"/>
    </row>
    <row r="120" spans="1:24" s="28" customFormat="1" x14ac:dyDescent="0.25">
      <c r="A120" s="2"/>
      <c r="B120" s="8">
        <v>2026</v>
      </c>
      <c r="C120" s="112">
        <v>3.5860252662904157</v>
      </c>
      <c r="D120" s="112">
        <v>3.4656582949321724</v>
      </c>
      <c r="E120" s="112">
        <v>3.1127927115832454</v>
      </c>
      <c r="F120" s="112">
        <v>3.2351400362318872</v>
      </c>
      <c r="G120" s="112">
        <v>3.4923002007784865</v>
      </c>
      <c r="H120" s="112">
        <v>6.2298134654990456</v>
      </c>
      <c r="I120" s="88">
        <v>3.648094350628611</v>
      </c>
      <c r="J120" s="88">
        <v>3.4132106344146651</v>
      </c>
      <c r="K120" s="112">
        <v>2.8426357941493618</v>
      </c>
      <c r="L120" s="71">
        <v>2.9607158618887519</v>
      </c>
      <c r="M120" s="112">
        <v>417.1150275</v>
      </c>
      <c r="N120" s="112">
        <v>410.00853740824243</v>
      </c>
      <c r="O120" s="112">
        <v>142.67519494649076</v>
      </c>
      <c r="P120" s="112">
        <v>142.46449325</v>
      </c>
      <c r="Q120" s="112">
        <v>138.921164302845</v>
      </c>
      <c r="R120" s="112">
        <v>572.47246449999989</v>
      </c>
      <c r="S120" s="113">
        <v>137.33009733128065</v>
      </c>
      <c r="T120" s="113">
        <v>140.59603376174715</v>
      </c>
      <c r="U120" s="112">
        <v>109.58806525</v>
      </c>
      <c r="V120" s="71">
        <v>110.83721062532324</v>
      </c>
      <c r="W120" s="36"/>
      <c r="X120" s="36"/>
    </row>
    <row r="121" spans="1:24" s="28" customFormat="1" x14ac:dyDescent="0.25">
      <c r="A121" s="2"/>
      <c r="B121" s="8">
        <v>2027</v>
      </c>
      <c r="C121" s="112">
        <v>4.3199621955600787</v>
      </c>
      <c r="D121" s="112">
        <v>4.0213903696709741</v>
      </c>
      <c r="E121" s="112">
        <v>3.4212869693871939</v>
      </c>
      <c r="F121" s="112">
        <v>3.3044979437358846</v>
      </c>
      <c r="G121" s="112">
        <v>2.5974291706862163</v>
      </c>
      <c r="H121" s="112">
        <v>11.558381512339121</v>
      </c>
      <c r="I121" s="88">
        <v>3.1637389431759004</v>
      </c>
      <c r="J121" s="88">
        <v>2.6515828205072811</v>
      </c>
      <c r="K121" s="112">
        <v>3.0513532585611625</v>
      </c>
      <c r="L121" s="71">
        <v>2.1716351676928092</v>
      </c>
      <c r="M121" s="112">
        <v>435.13423899999998</v>
      </c>
      <c r="N121" s="112">
        <v>426.49658124640632</v>
      </c>
      <c r="O121" s="112">
        <v>147.55652279974282</v>
      </c>
      <c r="P121" s="112">
        <v>147.17222950000001</v>
      </c>
      <c r="Q121" s="112">
        <v>142.52954314870402</v>
      </c>
      <c r="R121" s="112">
        <v>638.64101600000004</v>
      </c>
      <c r="S121" s="113">
        <v>141.67486310125176</v>
      </c>
      <c r="T121" s="113">
        <v>144.32405403928826</v>
      </c>
      <c r="U121" s="112">
        <v>112.93198425</v>
      </c>
      <c r="V121" s="71">
        <v>113.2441904701525</v>
      </c>
      <c r="W121" s="36"/>
      <c r="X121" s="36"/>
    </row>
    <row r="122" spans="1:24" s="28" customFormat="1" x14ac:dyDescent="0.25">
      <c r="A122" s="2"/>
      <c r="B122" s="8">
        <v>2028</v>
      </c>
      <c r="C122" s="112">
        <v>3.0348928713008094</v>
      </c>
      <c r="D122" s="112">
        <v>2.8741004974870421</v>
      </c>
      <c r="E122" s="112">
        <v>2.0986006416478409</v>
      </c>
      <c r="F122" s="112">
        <v>2.1433907814789155</v>
      </c>
      <c r="G122" s="112">
        <v>1.982059477944853</v>
      </c>
      <c r="H122" s="112">
        <v>6.6764772668468808</v>
      </c>
      <c r="I122" s="88">
        <v>2.6836006076406846</v>
      </c>
      <c r="J122" s="88">
        <v>1.982059477944853</v>
      </c>
      <c r="K122" s="112">
        <v>2.1718588106717007</v>
      </c>
      <c r="L122" s="71">
        <v>1.9468033146204933</v>
      </c>
      <c r="M122" s="112">
        <v>448.34009700000001</v>
      </c>
      <c r="N122" s="112">
        <v>438.75452160977449</v>
      </c>
      <c r="O122" s="112">
        <v>150.65314493401146</v>
      </c>
      <c r="P122" s="112">
        <v>150.3267055</v>
      </c>
      <c r="Q122" s="112">
        <v>145.35456346755441</v>
      </c>
      <c r="R122" s="112">
        <v>681.27973825000004</v>
      </c>
      <c r="S122" s="113">
        <v>145.47685058831104</v>
      </c>
      <c r="T122" s="113">
        <v>147.18464263132822</v>
      </c>
      <c r="U122" s="112">
        <v>115.38470749999999</v>
      </c>
      <c r="V122" s="71">
        <v>115.44883212384057</v>
      </c>
      <c r="W122" s="36"/>
      <c r="X122" s="36"/>
    </row>
    <row r="123" spans="1:24" s="28" customFormat="1" x14ac:dyDescent="0.25">
      <c r="A123" s="2"/>
      <c r="B123" s="8">
        <v>2029</v>
      </c>
      <c r="C123" s="112">
        <v>2.9821718689595711</v>
      </c>
      <c r="D123" s="112">
        <v>2.9010405662359684</v>
      </c>
      <c r="E123" s="112">
        <v>2.104617267641351</v>
      </c>
      <c r="F123" s="112">
        <v>2.1660856859528455</v>
      </c>
      <c r="G123" s="112">
        <v>2.0846402095237471</v>
      </c>
      <c r="H123" s="112">
        <v>4.754121094691155</v>
      </c>
      <c r="I123" s="88">
        <v>2.6143849778713673</v>
      </c>
      <c r="J123" s="88">
        <v>2.0846402095237915</v>
      </c>
      <c r="K123" s="112">
        <v>2.0739591942892543</v>
      </c>
      <c r="L123" s="71">
        <v>1.9777822468721284</v>
      </c>
      <c r="M123" s="112">
        <v>461.71036925000004</v>
      </c>
      <c r="N123" s="112">
        <v>451.48296826786861</v>
      </c>
      <c r="O123" s="112">
        <v>153.82381703653741</v>
      </c>
      <c r="P123" s="112">
        <v>153.58291075</v>
      </c>
      <c r="Q123" s="112">
        <v>148.38468314397676</v>
      </c>
      <c r="R123" s="112">
        <v>713.66860199999996</v>
      </c>
      <c r="S123" s="113">
        <v>149.2801755163722</v>
      </c>
      <c r="T123" s="113">
        <v>150.25291287386477</v>
      </c>
      <c r="U123" s="112">
        <v>117.77773925</v>
      </c>
      <c r="V123" s="71">
        <v>117.73215862980709</v>
      </c>
      <c r="W123" s="36"/>
      <c r="X123" s="36"/>
    </row>
    <row r="124" spans="1:24" s="28" customFormat="1" x14ac:dyDescent="0.25">
      <c r="A124" s="2"/>
      <c r="B124" s="8">
        <v>2030</v>
      </c>
      <c r="C124" s="112">
        <v>2.2892386015001653</v>
      </c>
      <c r="D124" s="112"/>
      <c r="E124" s="112">
        <v>2.0101263737405173</v>
      </c>
      <c r="F124" s="112">
        <v>2.1393127229814457</v>
      </c>
      <c r="G124" s="112">
        <v>2.348556773415611</v>
      </c>
      <c r="H124" s="112"/>
      <c r="I124" s="88">
        <v>2.5425346861647853</v>
      </c>
      <c r="J124" s="88">
        <v>2.3485567734155888</v>
      </c>
      <c r="K124" s="112">
        <v>2.0195828304625962</v>
      </c>
      <c r="L124" s="71">
        <v>1.9587790243096537</v>
      </c>
      <c r="M124" s="112">
        <v>472.28002125</v>
      </c>
      <c r="N124" s="112"/>
      <c r="O124" s="112">
        <v>156.91587015188321</v>
      </c>
      <c r="P124" s="112">
        <v>156.86852949999999</v>
      </c>
      <c r="Q124" s="112">
        <v>151.86958167066592</v>
      </c>
      <c r="R124" s="112"/>
      <c r="S124" s="113">
        <v>153.07567575844365</v>
      </c>
      <c r="T124" s="113">
        <v>153.78168783641814</v>
      </c>
      <c r="U124" s="112">
        <v>120.15635825</v>
      </c>
      <c r="V124" s="71">
        <v>120.03827145791472</v>
      </c>
      <c r="W124" s="36"/>
      <c r="X124" s="36"/>
    </row>
    <row r="125" spans="1:24" s="28" customFormat="1" x14ac:dyDescent="0.25">
      <c r="A125" s="2"/>
      <c r="B125" s="8">
        <v>2031</v>
      </c>
      <c r="C125" s="112">
        <v>2.1763034719944896</v>
      </c>
      <c r="D125" s="112"/>
      <c r="E125" s="112">
        <v>1.9999737642532045</v>
      </c>
      <c r="F125" s="112">
        <v>2.1763034694604055</v>
      </c>
      <c r="G125" s="112">
        <v>2.5954059248145311</v>
      </c>
      <c r="H125" s="112"/>
      <c r="I125" s="88">
        <v>2.7499115265788845</v>
      </c>
      <c r="J125" s="88">
        <v>2.5954059248145533</v>
      </c>
      <c r="K125" s="112">
        <v>1.9984847535107431</v>
      </c>
      <c r="L125" s="71">
        <v>1.9398544360492709</v>
      </c>
      <c r="M125" s="112">
        <v>482.55826775000003</v>
      </c>
      <c r="N125" s="112"/>
      <c r="O125" s="112">
        <v>160.05414638687051</v>
      </c>
      <c r="P125" s="112">
        <v>160.28246475</v>
      </c>
      <c r="Q125" s="112">
        <v>155.81121379133742</v>
      </c>
      <c r="R125" s="112"/>
      <c r="S125" s="113">
        <v>157.28512141051363</v>
      </c>
      <c r="T125" s="113">
        <v>157.77294687380436</v>
      </c>
      <c r="U125" s="112">
        <v>122.55766475</v>
      </c>
      <c r="V125" s="71">
        <v>122.36683919174794</v>
      </c>
      <c r="W125" s="36"/>
      <c r="X125" s="36"/>
    </row>
    <row r="126" spans="1:24" s="28" customFormat="1" x14ac:dyDescent="0.25">
      <c r="A126" s="2"/>
      <c r="B126" s="128" t="s">
        <v>136</v>
      </c>
      <c r="C126" s="386">
        <v>2.9765471652882569</v>
      </c>
      <c r="D126" s="383">
        <v>3.9667782323044465</v>
      </c>
      <c r="E126" s="383">
        <v>3.769224768583479</v>
      </c>
      <c r="F126" s="383">
        <v>3.639256239797084</v>
      </c>
      <c r="G126" s="383">
        <v>2.5525663391791298</v>
      </c>
      <c r="H126" s="383">
        <v>-12.784321841506173</v>
      </c>
      <c r="I126" s="384">
        <v>3.2345869116985995</v>
      </c>
      <c r="J126" s="384">
        <v>1.6541499330054554</v>
      </c>
      <c r="K126" s="383">
        <v>3.7933650045324674</v>
      </c>
      <c r="L126" s="385">
        <v>3.7707948243992595</v>
      </c>
      <c r="M126" s="383">
        <v>214.78333325</v>
      </c>
      <c r="N126" s="383">
        <v>209.67500000000001</v>
      </c>
      <c r="O126" s="383">
        <v>85.356499999999997</v>
      </c>
      <c r="P126" s="383">
        <v>86.85833332499999</v>
      </c>
      <c r="Q126" s="383">
        <v>93.074999999999989</v>
      </c>
      <c r="R126" s="383">
        <v>348.60833349999996</v>
      </c>
      <c r="S126" s="386">
        <v>85.366916666666654</v>
      </c>
      <c r="T126" s="386">
        <v>94.265333333333331</v>
      </c>
      <c r="U126" s="383">
        <v>71.142687375000008</v>
      </c>
      <c r="V126" s="385">
        <v>70.174999999999997</v>
      </c>
      <c r="W126" s="36"/>
      <c r="X126" s="36"/>
    </row>
    <row r="127" spans="1:24" s="28" customFormat="1" x14ac:dyDescent="0.25">
      <c r="A127" s="2"/>
      <c r="B127" s="8" t="s">
        <v>137</v>
      </c>
      <c r="C127" s="113">
        <v>0.45782591000924633</v>
      </c>
      <c r="D127" s="112">
        <v>2.5197726640435514</v>
      </c>
      <c r="E127" s="112">
        <v>2.2387476837343101</v>
      </c>
      <c r="F127" s="112">
        <v>1.8132975152848063</v>
      </c>
      <c r="G127" s="112">
        <v>-6.2673471214946819E-2</v>
      </c>
      <c r="H127" s="112">
        <v>-37.809863056529601</v>
      </c>
      <c r="I127" s="88">
        <v>1.405111074450204</v>
      </c>
      <c r="J127" s="88">
        <v>-1.1598466739275004</v>
      </c>
      <c r="K127" s="112">
        <v>0.18685300612737432</v>
      </c>
      <c r="L127" s="71">
        <v>1.2825080156751101</v>
      </c>
      <c r="M127" s="112">
        <v>215.76666700000001</v>
      </c>
      <c r="N127" s="112">
        <v>214.95833333333331</v>
      </c>
      <c r="O127" s="112">
        <v>87.267416666666676</v>
      </c>
      <c r="P127" s="112">
        <v>88.433333325000007</v>
      </c>
      <c r="Q127" s="112">
        <v>93.01666666666668</v>
      </c>
      <c r="R127" s="112">
        <v>216.79999999999998</v>
      </c>
      <c r="S127" s="113">
        <v>86.566416666666669</v>
      </c>
      <c r="T127" s="113">
        <v>93.171999999999997</v>
      </c>
      <c r="U127" s="112">
        <v>71.27561962499999</v>
      </c>
      <c r="V127" s="71">
        <v>71.075000000000003</v>
      </c>
      <c r="W127" s="36"/>
      <c r="X127" s="36"/>
    </row>
    <row r="128" spans="1:24" s="28" customFormat="1" x14ac:dyDescent="0.25">
      <c r="A128" s="2"/>
      <c r="B128" s="8" t="s">
        <v>138</v>
      </c>
      <c r="C128" s="113">
        <v>4.9629227483965366</v>
      </c>
      <c r="D128" s="112">
        <v>4.9622019771273562</v>
      </c>
      <c r="E128" s="112">
        <v>3.5112379668241767</v>
      </c>
      <c r="F128" s="112">
        <v>2.798718460497418</v>
      </c>
      <c r="G128" s="112">
        <v>-0.34939974914890426</v>
      </c>
      <c r="H128" s="112">
        <v>4.8124230857933492</v>
      </c>
      <c r="I128" s="88">
        <v>1.5559344125945813</v>
      </c>
      <c r="J128" s="88">
        <v>0.41974341361494805</v>
      </c>
      <c r="K128" s="112">
        <v>2.020788605666235</v>
      </c>
      <c r="L128" s="71">
        <v>1.7235314808301094</v>
      </c>
      <c r="M128" s="112">
        <v>226.47500000000002</v>
      </c>
      <c r="N128" s="112">
        <v>225.625</v>
      </c>
      <c r="O128" s="112">
        <v>90.331583333333327</v>
      </c>
      <c r="P128" s="112">
        <v>90.908333349999992</v>
      </c>
      <c r="Q128" s="112">
        <v>92.691666666666677</v>
      </c>
      <c r="R128" s="112">
        <v>227.23333324999999</v>
      </c>
      <c r="S128" s="113">
        <v>87.913333333333341</v>
      </c>
      <c r="T128" s="113">
        <v>93.56308333333331</v>
      </c>
      <c r="U128" s="112">
        <v>72.715949225000003</v>
      </c>
      <c r="V128" s="71">
        <v>72.3</v>
      </c>
      <c r="W128" s="36"/>
      <c r="X128" s="36"/>
    </row>
    <row r="129" spans="1:24" s="28" customFormat="1" x14ac:dyDescent="0.25">
      <c r="A129" s="2"/>
      <c r="B129" s="8" t="s">
        <v>139</v>
      </c>
      <c r="C129" s="113">
        <v>4.798174853736592</v>
      </c>
      <c r="D129" s="112">
        <v>4.9012003693444051</v>
      </c>
      <c r="E129" s="112">
        <v>4.3005445677453125</v>
      </c>
      <c r="F129" s="112">
        <v>3.7400311387405072</v>
      </c>
      <c r="G129" s="112">
        <v>1.6722107345140458</v>
      </c>
      <c r="H129" s="112">
        <v>2.1197007855800587</v>
      </c>
      <c r="I129" s="88">
        <v>2.7878782133919628</v>
      </c>
      <c r="J129" s="88">
        <v>1.3770566560707298</v>
      </c>
      <c r="K129" s="112">
        <v>3.3759709199477905</v>
      </c>
      <c r="L129" s="71">
        <v>2.1438450899031736</v>
      </c>
      <c r="M129" s="112">
        <v>237.34166649999997</v>
      </c>
      <c r="N129" s="112">
        <v>236.68333333333334</v>
      </c>
      <c r="O129" s="112">
        <v>94.216333333333324</v>
      </c>
      <c r="P129" s="112">
        <v>94.308333325000007</v>
      </c>
      <c r="Q129" s="112">
        <v>94.24166666666666</v>
      </c>
      <c r="R129" s="112">
        <v>232.04999999999998</v>
      </c>
      <c r="S129" s="113">
        <v>90.364249999999998</v>
      </c>
      <c r="T129" s="113">
        <v>94.851499999999973</v>
      </c>
      <c r="U129" s="112">
        <v>75.170818525000001</v>
      </c>
      <c r="V129" s="71">
        <v>73.849999999999994</v>
      </c>
      <c r="W129" s="36"/>
      <c r="X129" s="36"/>
    </row>
    <row r="130" spans="1:24" s="28" customFormat="1" x14ac:dyDescent="0.25">
      <c r="A130" s="2"/>
      <c r="B130" s="8" t="s">
        <v>140</v>
      </c>
      <c r="C130" s="113">
        <v>3.0897792234049426</v>
      </c>
      <c r="D130" s="112">
        <v>3.0737272023096951</v>
      </c>
      <c r="E130" s="112">
        <v>2.6538215242226437</v>
      </c>
      <c r="F130" s="112">
        <v>2.4123000797395155</v>
      </c>
      <c r="G130" s="112">
        <v>1.5916526660182395</v>
      </c>
      <c r="H130" s="112">
        <v>3.2320620555914781</v>
      </c>
      <c r="I130" s="88">
        <v>3.398191209466134</v>
      </c>
      <c r="J130" s="88">
        <v>1.3520257103648348</v>
      </c>
      <c r="K130" s="112">
        <v>1.5753671747051001</v>
      </c>
      <c r="L130" s="71">
        <v>1.6926201760324888</v>
      </c>
      <c r="M130" s="112">
        <v>244.67500000000001</v>
      </c>
      <c r="N130" s="112">
        <v>243.95833333333334</v>
      </c>
      <c r="O130" s="112">
        <v>96.716666666666669</v>
      </c>
      <c r="P130" s="112">
        <v>96.583333324999998</v>
      </c>
      <c r="Q130" s="112">
        <v>95.741666666666674</v>
      </c>
      <c r="R130" s="112">
        <v>239.54999999999998</v>
      </c>
      <c r="S130" s="113">
        <v>93.435000000000002</v>
      </c>
      <c r="T130" s="113">
        <v>96.133916666666678</v>
      </c>
      <c r="U130" s="112">
        <v>76.355034924999998</v>
      </c>
      <c r="V130" s="71">
        <v>75.099999999999994</v>
      </c>
      <c r="W130" s="36"/>
      <c r="X130" s="36"/>
    </row>
    <row r="131" spans="1:24" s="28" customFormat="1" x14ac:dyDescent="0.25">
      <c r="A131" s="2"/>
      <c r="B131" s="8" t="s">
        <v>141</v>
      </c>
      <c r="C131" s="113">
        <v>2.8847791968938497</v>
      </c>
      <c r="D131" s="112">
        <v>2.9137489325362864</v>
      </c>
      <c r="E131" s="112">
        <v>2.3043253489574145</v>
      </c>
      <c r="F131" s="112">
        <v>2.088006911310436</v>
      </c>
      <c r="G131" s="112">
        <v>1.3752284794150693</v>
      </c>
      <c r="H131" s="112">
        <v>1.798511166771033</v>
      </c>
      <c r="I131" s="88">
        <v>2.1783414494925211</v>
      </c>
      <c r="J131" s="88">
        <v>1.1748368378485585</v>
      </c>
      <c r="K131" s="112">
        <v>2.1481425247347641</v>
      </c>
      <c r="L131" s="71">
        <v>2.0639147802929303</v>
      </c>
      <c r="M131" s="112">
        <v>251.73333350000001</v>
      </c>
      <c r="N131" s="112">
        <v>251.06666666666666</v>
      </c>
      <c r="O131" s="112">
        <v>98.945333333333323</v>
      </c>
      <c r="P131" s="112">
        <v>98.6</v>
      </c>
      <c r="Q131" s="112">
        <v>97.058333333333323</v>
      </c>
      <c r="R131" s="112">
        <v>243.85833350000001</v>
      </c>
      <c r="S131" s="113">
        <v>95.470333333333329</v>
      </c>
      <c r="T131" s="113">
        <v>97.263333333333321</v>
      </c>
      <c r="U131" s="112">
        <v>77.995249900000005</v>
      </c>
      <c r="V131" s="71">
        <v>76.649999999999991</v>
      </c>
      <c r="W131" s="36"/>
      <c r="X131" s="36"/>
    </row>
    <row r="132" spans="1:24" s="28" customFormat="1" x14ac:dyDescent="0.25">
      <c r="A132" s="2"/>
      <c r="B132" s="8" t="s">
        <v>142</v>
      </c>
      <c r="C132" s="113">
        <v>1.9597457283105468</v>
      </c>
      <c r="D132" s="112">
        <v>2.0280138077535703</v>
      </c>
      <c r="E132" s="112">
        <v>1.0507485614952516</v>
      </c>
      <c r="F132" s="112">
        <v>1.1409736308316543</v>
      </c>
      <c r="G132" s="112">
        <v>1.6141495664119709</v>
      </c>
      <c r="H132" s="112">
        <v>-5.1259371868062065E-2</v>
      </c>
      <c r="I132" s="88">
        <v>2.5326366654911965</v>
      </c>
      <c r="J132" s="88">
        <v>1.1559683333904669</v>
      </c>
      <c r="K132" s="112">
        <v>0.69474304614030036</v>
      </c>
      <c r="L132" s="71">
        <v>1.4350945857795283</v>
      </c>
      <c r="M132" s="112">
        <v>256.66666674999999</v>
      </c>
      <c r="N132" s="112">
        <v>256.1583333333333</v>
      </c>
      <c r="O132" s="112">
        <v>99.985000000000014</v>
      </c>
      <c r="P132" s="112">
        <v>99.725000000000009</v>
      </c>
      <c r="Q132" s="112">
        <v>98.625</v>
      </c>
      <c r="R132" s="112">
        <v>243.73333324999999</v>
      </c>
      <c r="S132" s="113">
        <v>97.888249999999999</v>
      </c>
      <c r="T132" s="113">
        <v>98.387666666666661</v>
      </c>
      <c r="U132" s="112">
        <v>78.537116475000005</v>
      </c>
      <c r="V132" s="71">
        <v>77.75</v>
      </c>
      <c r="W132" s="36"/>
      <c r="X132" s="36"/>
    </row>
    <row r="133" spans="1:24" s="28" customFormat="1" x14ac:dyDescent="0.25">
      <c r="A133" s="2"/>
      <c r="B133" s="8" t="s">
        <v>143</v>
      </c>
      <c r="C133" s="113">
        <v>1.0779221100396086</v>
      </c>
      <c r="D133" s="112">
        <v>1.1386186928657338</v>
      </c>
      <c r="E133" s="112">
        <v>0.10134853561365453</v>
      </c>
      <c r="F133" s="112">
        <v>0.44288443218849505</v>
      </c>
      <c r="G133" s="112">
        <v>1.9011406844106515</v>
      </c>
      <c r="H133" s="112">
        <v>-0.93681615869009027</v>
      </c>
      <c r="I133" s="88">
        <v>2.8951380783699818</v>
      </c>
      <c r="J133" s="88">
        <v>2.282128857614274</v>
      </c>
      <c r="K133" s="112">
        <v>-3.1500615391044651E-2</v>
      </c>
      <c r="L133" s="71">
        <v>0.67524115755626113</v>
      </c>
      <c r="M133" s="112">
        <v>259.43333349999995</v>
      </c>
      <c r="N133" s="112">
        <v>259.07499999999993</v>
      </c>
      <c r="O133" s="112">
        <v>100.08633333333333</v>
      </c>
      <c r="P133" s="112">
        <v>100.16666649999999</v>
      </c>
      <c r="Q133" s="112">
        <v>100.5</v>
      </c>
      <c r="R133" s="112">
        <v>241.45000000000002</v>
      </c>
      <c r="S133" s="113">
        <v>100.72225</v>
      </c>
      <c r="T133" s="113">
        <v>100.63300000000001</v>
      </c>
      <c r="U133" s="112">
        <v>78.512376799999998</v>
      </c>
      <c r="V133" s="71">
        <v>78.274999999999991</v>
      </c>
      <c r="W133" s="36"/>
      <c r="X133" s="36"/>
    </row>
    <row r="134" spans="1:24" s="28" customFormat="1" x14ac:dyDescent="0.25">
      <c r="A134" s="2"/>
      <c r="B134" s="8" t="s">
        <v>144</v>
      </c>
      <c r="C134" s="113">
        <v>2.1424899125385588</v>
      </c>
      <c r="D134" s="112">
        <v>2.3191482517932682</v>
      </c>
      <c r="E134" s="112">
        <v>1.1074605590506881</v>
      </c>
      <c r="F134" s="112">
        <v>1.3727123982907097</v>
      </c>
      <c r="G134" s="112">
        <v>2.4792703150912088</v>
      </c>
      <c r="H134" s="112">
        <v>-4.2244770138745169</v>
      </c>
      <c r="I134" s="88">
        <v>1.33113587117046</v>
      </c>
      <c r="J134" s="88">
        <v>2.3096300418351978</v>
      </c>
      <c r="K134" s="112">
        <v>1.5074151340684017</v>
      </c>
      <c r="L134" s="71">
        <v>1.9801980198020042</v>
      </c>
      <c r="M134" s="112">
        <v>264.99166649999995</v>
      </c>
      <c r="N134" s="112">
        <v>265.08333333333331</v>
      </c>
      <c r="O134" s="112">
        <v>101.19475</v>
      </c>
      <c r="P134" s="112">
        <v>101.54166675</v>
      </c>
      <c r="Q134" s="112">
        <v>102.99166666666667</v>
      </c>
      <c r="R134" s="112">
        <v>231.25000025</v>
      </c>
      <c r="S134" s="113">
        <v>102.063</v>
      </c>
      <c r="T134" s="113">
        <v>102.95725000000002</v>
      </c>
      <c r="U134" s="112">
        <v>79.695884250000006</v>
      </c>
      <c r="V134" s="71">
        <v>79.825000000000003</v>
      </c>
      <c r="W134" s="36"/>
      <c r="X134" s="36"/>
    </row>
    <row r="135" spans="1:24" s="28" customFormat="1" x14ac:dyDescent="0.25">
      <c r="A135" s="2"/>
      <c r="B135" s="8" t="s">
        <v>145</v>
      </c>
      <c r="C135" s="113">
        <v>3.742256079588846</v>
      </c>
      <c r="D135" s="112">
        <v>3.9075762338887099</v>
      </c>
      <c r="E135" s="112">
        <v>2.824915982960241</v>
      </c>
      <c r="F135" s="112">
        <v>2.6343862924625538</v>
      </c>
      <c r="G135" s="112">
        <v>1.6425277125980964</v>
      </c>
      <c r="H135" s="112">
        <v>-2.2882883218504957</v>
      </c>
      <c r="I135" s="88">
        <v>0.72634875844657643</v>
      </c>
      <c r="J135" s="88">
        <v>1.4718082828875767</v>
      </c>
      <c r="K135" s="112">
        <v>1.821602506405462</v>
      </c>
      <c r="L135" s="71">
        <v>1.3153773880363318</v>
      </c>
      <c r="M135" s="112">
        <v>274.90833325</v>
      </c>
      <c r="N135" s="112">
        <v>275.44166666666666</v>
      </c>
      <c r="O135" s="112">
        <v>104.05341666666666</v>
      </c>
      <c r="P135" s="112">
        <v>104.2166665</v>
      </c>
      <c r="Q135" s="112">
        <v>104.68333333333334</v>
      </c>
      <c r="R135" s="112">
        <v>225.95833350000001</v>
      </c>
      <c r="S135" s="113">
        <v>102.80433333333333</v>
      </c>
      <c r="T135" s="113">
        <v>104.47258333333329</v>
      </c>
      <c r="U135" s="112">
        <v>81.147626474999996</v>
      </c>
      <c r="V135" s="71">
        <v>80.875</v>
      </c>
      <c r="W135" s="36"/>
      <c r="X135" s="36"/>
    </row>
    <row r="136" spans="1:24" s="28" customFormat="1" x14ac:dyDescent="0.25">
      <c r="A136" s="2"/>
      <c r="B136" s="8" t="s">
        <v>146</v>
      </c>
      <c r="C136" s="113">
        <v>3.0555639767970044</v>
      </c>
      <c r="D136" s="112">
        <v>3.0314948718724644</v>
      </c>
      <c r="E136" s="112">
        <v>2.2675853187585693</v>
      </c>
      <c r="F136" s="112">
        <v>2.1269791334191268</v>
      </c>
      <c r="G136" s="112">
        <v>1.1383537653240072</v>
      </c>
      <c r="H136" s="112">
        <v>4.0973630432621366</v>
      </c>
      <c r="I136" s="88">
        <v>0.54375139828735541</v>
      </c>
      <c r="J136" s="88">
        <v>1.0092759583655297</v>
      </c>
      <c r="K136" s="112">
        <v>1.8311465344680089</v>
      </c>
      <c r="L136" s="71">
        <v>2.2256568778979968</v>
      </c>
      <c r="M136" s="112">
        <v>283.30833325000003</v>
      </c>
      <c r="N136" s="112">
        <v>283.79166666666669</v>
      </c>
      <c r="O136" s="112">
        <v>106.41291666666667</v>
      </c>
      <c r="P136" s="112">
        <v>106.43333325</v>
      </c>
      <c r="Q136" s="112">
        <v>105.87500000000001</v>
      </c>
      <c r="R136" s="112">
        <v>235.21666675</v>
      </c>
      <c r="S136" s="113">
        <v>103.36333333333333</v>
      </c>
      <c r="T136" s="113">
        <v>105.52700000000002</v>
      </c>
      <c r="U136" s="112">
        <v>82.633558425000004</v>
      </c>
      <c r="V136" s="71">
        <v>82.674999999999997</v>
      </c>
      <c r="W136" s="36"/>
      <c r="X136" s="36"/>
    </row>
    <row r="137" spans="1:24" s="28" customFormat="1" x14ac:dyDescent="0.25">
      <c r="A137" s="2"/>
      <c r="B137" s="8" t="s">
        <v>147</v>
      </c>
      <c r="C137" s="113">
        <v>2.5884636593194843</v>
      </c>
      <c r="D137" s="112">
        <v>2.6016737630303988</v>
      </c>
      <c r="E137" s="112">
        <v>1.7392938670509173</v>
      </c>
      <c r="F137" s="112">
        <v>1.6990290492475912</v>
      </c>
      <c r="G137" s="112">
        <v>1.1806375442738881</v>
      </c>
      <c r="H137" s="112">
        <v>1.8422730454749958</v>
      </c>
      <c r="I137" s="88">
        <v>0.75518397884486888</v>
      </c>
      <c r="J137" s="88">
        <v>1.3313338450506862</v>
      </c>
      <c r="K137" s="112">
        <v>1.2804628896144532</v>
      </c>
      <c r="L137" s="71">
        <v>2.6912609615965977</v>
      </c>
      <c r="M137" s="112">
        <v>290.64166650000004</v>
      </c>
      <c r="N137" s="112">
        <v>291.17500000000001</v>
      </c>
      <c r="O137" s="112">
        <v>108.26375</v>
      </c>
      <c r="P137" s="112">
        <v>108.24166650000001</v>
      </c>
      <c r="Q137" s="112">
        <v>107.12499999999999</v>
      </c>
      <c r="R137" s="112">
        <v>239.55</v>
      </c>
      <c r="S137" s="113">
        <v>104.14391666666667</v>
      </c>
      <c r="T137" s="113">
        <v>106.93191666666665</v>
      </c>
      <c r="U137" s="112">
        <v>83.691650475000003</v>
      </c>
      <c r="V137" s="71">
        <v>84.899999999999991</v>
      </c>
      <c r="W137" s="36"/>
      <c r="X137" s="36"/>
    </row>
    <row r="138" spans="1:24" s="28" customFormat="1" x14ac:dyDescent="0.25">
      <c r="A138" s="2"/>
      <c r="B138" s="8" t="s">
        <v>148</v>
      </c>
      <c r="C138" s="113">
        <v>1.2128336733163936</v>
      </c>
      <c r="D138" s="112">
        <v>1.4195357889012827</v>
      </c>
      <c r="E138" s="112">
        <v>0.5890706723164385</v>
      </c>
      <c r="F138" s="112">
        <v>0.80067780552879331</v>
      </c>
      <c r="G138" s="112">
        <v>1.1901983663944016</v>
      </c>
      <c r="H138" s="112">
        <v>-7.1731719891463319</v>
      </c>
      <c r="I138" s="88">
        <v>1.671645087287061</v>
      </c>
      <c r="J138" s="88">
        <v>1.3884223840247234</v>
      </c>
      <c r="K138" s="112">
        <v>0.58865200077176105</v>
      </c>
      <c r="L138" s="71">
        <v>5.2120141342756332</v>
      </c>
      <c r="M138" s="112">
        <v>294.16666649999996</v>
      </c>
      <c r="N138" s="112">
        <v>295.30833333333334</v>
      </c>
      <c r="O138" s="112">
        <v>108.9015</v>
      </c>
      <c r="P138" s="112">
        <v>109.10833350000001</v>
      </c>
      <c r="Q138" s="112">
        <v>108.39999999999999</v>
      </c>
      <c r="R138" s="112">
        <v>222.36666649999998</v>
      </c>
      <c r="S138" s="113">
        <v>105.88483333333333</v>
      </c>
      <c r="T138" s="113">
        <v>108.41658333333331</v>
      </c>
      <c r="U138" s="112">
        <v>84.184303049999997</v>
      </c>
      <c r="V138" s="71">
        <v>89.325000000000003</v>
      </c>
      <c r="W138" s="36"/>
      <c r="X138" s="36"/>
    </row>
    <row r="139" spans="1:24" s="28" customFormat="1" x14ac:dyDescent="0.25">
      <c r="A139" s="2"/>
      <c r="B139" s="8" t="s">
        <v>149</v>
      </c>
      <c r="C139" s="113">
        <v>5.7762040825927619</v>
      </c>
      <c r="D139" s="112">
        <v>5.9118999915342751</v>
      </c>
      <c r="E139" s="112">
        <v>3.9909153378664852</v>
      </c>
      <c r="F139" s="112">
        <v>3.6737186990396076</v>
      </c>
      <c r="G139" s="112">
        <v>1.9526445264452796</v>
      </c>
      <c r="H139" s="112">
        <v>0.26982461420315129</v>
      </c>
      <c r="I139" s="88">
        <v>1.817934265058426</v>
      </c>
      <c r="J139" s="88">
        <v>1.5590327125539982</v>
      </c>
      <c r="K139" s="112">
        <v>3.8480271946612188</v>
      </c>
      <c r="L139" s="71">
        <v>0.25188916876572875</v>
      </c>
      <c r="M139" s="112">
        <v>311.15833349999997</v>
      </c>
      <c r="N139" s="112">
        <v>312.76666666666665</v>
      </c>
      <c r="O139" s="112">
        <v>113.24766666666667</v>
      </c>
      <c r="P139" s="112">
        <v>113.11666675000001</v>
      </c>
      <c r="Q139" s="112">
        <v>110.51666666666667</v>
      </c>
      <c r="R139" s="112">
        <v>222.9666665</v>
      </c>
      <c r="S139" s="113">
        <v>107.80975000000001</v>
      </c>
      <c r="T139" s="113">
        <v>110.10683333333333</v>
      </c>
      <c r="U139" s="112">
        <v>87.423737925000012</v>
      </c>
      <c r="V139" s="71">
        <v>89.55</v>
      </c>
      <c r="W139" s="36"/>
      <c r="X139" s="36"/>
    </row>
    <row r="140" spans="1:24" s="28" customFormat="1" x14ac:dyDescent="0.25">
      <c r="A140" s="2"/>
      <c r="B140" s="8" t="s">
        <v>150</v>
      </c>
      <c r="C140" s="113">
        <v>12.873938663127603</v>
      </c>
      <c r="D140" s="112">
        <v>12.53064052008952</v>
      </c>
      <c r="E140" s="112">
        <v>10.036409874522789</v>
      </c>
      <c r="F140" s="112">
        <v>8.7741270010504469</v>
      </c>
      <c r="G140" s="112">
        <v>3.566581209470665</v>
      </c>
      <c r="H140" s="112">
        <v>26.296905349302513</v>
      </c>
      <c r="I140" s="88">
        <v>4.0575334481961676</v>
      </c>
      <c r="J140" s="88">
        <v>3.635635693213124</v>
      </c>
      <c r="K140" s="112">
        <v>9.5304834507852441</v>
      </c>
      <c r="L140" s="71">
        <v>6.9793411501954283</v>
      </c>
      <c r="M140" s="112">
        <v>351.21666649999997</v>
      </c>
      <c r="N140" s="112">
        <v>351.95833333333331</v>
      </c>
      <c r="O140" s="112">
        <v>124.61366666666667</v>
      </c>
      <c r="P140" s="112">
        <v>123.04166675</v>
      </c>
      <c r="Q140" s="112">
        <v>114.45833333333333</v>
      </c>
      <c r="R140" s="112">
        <v>281.59999974999999</v>
      </c>
      <c r="S140" s="113">
        <v>112.18416666666667</v>
      </c>
      <c r="T140" s="113">
        <v>114.10991666666668</v>
      </c>
      <c r="U140" s="112">
        <v>95.755642800000004</v>
      </c>
      <c r="V140" s="71">
        <v>95.8</v>
      </c>
      <c r="W140" s="36"/>
      <c r="X140" s="36"/>
    </row>
    <row r="141" spans="1:24" s="28" customFormat="1" x14ac:dyDescent="0.25">
      <c r="A141" s="2"/>
      <c r="B141" s="8" t="s">
        <v>151</v>
      </c>
      <c r="C141" s="113">
        <v>7.4787643228200862</v>
      </c>
      <c r="D141" s="112">
        <v>6.3501834970995708</v>
      </c>
      <c r="E141" s="112">
        <v>5.6703919580784135</v>
      </c>
      <c r="F141" s="112">
        <v>5.546901249206293</v>
      </c>
      <c r="G141" s="112">
        <v>5.0309428467419037</v>
      </c>
      <c r="H141" s="112">
        <v>48.487807837791031</v>
      </c>
      <c r="I141" s="88">
        <v>6.2927775012813925</v>
      </c>
      <c r="J141" s="88">
        <v>5.8391799135190325</v>
      </c>
      <c r="K141" s="112">
        <v>5.2707503990563787</v>
      </c>
      <c r="L141" s="71">
        <v>5.2974947807933326</v>
      </c>
      <c r="M141" s="112">
        <v>377.48333324999999</v>
      </c>
      <c r="N141" s="112">
        <v>374.30833333333334</v>
      </c>
      <c r="O141" s="112">
        <v>131.67974999999998</v>
      </c>
      <c r="P141" s="112">
        <v>129.86666650000001</v>
      </c>
      <c r="Q141" s="112">
        <v>120.21666666666665</v>
      </c>
      <c r="R141" s="112">
        <v>418.14166649999999</v>
      </c>
      <c r="S141" s="113">
        <v>119.24366666666668</v>
      </c>
      <c r="T141" s="113">
        <v>120.773</v>
      </c>
      <c r="U141" s="112">
        <v>100.80268372499999</v>
      </c>
      <c r="V141" s="71">
        <v>100.875</v>
      </c>
      <c r="W141" s="36"/>
      <c r="X141" s="36"/>
    </row>
    <row r="142" spans="1:24" s="28" customFormat="1" x14ac:dyDescent="0.25">
      <c r="A142" s="2"/>
      <c r="B142" s="8" t="s">
        <v>152</v>
      </c>
      <c r="C142" s="113">
        <v>3.3025740878852572</v>
      </c>
      <c r="D142" s="112">
        <v>2.6292940312131252</v>
      </c>
      <c r="E142" s="112">
        <v>2.3545128743536425</v>
      </c>
      <c r="F142" s="112">
        <v>3.2148359255837144</v>
      </c>
      <c r="G142" s="112">
        <v>7.2715929571606663</v>
      </c>
      <c r="H142" s="112">
        <v>21.553699910936743</v>
      </c>
      <c r="I142" s="88">
        <v>7.3114994227506003</v>
      </c>
      <c r="J142" s="88">
        <v>8.0307684664619128</v>
      </c>
      <c r="K142" s="112">
        <v>2.973377954079881</v>
      </c>
      <c r="L142" s="71">
        <v>4.0892193308550207</v>
      </c>
      <c r="M142" s="112">
        <v>389.95000000000005</v>
      </c>
      <c r="N142" s="112">
        <v>384.15</v>
      </c>
      <c r="O142" s="112">
        <v>134.78016666666667</v>
      </c>
      <c r="P142" s="112">
        <v>134.04166674999999</v>
      </c>
      <c r="Q142" s="112">
        <v>128.95833333333331</v>
      </c>
      <c r="R142" s="112">
        <v>508.26666649999993</v>
      </c>
      <c r="S142" s="113">
        <v>127.96216666666666</v>
      </c>
      <c r="T142" s="113">
        <v>130.47200000000004</v>
      </c>
      <c r="U142" s="112">
        <v>103.79992850000001</v>
      </c>
      <c r="V142" s="71">
        <v>105</v>
      </c>
      <c r="W142" s="36"/>
      <c r="X142" s="36"/>
    </row>
    <row r="143" spans="1:24" s="28" customFormat="1" x14ac:dyDescent="0.25">
      <c r="A143" s="2"/>
      <c r="B143" s="8" t="s">
        <v>153</v>
      </c>
      <c r="C143" s="113">
        <v>4.2249006923964494</v>
      </c>
      <c r="D143" s="112">
        <v>4.1021302442622476</v>
      </c>
      <c r="E143" s="112">
        <v>3.4451161830189925</v>
      </c>
      <c r="F143" s="112">
        <v>3.7861361493402912</v>
      </c>
      <c r="G143" s="112">
        <v>5.0597738287560867</v>
      </c>
      <c r="H143" s="112">
        <v>7.2927597249779597</v>
      </c>
      <c r="I143" s="88">
        <v>4.3450993978688928</v>
      </c>
      <c r="J143" s="88">
        <v>5.1006473930549134</v>
      </c>
      <c r="K143" s="112">
        <v>3.4159228732031144</v>
      </c>
      <c r="L143" s="71">
        <v>3.4047619047619104</v>
      </c>
      <c r="M143" s="112">
        <v>406.42500024999998</v>
      </c>
      <c r="N143" s="112">
        <v>399.90833333333336</v>
      </c>
      <c r="O143" s="112">
        <v>139.42349999999999</v>
      </c>
      <c r="P143" s="112">
        <v>139.11666674999998</v>
      </c>
      <c r="Q143" s="112">
        <v>135.48333333333335</v>
      </c>
      <c r="R143" s="112">
        <v>545.33333325000001</v>
      </c>
      <c r="S143" s="113">
        <v>133.52224999999999</v>
      </c>
      <c r="T143" s="113">
        <v>137.12691666666666</v>
      </c>
      <c r="U143" s="112">
        <v>107.345654</v>
      </c>
      <c r="V143" s="71">
        <v>108.575</v>
      </c>
      <c r="W143" s="36"/>
      <c r="X143" s="36"/>
    </row>
    <row r="144" spans="1:24" s="28" customFormat="1" x14ac:dyDescent="0.25">
      <c r="A144" s="2"/>
      <c r="B144" s="8" t="s">
        <v>154</v>
      </c>
      <c r="C144" s="113">
        <v>3.7756701705261353</v>
      </c>
      <c r="D144" s="112">
        <v>3.6067783043082224</v>
      </c>
      <c r="E144" s="112">
        <v>3.2850051403153779</v>
      </c>
      <c r="F144" s="112">
        <v>3.3329840042332748</v>
      </c>
      <c r="G144" s="112">
        <v>3.2951163746898882</v>
      </c>
      <c r="H144" s="112">
        <v>7.7642213337048016</v>
      </c>
      <c r="I144" s="88">
        <v>3.7855458021015096</v>
      </c>
      <c r="J144" s="88">
        <v>3.3419799622189439</v>
      </c>
      <c r="K144" s="112">
        <v>2.8782667344874557</v>
      </c>
      <c r="L144" s="71">
        <v>2.632760500784026</v>
      </c>
      <c r="M144" s="112">
        <v>421.77026775000002</v>
      </c>
      <c r="N144" s="112">
        <v>414.33214033712062</v>
      </c>
      <c r="O144" s="112">
        <v>144.00356914180759</v>
      </c>
      <c r="P144" s="112">
        <v>143.75340299999999</v>
      </c>
      <c r="Q144" s="112">
        <v>139.94766683497571</v>
      </c>
      <c r="R144" s="112">
        <v>587.67422024999996</v>
      </c>
      <c r="S144" s="113">
        <v>138.57679592974648</v>
      </c>
      <c r="T144" s="113">
        <v>141.70967074447532</v>
      </c>
      <c r="U144" s="112">
        <v>110.43534825</v>
      </c>
      <c r="V144" s="71">
        <v>111.43351971372627</v>
      </c>
      <c r="W144" s="36"/>
      <c r="X144" s="36"/>
    </row>
    <row r="145" spans="1:24" s="28" customFormat="1" x14ac:dyDescent="0.25">
      <c r="A145" s="2"/>
      <c r="B145" s="8" t="s">
        <v>155</v>
      </c>
      <c r="C145" s="113">
        <v>4.0192948735893852</v>
      </c>
      <c r="D145" s="112">
        <v>3.7208104568470901</v>
      </c>
      <c r="E145" s="112">
        <v>3.06480843350323</v>
      </c>
      <c r="F145" s="112">
        <v>2.9801461465228885</v>
      </c>
      <c r="G145" s="112">
        <v>2.3857168969594778</v>
      </c>
      <c r="H145" s="112">
        <v>11.097538100659943</v>
      </c>
      <c r="I145" s="88">
        <v>2.9450846693640074</v>
      </c>
      <c r="J145" s="88">
        <v>2.3857168969595</v>
      </c>
      <c r="K145" s="112">
        <v>2.8782455530491857</v>
      </c>
      <c r="L145" s="71">
        <v>2.1192219342913043</v>
      </c>
      <c r="M145" s="112">
        <v>438.72245849999996</v>
      </c>
      <c r="N145" s="112">
        <v>429.7486539408626</v>
      </c>
      <c r="O145" s="112">
        <v>148.41700267341136</v>
      </c>
      <c r="P145" s="112">
        <v>148.0374645</v>
      </c>
      <c r="Q145" s="112">
        <v>143.28642196955829</v>
      </c>
      <c r="R145" s="112">
        <v>652.89159074999998</v>
      </c>
      <c r="S145" s="113">
        <v>142.65799990196928</v>
      </c>
      <c r="T145" s="113">
        <v>145.09046230405195</v>
      </c>
      <c r="U145" s="112">
        <v>113.61394875000001</v>
      </c>
      <c r="V145" s="71">
        <v>113.79504330565238</v>
      </c>
      <c r="W145" s="36"/>
      <c r="X145" s="36"/>
    </row>
    <row r="146" spans="1:24" s="28" customFormat="1" x14ac:dyDescent="0.25">
      <c r="A146" s="2"/>
      <c r="B146" s="8" t="s">
        <v>156</v>
      </c>
      <c r="C146" s="113">
        <v>2.9154565721873027</v>
      </c>
      <c r="D146" s="112">
        <v>2.8037591605599044</v>
      </c>
      <c r="E146" s="112">
        <v>2.0135763108444893</v>
      </c>
      <c r="F146" s="112">
        <v>2.0689885903848237</v>
      </c>
      <c r="G146" s="112">
        <v>1.9425549263673902</v>
      </c>
      <c r="H146" s="112">
        <v>5.4088030080819527</v>
      </c>
      <c r="I146" s="88">
        <v>2.6428378278204434</v>
      </c>
      <c r="J146" s="88">
        <v>1.9425549263674124</v>
      </c>
      <c r="K146" s="112">
        <v>2.0700259746935235</v>
      </c>
      <c r="L146" s="71">
        <v>1.9596999880236332</v>
      </c>
      <c r="M146" s="112">
        <v>451.51322124999996</v>
      </c>
      <c r="N146" s="112">
        <v>441.79777119311245</v>
      </c>
      <c r="O146" s="112">
        <v>151.40549228050861</v>
      </c>
      <c r="P146" s="112">
        <v>151.10034274999998</v>
      </c>
      <c r="Q146" s="112">
        <v>146.06983941834352</v>
      </c>
      <c r="R146" s="112">
        <v>688.20521075000011</v>
      </c>
      <c r="S146" s="113">
        <v>146.42821948779056</v>
      </c>
      <c r="T146" s="113">
        <v>147.90892422722857</v>
      </c>
      <c r="U146" s="112">
        <v>115.96578699999999</v>
      </c>
      <c r="V146" s="71">
        <v>116.02508475568473</v>
      </c>
      <c r="W146" s="36"/>
      <c r="X146" s="36"/>
    </row>
    <row r="147" spans="1:24" s="28" customFormat="1" x14ac:dyDescent="0.25">
      <c r="A147" s="2"/>
      <c r="B147" s="152" t="s">
        <v>157</v>
      </c>
      <c r="C147" s="113">
        <v>2.9610064823766269</v>
      </c>
      <c r="D147" s="112"/>
      <c r="E147" s="112">
        <v>2.1275392137919402</v>
      </c>
      <c r="F147" s="112">
        <v>2.1962996175930227</v>
      </c>
      <c r="G147" s="112">
        <v>2.1527960165670157</v>
      </c>
      <c r="H147" s="112">
        <v>5.1083488181798753</v>
      </c>
      <c r="I147" s="88">
        <v>2.5681283214739778</v>
      </c>
      <c r="J147" s="88">
        <v>2.1527960165670379</v>
      </c>
      <c r="K147" s="112">
        <v>2.0825187432220948</v>
      </c>
      <c r="L147" s="71">
        <v>1.9577478389426917</v>
      </c>
      <c r="M147" s="112">
        <v>464.88255700000002</v>
      </c>
      <c r="N147" s="112"/>
      <c r="O147" s="112">
        <v>154.62670350061117</v>
      </c>
      <c r="P147" s="112">
        <v>154.41895899999997</v>
      </c>
      <c r="Q147" s="112">
        <v>149.21442510274744</v>
      </c>
      <c r="R147" s="112"/>
      <c r="S147" s="113">
        <v>150.18868406308658</v>
      </c>
      <c r="T147" s="113">
        <v>151.09310165613951</v>
      </c>
      <c r="U147" s="112">
        <v>118.38079625</v>
      </c>
      <c r="V147" s="71">
        <v>118.29656334512057</v>
      </c>
      <c r="W147" s="36"/>
      <c r="X147" s="36"/>
    </row>
    <row r="148" spans="1:24" s="28" customFormat="1" x14ac:dyDescent="0.25">
      <c r="A148" s="2"/>
      <c r="B148" s="152" t="s">
        <v>158</v>
      </c>
      <c r="C148" s="113">
        <v>2.1343707352736718</v>
      </c>
      <c r="D148" s="112"/>
      <c r="E148" s="112">
        <v>1.982192004334471</v>
      </c>
      <c r="F148" s="112">
        <v>2.1294044923590327</v>
      </c>
      <c r="G148" s="112">
        <v>2.4156124495688935</v>
      </c>
      <c r="H148" s="112"/>
      <c r="I148" s="88">
        <v>2.6043230318204706</v>
      </c>
      <c r="J148" s="88">
        <v>2.4156124495688713</v>
      </c>
      <c r="K148" s="112">
        <v>2.0014002059899116</v>
      </c>
      <c r="L148" s="71">
        <v>1.9709857032751854</v>
      </c>
      <c r="M148" s="112">
        <v>474.80487425000001</v>
      </c>
      <c r="N148" s="112"/>
      <c r="O148" s="112">
        <v>157.69170165396625</v>
      </c>
      <c r="P148" s="112">
        <v>157.70716325000001</v>
      </c>
      <c r="Q148" s="112">
        <v>152.81886733208205</v>
      </c>
      <c r="R148" s="112"/>
      <c r="S148" s="113">
        <v>154.10008255332963</v>
      </c>
      <c r="T148" s="113">
        <v>154.74292543018495</v>
      </c>
      <c r="U148" s="112">
        <v>120.75006975000001</v>
      </c>
      <c r="V148" s="71">
        <v>120.62817169611878</v>
      </c>
      <c r="W148" s="36"/>
      <c r="X148" s="36"/>
    </row>
    <row r="149" spans="1:24" s="28" customFormat="1" ht="16.5" thickBot="1" x14ac:dyDescent="0.3">
      <c r="A149" s="2"/>
      <c r="B149" s="152" t="s">
        <v>649</v>
      </c>
      <c r="C149" s="113">
        <v>2.1853734160564908</v>
      </c>
      <c r="D149" s="112"/>
      <c r="E149" s="112">
        <v>1.9999320648777186</v>
      </c>
      <c r="F149" s="112">
        <v>2.1853734662239388</v>
      </c>
      <c r="G149" s="112">
        <v>2.6454801642622483</v>
      </c>
      <c r="H149" s="112"/>
      <c r="I149" s="88">
        <v>2.776625750608801</v>
      </c>
      <c r="J149" s="88">
        <v>2.6454801642622483</v>
      </c>
      <c r="K149" s="112">
        <v>2.0012613698717985</v>
      </c>
      <c r="L149" s="71">
        <v>1.9093798513580174</v>
      </c>
      <c r="M149" s="112">
        <v>485.18113375000001</v>
      </c>
      <c r="N149" s="112"/>
      <c r="O149" s="112">
        <v>160.84542855899522</v>
      </c>
      <c r="P149" s="112">
        <v>161.15365374999999</v>
      </c>
      <c r="Q149" s="112">
        <v>156.86166015460253</v>
      </c>
      <c r="R149" s="112"/>
      <c r="S149" s="113">
        <v>158.37886512721479</v>
      </c>
      <c r="T149" s="113">
        <v>158.83661882803963</v>
      </c>
      <c r="U149" s="112">
        <v>123.16659425</v>
      </c>
      <c r="V149" s="71">
        <v>122.93142170154604</v>
      </c>
      <c r="W149" s="36"/>
      <c r="X149" s="36"/>
    </row>
    <row r="150" spans="1:24" s="28" customFormat="1" ht="15.75" customHeight="1" x14ac:dyDescent="0.25">
      <c r="A150" s="2"/>
      <c r="B150" s="579" t="s">
        <v>289</v>
      </c>
      <c r="C150" s="580"/>
      <c r="D150" s="580"/>
      <c r="E150" s="580"/>
      <c r="F150" s="580"/>
      <c r="G150" s="580"/>
      <c r="H150" s="580"/>
      <c r="I150" s="580"/>
      <c r="J150" s="580"/>
      <c r="K150" s="580"/>
      <c r="L150" s="580"/>
      <c r="M150" s="580"/>
      <c r="N150" s="580"/>
      <c r="O150" s="580"/>
      <c r="P150" s="580"/>
      <c r="Q150" s="580"/>
      <c r="R150" s="580"/>
      <c r="S150" s="580"/>
      <c r="T150" s="580"/>
      <c r="U150" s="580"/>
      <c r="V150" s="581"/>
      <c r="W150" s="36"/>
      <c r="X150" s="36"/>
    </row>
    <row r="151" spans="1:24" s="28" customFormat="1" ht="16.5" customHeight="1" x14ac:dyDescent="0.25">
      <c r="A151" s="2"/>
      <c r="B151" s="582" t="s">
        <v>652</v>
      </c>
      <c r="C151" s="583"/>
      <c r="D151" s="583"/>
      <c r="E151" s="583"/>
      <c r="F151" s="583"/>
      <c r="G151" s="583"/>
      <c r="H151" s="583"/>
      <c r="I151" s="583"/>
      <c r="J151" s="583"/>
      <c r="K151" s="583"/>
      <c r="L151" s="583"/>
      <c r="M151" s="583"/>
      <c r="N151" s="583"/>
      <c r="O151" s="583"/>
      <c r="P151" s="583"/>
      <c r="Q151" s="583"/>
      <c r="R151" s="583"/>
      <c r="S151" s="583"/>
      <c r="T151" s="583"/>
      <c r="U151" s="583"/>
      <c r="V151" s="584"/>
      <c r="W151" s="36"/>
      <c r="X151" s="36"/>
    </row>
    <row r="152" spans="1:24" s="28" customFormat="1" ht="16.5" customHeight="1" x14ac:dyDescent="0.25">
      <c r="A152" s="2"/>
      <c r="B152" s="457" t="s">
        <v>655</v>
      </c>
      <c r="C152" s="493"/>
      <c r="D152" s="493"/>
      <c r="E152" s="493"/>
      <c r="F152" s="493"/>
      <c r="G152" s="493"/>
      <c r="H152" s="493"/>
      <c r="I152" s="493"/>
      <c r="J152" s="493"/>
      <c r="K152" s="493"/>
      <c r="L152" s="493"/>
      <c r="M152" s="493"/>
      <c r="N152" s="493"/>
      <c r="O152" s="493"/>
      <c r="P152" s="493"/>
      <c r="Q152" s="493"/>
      <c r="R152" s="493"/>
      <c r="S152" s="493"/>
      <c r="T152" s="493"/>
      <c r="U152" s="493"/>
      <c r="V152" s="494"/>
      <c r="W152" s="36"/>
      <c r="X152" s="36"/>
    </row>
    <row r="153" spans="1:24" s="28" customFormat="1" ht="16.5" customHeight="1" x14ac:dyDescent="0.25">
      <c r="A153" s="2"/>
      <c r="B153" s="585" t="s">
        <v>290</v>
      </c>
      <c r="C153" s="583"/>
      <c r="D153" s="583"/>
      <c r="E153" s="583"/>
      <c r="F153" s="583"/>
      <c r="G153" s="583"/>
      <c r="H153" s="583"/>
      <c r="I153" s="583"/>
      <c r="J153" s="583"/>
      <c r="K153" s="583"/>
      <c r="L153" s="583"/>
      <c r="M153" s="583"/>
      <c r="N153" s="583"/>
      <c r="O153" s="583"/>
      <c r="P153" s="583"/>
      <c r="Q153" s="583"/>
      <c r="R153" s="583"/>
      <c r="S153" s="583"/>
      <c r="T153" s="583"/>
      <c r="U153" s="583"/>
      <c r="V153" s="584"/>
      <c r="W153" s="36"/>
      <c r="X153" s="36"/>
    </row>
    <row r="154" spans="1:24" s="28" customFormat="1" ht="15.75" customHeight="1" x14ac:dyDescent="0.25">
      <c r="A154" s="2"/>
      <c r="B154" s="586" t="s">
        <v>159</v>
      </c>
      <c r="C154" s="587"/>
      <c r="D154" s="587"/>
      <c r="E154" s="587"/>
      <c r="F154" s="587"/>
      <c r="G154" s="587"/>
      <c r="H154" s="587"/>
      <c r="I154" s="587"/>
      <c r="J154" s="587"/>
      <c r="K154" s="587"/>
      <c r="L154" s="587"/>
      <c r="M154" s="587"/>
      <c r="N154" s="587"/>
      <c r="O154" s="587"/>
      <c r="P154" s="587"/>
      <c r="Q154" s="587"/>
      <c r="R154" s="587"/>
      <c r="S154" s="587"/>
      <c r="T154" s="587"/>
      <c r="U154" s="587"/>
      <c r="V154" s="588"/>
      <c r="W154" s="36"/>
      <c r="X154" s="36"/>
    </row>
    <row r="155" spans="1:24" s="28" customFormat="1" x14ac:dyDescent="0.25">
      <c r="A155" s="2"/>
      <c r="B155" s="571" t="s">
        <v>653</v>
      </c>
      <c r="C155" s="572"/>
      <c r="D155" s="572"/>
      <c r="E155" s="572"/>
      <c r="F155" s="572"/>
      <c r="G155" s="572"/>
      <c r="H155" s="572"/>
      <c r="I155" s="572"/>
      <c r="J155" s="572"/>
      <c r="K155" s="572"/>
      <c r="L155" s="572"/>
      <c r="M155" s="572"/>
      <c r="N155" s="572"/>
      <c r="O155" s="572"/>
      <c r="P155" s="572"/>
      <c r="Q155" s="572"/>
      <c r="R155" s="572"/>
      <c r="S155" s="572"/>
      <c r="T155" s="572"/>
      <c r="U155" s="572"/>
      <c r="V155" s="573"/>
    </row>
    <row r="156" spans="1:24" s="28" customFormat="1" x14ac:dyDescent="0.25">
      <c r="A156" s="2"/>
      <c r="B156" s="571" t="s">
        <v>291</v>
      </c>
      <c r="C156" s="572"/>
      <c r="D156" s="572"/>
      <c r="E156" s="572"/>
      <c r="F156" s="572"/>
      <c r="G156" s="572"/>
      <c r="H156" s="572"/>
      <c r="I156" s="572"/>
      <c r="J156" s="572"/>
      <c r="K156" s="572"/>
      <c r="L156" s="572"/>
      <c r="M156" s="572"/>
      <c r="N156" s="572"/>
      <c r="O156" s="572"/>
      <c r="P156" s="572"/>
      <c r="Q156" s="572"/>
      <c r="R156" s="572"/>
      <c r="S156" s="572"/>
      <c r="T156" s="572"/>
      <c r="U156" s="572"/>
      <c r="V156" s="573"/>
    </row>
    <row r="157" spans="1:24" s="28" customFormat="1" x14ac:dyDescent="0.25">
      <c r="A157" s="2"/>
      <c r="B157" s="571" t="s">
        <v>656</v>
      </c>
      <c r="C157" s="572"/>
      <c r="D157" s="572"/>
      <c r="E157" s="572"/>
      <c r="F157" s="572"/>
      <c r="G157" s="572"/>
      <c r="H157" s="572"/>
      <c r="I157" s="572"/>
      <c r="J157" s="572"/>
      <c r="K157" s="572"/>
      <c r="L157" s="572"/>
      <c r="M157" s="572"/>
      <c r="N157" s="572"/>
      <c r="O157" s="572"/>
      <c r="P157" s="572"/>
      <c r="Q157" s="572"/>
      <c r="R157" s="572"/>
      <c r="S157" s="572"/>
      <c r="T157" s="572"/>
      <c r="U157" s="572"/>
      <c r="V157" s="573"/>
    </row>
    <row r="158" spans="1:24" s="28" customFormat="1" x14ac:dyDescent="0.25">
      <c r="A158" s="2"/>
      <c r="B158" s="589" t="s">
        <v>292</v>
      </c>
      <c r="C158" s="590"/>
      <c r="D158" s="590"/>
      <c r="E158" s="590"/>
      <c r="F158" s="590"/>
      <c r="G158" s="590"/>
      <c r="H158" s="590"/>
      <c r="I158" s="590"/>
      <c r="J158" s="590"/>
      <c r="K158" s="590"/>
      <c r="L158" s="590"/>
      <c r="M158" s="590"/>
      <c r="N158" s="590"/>
      <c r="O158" s="590"/>
      <c r="P158" s="590"/>
      <c r="Q158" s="590"/>
      <c r="R158" s="590"/>
      <c r="S158" s="590"/>
      <c r="T158" s="590"/>
      <c r="U158" s="590"/>
      <c r="V158" s="591"/>
    </row>
    <row r="159" spans="1:24" s="28" customFormat="1" x14ac:dyDescent="0.25">
      <c r="A159" s="2"/>
      <c r="B159" s="457" t="s">
        <v>293</v>
      </c>
      <c r="C159" s="458"/>
      <c r="D159" s="458"/>
      <c r="E159" s="458"/>
      <c r="F159" s="458"/>
      <c r="G159" s="458"/>
      <c r="H159" s="458"/>
      <c r="I159" s="458"/>
      <c r="J159" s="458"/>
      <c r="K159" s="458"/>
      <c r="L159" s="458"/>
      <c r="M159" s="458"/>
      <c r="N159" s="458"/>
      <c r="O159" s="458"/>
      <c r="P159" s="458"/>
      <c r="Q159" s="458"/>
      <c r="R159" s="458"/>
      <c r="S159" s="458"/>
      <c r="T159" s="458"/>
      <c r="U159" s="458"/>
      <c r="V159" s="459"/>
    </row>
    <row r="160" spans="1:24" s="28" customFormat="1" ht="16.5" customHeight="1" thickBot="1" x14ac:dyDescent="0.3">
      <c r="A160" s="2"/>
      <c r="B160" s="574" t="s">
        <v>294</v>
      </c>
      <c r="C160" s="575"/>
      <c r="D160" s="575"/>
      <c r="E160" s="575"/>
      <c r="F160" s="575"/>
      <c r="G160" s="575"/>
      <c r="H160" s="575"/>
      <c r="I160" s="575"/>
      <c r="J160" s="575"/>
      <c r="K160" s="575"/>
      <c r="L160" s="575"/>
      <c r="M160" s="575"/>
      <c r="N160" s="575"/>
      <c r="O160" s="575"/>
      <c r="P160" s="575"/>
      <c r="Q160" s="575"/>
      <c r="R160" s="575"/>
      <c r="S160" s="575"/>
      <c r="T160" s="575"/>
      <c r="U160" s="575"/>
      <c r="V160" s="576"/>
    </row>
    <row r="161" spans="1:21" s="28" customFormat="1" ht="18.75" x14ac:dyDescent="0.25">
      <c r="A161" s="2"/>
      <c r="B161" s="84"/>
      <c r="M161" s="82"/>
      <c r="N161" s="82"/>
      <c r="O161" s="82"/>
      <c r="P161" s="82"/>
      <c r="Q161" s="82"/>
      <c r="R161" s="82"/>
      <c r="S161" s="82"/>
      <c r="T161" s="82"/>
      <c r="U161" s="82"/>
    </row>
    <row r="162" spans="1:21" s="28" customFormat="1" x14ac:dyDescent="0.25">
      <c r="A162" s="2"/>
      <c r="B162" s="2"/>
      <c r="C162" s="2"/>
      <c r="D162" s="2"/>
      <c r="E162" s="2"/>
      <c r="F162" s="2"/>
      <c r="G162" s="2"/>
      <c r="H162" s="2"/>
      <c r="I162" s="2"/>
      <c r="J162" s="2"/>
      <c r="K162" s="2"/>
      <c r="M162" s="83"/>
      <c r="N162" s="83"/>
      <c r="O162" s="83"/>
      <c r="P162" s="83"/>
      <c r="Q162" s="83"/>
      <c r="R162" s="83"/>
      <c r="S162" s="83"/>
      <c r="T162" s="83"/>
      <c r="U162" s="83"/>
    </row>
    <row r="163" spans="1:21" s="28" customFormat="1" x14ac:dyDescent="0.25">
      <c r="A163" s="2"/>
      <c r="B163" s="2"/>
      <c r="C163" s="2"/>
      <c r="D163" s="2"/>
      <c r="E163" s="2"/>
      <c r="F163" s="2"/>
      <c r="G163" s="2"/>
      <c r="H163" s="2"/>
      <c r="I163" s="2"/>
      <c r="J163" s="2"/>
      <c r="K163" s="2"/>
      <c r="M163" s="82"/>
      <c r="N163" s="82"/>
      <c r="O163" s="82"/>
      <c r="P163" s="82"/>
      <c r="Q163" s="82"/>
      <c r="R163" s="82"/>
      <c r="S163" s="82"/>
      <c r="T163" s="82"/>
      <c r="U163" s="82"/>
    </row>
  </sheetData>
  <mergeCells count="11">
    <mergeCell ref="B155:V155"/>
    <mergeCell ref="B160:V160"/>
    <mergeCell ref="B2:V2"/>
    <mergeCell ref="C3:L3"/>
    <mergeCell ref="B150:V150"/>
    <mergeCell ref="B151:V151"/>
    <mergeCell ref="B153:V153"/>
    <mergeCell ref="B154:V154"/>
    <mergeCell ref="B156:V156"/>
    <mergeCell ref="B157:V157"/>
    <mergeCell ref="B158:V158"/>
  </mergeCells>
  <phoneticPr fontId="91" type="noConversion"/>
  <hyperlinks>
    <hyperlink ref="A1" location="Contents!A1" display="Back to contents" xr:uid="{113CDC2A-6455-45E4-95B4-4035EE8A3D6F}"/>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6696E-227B-4F3F-87DF-980DB74D0BA6}">
  <sheetPr codeName="Sheet9">
    <tabColor theme="5"/>
    <pageSetUpPr fitToPage="1"/>
  </sheetPr>
  <dimension ref="A1:V173"/>
  <sheetViews>
    <sheetView zoomScaleNormal="100" zoomScaleSheetLayoutView="100" workbookViewId="0"/>
  </sheetViews>
  <sheetFormatPr defaultColWidth="8.77734375" defaultRowHeight="15" x14ac:dyDescent="0.25"/>
  <cols>
    <col min="1" max="1" width="9.21875" style="5" customWidth="1"/>
    <col min="2" max="2" width="10.21875" style="5" customWidth="1"/>
    <col min="3" max="4" width="11.21875" style="5" customWidth="1"/>
    <col min="5" max="5" width="9.21875" style="5" customWidth="1"/>
    <col min="6" max="7" width="8.77734375" style="5" customWidth="1"/>
    <col min="8" max="8" width="11.21875" style="5" customWidth="1"/>
    <col min="9" max="9" width="14.21875" style="5" customWidth="1"/>
    <col min="10" max="10" width="6.21875" style="5" customWidth="1"/>
    <col min="11" max="11" width="15.21875" style="5" customWidth="1"/>
    <col min="12" max="12" width="13.21875" style="5" customWidth="1"/>
    <col min="13" max="14" width="12.21875" style="5" customWidth="1"/>
    <col min="15" max="15" width="14.21875" style="5" customWidth="1"/>
    <col min="16" max="18" width="13.21875" style="5" customWidth="1"/>
    <col min="19" max="19" width="12.77734375" style="5" customWidth="1"/>
    <col min="20" max="20" width="13.21875" style="5" customWidth="1"/>
    <col min="21" max="21" width="10.77734375" style="5" customWidth="1"/>
    <col min="22" max="16384" width="8.77734375" style="5"/>
  </cols>
  <sheetData>
    <row r="1" spans="1:22" ht="35.1" customHeight="1" thickBot="1" x14ac:dyDescent="0.3">
      <c r="A1" s="9" t="s">
        <v>22</v>
      </c>
      <c r="B1" s="1"/>
      <c r="C1" s="478"/>
      <c r="D1" s="22"/>
      <c r="E1" s="22"/>
      <c r="F1" s="22"/>
      <c r="G1" s="22"/>
      <c r="H1" s="22"/>
      <c r="I1" s="22"/>
      <c r="J1" s="22"/>
    </row>
    <row r="2" spans="1:22" s="134" customFormat="1" ht="19.5" thickBot="1" x14ac:dyDescent="0.35">
      <c r="B2" s="592" t="s">
        <v>295</v>
      </c>
      <c r="C2" s="541"/>
      <c r="D2" s="541"/>
      <c r="E2" s="541"/>
      <c r="F2" s="541"/>
      <c r="G2" s="541"/>
      <c r="H2" s="541"/>
      <c r="I2" s="547"/>
      <c r="K2" s="5"/>
      <c r="L2" s="5"/>
      <c r="M2" s="5"/>
      <c r="N2" s="5"/>
      <c r="O2" s="5"/>
      <c r="P2" s="5"/>
      <c r="Q2" s="5"/>
      <c r="R2" s="5"/>
      <c r="S2" s="5"/>
      <c r="T2" s="5"/>
      <c r="U2" s="5"/>
      <c r="V2" s="5"/>
    </row>
    <row r="3" spans="1:22" s="134" customFormat="1" ht="52.5" customHeight="1" x14ac:dyDescent="0.25">
      <c r="B3" s="135"/>
      <c r="C3" s="136" t="s">
        <v>296</v>
      </c>
      <c r="D3" s="136" t="s">
        <v>297</v>
      </c>
      <c r="E3" s="136" t="s">
        <v>298</v>
      </c>
      <c r="F3" s="136" t="s">
        <v>299</v>
      </c>
      <c r="G3" s="136" t="s">
        <v>300</v>
      </c>
      <c r="H3" s="136" t="s">
        <v>301</v>
      </c>
      <c r="I3" s="137" t="s">
        <v>302</v>
      </c>
      <c r="K3" s="5"/>
      <c r="L3" s="5"/>
      <c r="M3" s="5"/>
      <c r="N3" s="5"/>
      <c r="O3" s="5"/>
      <c r="P3" s="5"/>
      <c r="Q3" s="5"/>
      <c r="R3" s="5"/>
      <c r="S3" s="5"/>
      <c r="T3" s="5"/>
      <c r="U3" s="5"/>
      <c r="V3" s="5"/>
    </row>
    <row r="4" spans="1:22" x14ac:dyDescent="0.25">
      <c r="B4" s="126" t="s">
        <v>43</v>
      </c>
      <c r="C4" s="112">
        <v>-9.5570000000000004</v>
      </c>
      <c r="D4" s="112">
        <v>-2.3909475727766716</v>
      </c>
      <c r="E4" s="112">
        <v>-0.48399999999999999</v>
      </c>
      <c r="F4" s="112">
        <v>-0.13500000000000001</v>
      </c>
      <c r="G4" s="112">
        <v>-4.0190000000000001</v>
      </c>
      <c r="H4" s="112">
        <v>-14.195</v>
      </c>
      <c r="I4" s="218">
        <v>-3.5512714026959142</v>
      </c>
      <c r="J4" s="139"/>
    </row>
    <row r="5" spans="1:22" x14ac:dyDescent="0.25">
      <c r="B5" s="126" t="s">
        <v>44</v>
      </c>
      <c r="C5" s="112">
        <v>-8.2279999999999998</v>
      </c>
      <c r="D5" s="112">
        <v>-2.0432743048571225</v>
      </c>
      <c r="E5" s="112">
        <v>-4.5640000000000001</v>
      </c>
      <c r="F5" s="112">
        <v>-0.19900000000000001</v>
      </c>
      <c r="G5" s="112">
        <v>-3.6560000000000001</v>
      </c>
      <c r="H5" s="112">
        <v>-16.646999999999998</v>
      </c>
      <c r="I5" s="218">
        <v>-4.1339799894210643</v>
      </c>
      <c r="J5" s="139"/>
    </row>
    <row r="6" spans="1:22" x14ac:dyDescent="0.25">
      <c r="B6" s="126" t="s">
        <v>45</v>
      </c>
      <c r="C6" s="112">
        <v>-6.5</v>
      </c>
      <c r="D6" s="112">
        <v>-1.6163645722726334</v>
      </c>
      <c r="E6" s="112">
        <v>-4.26</v>
      </c>
      <c r="F6" s="112">
        <v>-0.16500000000000001</v>
      </c>
      <c r="G6" s="112">
        <v>-3.5419999999999998</v>
      </c>
      <c r="H6" s="112">
        <v>-14.467000000000001</v>
      </c>
      <c r="I6" s="218">
        <v>-3.5975301949335674</v>
      </c>
      <c r="J6" s="139"/>
    </row>
    <row r="7" spans="1:22" x14ac:dyDescent="0.25">
      <c r="B7" s="126" t="s">
        <v>46</v>
      </c>
      <c r="C7" s="112">
        <v>-2.5950000000000002</v>
      </c>
      <c r="D7" s="112">
        <v>-0.65253962386559949</v>
      </c>
      <c r="E7" s="112">
        <v>-11.007999999999999</v>
      </c>
      <c r="F7" s="112">
        <v>-0.216</v>
      </c>
      <c r="G7" s="112">
        <v>-2.4169999999999998</v>
      </c>
      <c r="H7" s="112">
        <v>-16.236000000000001</v>
      </c>
      <c r="I7" s="218">
        <v>-4.0827103403012996</v>
      </c>
      <c r="J7" s="139"/>
    </row>
    <row r="8" spans="1:22" x14ac:dyDescent="0.25">
      <c r="B8" s="126" t="s">
        <v>47</v>
      </c>
      <c r="C8" s="112">
        <v>-4.8280000000000003</v>
      </c>
      <c r="D8" s="112">
        <v>-1.2386633314091462</v>
      </c>
      <c r="E8" s="112">
        <v>-6.9589999999999996</v>
      </c>
      <c r="F8" s="112">
        <v>-2.5000000000000001E-2</v>
      </c>
      <c r="G8" s="112">
        <v>-3.75</v>
      </c>
      <c r="H8" s="112">
        <v>-15.561999999999999</v>
      </c>
      <c r="I8" s="218">
        <v>-3.9925598101468798</v>
      </c>
      <c r="J8" s="139"/>
    </row>
    <row r="9" spans="1:22" x14ac:dyDescent="0.25">
      <c r="B9" s="126" t="s">
        <v>48</v>
      </c>
      <c r="C9" s="112">
        <v>-4.5990000000000002</v>
      </c>
      <c r="D9" s="112">
        <v>-1.1818034644649507</v>
      </c>
      <c r="E9" s="112">
        <v>-5.7770000000000001</v>
      </c>
      <c r="F9" s="112">
        <v>-4.1000000000000002E-2</v>
      </c>
      <c r="G9" s="112">
        <v>-4.4109999999999996</v>
      </c>
      <c r="H9" s="112">
        <v>-14.827999999999999</v>
      </c>
      <c r="I9" s="218">
        <v>-3.8103461124345048</v>
      </c>
      <c r="J9" s="139"/>
    </row>
    <row r="10" spans="1:22" x14ac:dyDescent="0.25">
      <c r="B10" s="126" t="s">
        <v>49</v>
      </c>
      <c r="C10" s="112">
        <v>-5.8419999999999996</v>
      </c>
      <c r="D10" s="112">
        <v>-1.4934339522315871</v>
      </c>
      <c r="E10" s="112">
        <v>0.93300000000000005</v>
      </c>
      <c r="F10" s="112">
        <v>-9.5000000000000001E-2</v>
      </c>
      <c r="G10" s="112">
        <v>-3.798</v>
      </c>
      <c r="H10" s="112">
        <v>-8.8019999999999996</v>
      </c>
      <c r="I10" s="218">
        <v>-2.2501207886926444</v>
      </c>
      <c r="J10" s="139"/>
    </row>
    <row r="11" spans="1:22" x14ac:dyDescent="0.25">
      <c r="B11" s="126" t="s">
        <v>50</v>
      </c>
      <c r="C11" s="112">
        <v>-4.0519999999999996</v>
      </c>
      <c r="D11" s="112">
        <v>-1.0408425378885178</v>
      </c>
      <c r="E11" s="112">
        <v>-0.95</v>
      </c>
      <c r="F11" s="112">
        <v>-9.8000000000000004E-2</v>
      </c>
      <c r="G11" s="112">
        <v>-3.323</v>
      </c>
      <c r="H11" s="112">
        <v>-8.423</v>
      </c>
      <c r="I11" s="218">
        <v>-2.1636270228615464</v>
      </c>
      <c r="J11" s="139"/>
    </row>
    <row r="12" spans="1:22" x14ac:dyDescent="0.25">
      <c r="B12" s="126" t="s">
        <v>51</v>
      </c>
      <c r="C12" s="112">
        <v>-5.3109999999999999</v>
      </c>
      <c r="D12" s="112">
        <v>-1.3339997890115189</v>
      </c>
      <c r="E12" s="112">
        <v>0.186</v>
      </c>
      <c r="F12" s="112">
        <v>-0.04</v>
      </c>
      <c r="G12" s="112">
        <v>-4.556</v>
      </c>
      <c r="H12" s="112">
        <v>-9.7210000000000001</v>
      </c>
      <c r="I12" s="218">
        <v>-2.4416893144381429</v>
      </c>
      <c r="J12" s="139"/>
    </row>
    <row r="13" spans="1:22" x14ac:dyDescent="0.25">
      <c r="B13" s="126" t="s">
        <v>52</v>
      </c>
      <c r="C13" s="112">
        <v>-5.2409999999999997</v>
      </c>
      <c r="D13" s="112">
        <v>-1.3006996130908801</v>
      </c>
      <c r="E13" s="112">
        <v>0.54200000000000004</v>
      </c>
      <c r="F13" s="112">
        <v>-9.6000000000000002E-2</v>
      </c>
      <c r="G13" s="112">
        <v>-4.3049999999999997</v>
      </c>
      <c r="H13" s="112">
        <v>-9.1</v>
      </c>
      <c r="I13" s="218">
        <v>-2.2584175689996204</v>
      </c>
      <c r="J13" s="139"/>
      <c r="K13" s="139"/>
      <c r="N13" s="140"/>
    </row>
    <row r="14" spans="1:22" x14ac:dyDescent="0.25">
      <c r="B14" s="126" t="s">
        <v>53</v>
      </c>
      <c r="C14" s="112">
        <v>-7.8170000000000002</v>
      </c>
      <c r="D14" s="112">
        <v>-1.9245304387003694</v>
      </c>
      <c r="E14" s="112">
        <v>-0.439</v>
      </c>
      <c r="F14" s="112">
        <v>-8.8999999999999996E-2</v>
      </c>
      <c r="G14" s="112">
        <v>-4.923</v>
      </c>
      <c r="H14" s="112">
        <v>-13.268000000000001</v>
      </c>
      <c r="I14" s="218">
        <v>-3.2665562057920563</v>
      </c>
      <c r="J14" s="139"/>
      <c r="K14" s="139"/>
      <c r="N14" s="140"/>
      <c r="O14" s="138"/>
    </row>
    <row r="15" spans="1:22" x14ac:dyDescent="0.25">
      <c r="B15" s="126" t="s">
        <v>54</v>
      </c>
      <c r="C15" s="112">
        <v>-6.8129999999999997</v>
      </c>
      <c r="D15" s="112">
        <v>-1.6674049618329951</v>
      </c>
      <c r="E15" s="112">
        <v>0.80700000000000005</v>
      </c>
      <c r="F15" s="112">
        <v>-0.16400000000000001</v>
      </c>
      <c r="G15" s="112">
        <v>-6.2460000000000004</v>
      </c>
      <c r="H15" s="112">
        <v>-12.416</v>
      </c>
      <c r="I15" s="218">
        <v>-3.0386760613706838</v>
      </c>
      <c r="J15" s="139"/>
      <c r="K15" s="139"/>
      <c r="N15" s="140"/>
    </row>
    <row r="16" spans="1:22" x14ac:dyDescent="0.25">
      <c r="B16" s="126" t="s">
        <v>55</v>
      </c>
      <c r="C16" s="112">
        <v>0.39</v>
      </c>
      <c r="D16" s="112">
        <v>9.3632734003807727E-2</v>
      </c>
      <c r="E16" s="112">
        <v>1.75</v>
      </c>
      <c r="F16" s="112">
        <v>-4.8000000000000001E-2</v>
      </c>
      <c r="G16" s="112">
        <v>-5.3940000000000001</v>
      </c>
      <c r="H16" s="112">
        <v>-3.302</v>
      </c>
      <c r="I16" s="218">
        <v>-0.7927571478989055</v>
      </c>
      <c r="J16" s="139"/>
      <c r="K16" s="139"/>
      <c r="N16" s="140"/>
    </row>
    <row r="17" spans="2:14" x14ac:dyDescent="0.25">
      <c r="B17" s="126" t="s">
        <v>56</v>
      </c>
      <c r="C17" s="112">
        <v>-5.5069999999999997</v>
      </c>
      <c r="D17" s="112">
        <v>-1.3300647280455995</v>
      </c>
      <c r="E17" s="112">
        <v>4.875</v>
      </c>
      <c r="F17" s="112">
        <v>-6.6000000000000003E-2</v>
      </c>
      <c r="G17" s="112">
        <v>-4.47</v>
      </c>
      <c r="H17" s="112">
        <v>-5.1680000000000001</v>
      </c>
      <c r="I17" s="218">
        <v>-1.2481885808134481</v>
      </c>
      <c r="J17" s="139"/>
      <c r="K17" s="139"/>
      <c r="N17" s="140"/>
    </row>
    <row r="18" spans="2:14" x14ac:dyDescent="0.25">
      <c r="B18" s="126" t="s">
        <v>57</v>
      </c>
      <c r="C18" s="112">
        <v>-5.1539999999999999</v>
      </c>
      <c r="D18" s="112">
        <v>-1.2326634283541289</v>
      </c>
      <c r="E18" s="112">
        <v>-0.442</v>
      </c>
      <c r="F18" s="112">
        <v>-7.0000000000000001E-3</v>
      </c>
      <c r="G18" s="112">
        <v>-5.6520000000000001</v>
      </c>
      <c r="H18" s="112">
        <v>-11.255000000000001</v>
      </c>
      <c r="I18" s="218">
        <v>-2.6918174012661469</v>
      </c>
      <c r="J18" s="139"/>
      <c r="K18" s="139"/>
      <c r="N18" s="140"/>
    </row>
    <row r="19" spans="2:14" x14ac:dyDescent="0.25">
      <c r="B19" s="126" t="s">
        <v>58</v>
      </c>
      <c r="C19" s="112">
        <v>-2.992</v>
      </c>
      <c r="D19" s="112">
        <v>-0.71024177180634518</v>
      </c>
      <c r="E19" s="112">
        <v>0.93100000000000005</v>
      </c>
      <c r="F19" s="112">
        <v>-5.1999999999999998E-2</v>
      </c>
      <c r="G19" s="112">
        <v>-5.3920000000000003</v>
      </c>
      <c r="H19" s="112">
        <v>-7.5049999999999999</v>
      </c>
      <c r="I19" s="218">
        <v>-1.7815389362990042</v>
      </c>
      <c r="J19" s="139"/>
      <c r="K19" s="139"/>
      <c r="N19" s="140"/>
    </row>
    <row r="20" spans="2:14" x14ac:dyDescent="0.25">
      <c r="B20" s="126" t="s">
        <v>59</v>
      </c>
      <c r="C20" s="112">
        <v>1E-3</v>
      </c>
      <c r="D20" s="112">
        <v>2.3438250756469543E-4</v>
      </c>
      <c r="E20" s="112">
        <v>-2.4609999999999999</v>
      </c>
      <c r="F20" s="112">
        <v>-1.2999999999999999E-2</v>
      </c>
      <c r="G20" s="112">
        <v>-5.1879999999999997</v>
      </c>
      <c r="H20" s="112">
        <v>-7.6609999999999996</v>
      </c>
      <c r="I20" s="218">
        <v>-1.7956043904531318</v>
      </c>
      <c r="J20" s="139"/>
      <c r="K20" s="139"/>
      <c r="N20" s="140"/>
    </row>
    <row r="21" spans="2:14" x14ac:dyDescent="0.25">
      <c r="B21" s="126" t="s">
        <v>60</v>
      </c>
      <c r="C21" s="112">
        <v>-7.7690000000000001</v>
      </c>
      <c r="D21" s="112">
        <v>-1.8207256654589428</v>
      </c>
      <c r="E21" s="112">
        <v>-3.6349999999999998</v>
      </c>
      <c r="F21" s="112">
        <v>-2.7E-2</v>
      </c>
      <c r="G21" s="112">
        <v>-4.7679999999999998</v>
      </c>
      <c r="H21" s="112">
        <v>-16.199000000000002</v>
      </c>
      <c r="I21" s="218">
        <v>-3.796361829678133</v>
      </c>
      <c r="J21" s="139"/>
      <c r="K21" s="139"/>
      <c r="N21" s="140"/>
    </row>
    <row r="22" spans="2:14" x14ac:dyDescent="0.25">
      <c r="B22" s="126" t="s">
        <v>61</v>
      </c>
      <c r="C22" s="112">
        <v>-4.2409999999999997</v>
      </c>
      <c r="D22" s="112">
        <v>-0.97879696367534685</v>
      </c>
      <c r="E22" s="112">
        <v>-3.4049999999999998</v>
      </c>
      <c r="F22" s="112">
        <v>-4.2000000000000003E-2</v>
      </c>
      <c r="G22" s="112">
        <v>-5.1920000000000002</v>
      </c>
      <c r="H22" s="112">
        <v>-12.88</v>
      </c>
      <c r="I22" s="218">
        <v>-2.9726255345763892</v>
      </c>
      <c r="J22" s="139"/>
      <c r="K22" s="139"/>
      <c r="N22" s="140"/>
    </row>
    <row r="23" spans="2:14" x14ac:dyDescent="0.25">
      <c r="B23" s="126" t="s">
        <v>62</v>
      </c>
      <c r="C23" s="112">
        <v>-4.6879999999999997</v>
      </c>
      <c r="D23" s="112">
        <v>-1.0775277541545039</v>
      </c>
      <c r="E23" s="112">
        <v>-6.3109999999999999</v>
      </c>
      <c r="F23" s="112">
        <v>-6.6000000000000003E-2</v>
      </c>
      <c r="G23" s="112">
        <v>-5.8520000000000003</v>
      </c>
      <c r="H23" s="112">
        <v>-16.917000000000002</v>
      </c>
      <c r="I23" s="218">
        <v>-3.8883398073873168</v>
      </c>
      <c r="J23" s="139"/>
      <c r="K23" s="139"/>
      <c r="N23" s="140"/>
    </row>
    <row r="24" spans="2:14" x14ac:dyDescent="0.25">
      <c r="B24" s="126" t="s">
        <v>63</v>
      </c>
      <c r="C24" s="112">
        <v>-2.0449999999999999</v>
      </c>
      <c r="D24" s="112">
        <v>-0.46473259127620797</v>
      </c>
      <c r="E24" s="112">
        <v>-10.781000000000001</v>
      </c>
      <c r="F24" s="112">
        <v>-9.4E-2</v>
      </c>
      <c r="G24" s="112">
        <v>-6.4059999999999997</v>
      </c>
      <c r="H24" s="112">
        <v>-19.326000000000001</v>
      </c>
      <c r="I24" s="218">
        <v>-4.391893427385817</v>
      </c>
      <c r="J24" s="139"/>
      <c r="K24" s="139"/>
      <c r="N24" s="140"/>
    </row>
    <row r="25" spans="2:14" x14ac:dyDescent="0.25">
      <c r="B25" s="126" t="s">
        <v>64</v>
      </c>
      <c r="C25" s="112">
        <v>-6.5460000000000003</v>
      </c>
      <c r="D25" s="112">
        <v>-1.4755672571039569</v>
      </c>
      <c r="E25" s="112">
        <v>-4.5709999999999997</v>
      </c>
      <c r="F25" s="112">
        <v>-6.5000000000000002E-2</v>
      </c>
      <c r="G25" s="112">
        <v>-6.4749999999999996</v>
      </c>
      <c r="H25" s="112">
        <v>-17.657</v>
      </c>
      <c r="I25" s="218">
        <v>-3.9801544544278289</v>
      </c>
      <c r="J25" s="139"/>
      <c r="K25" s="139"/>
      <c r="N25" s="140"/>
    </row>
    <row r="26" spans="2:14" x14ac:dyDescent="0.25">
      <c r="B26" s="126" t="s">
        <v>65</v>
      </c>
      <c r="C26" s="112">
        <v>-5.0650000000000004</v>
      </c>
      <c r="D26" s="112">
        <v>-1.1237450773753397</v>
      </c>
      <c r="E26" s="112">
        <v>-7.9539999999999997</v>
      </c>
      <c r="F26" s="112">
        <v>-0.08</v>
      </c>
      <c r="G26" s="112">
        <v>-6.8339999999999996</v>
      </c>
      <c r="H26" s="112">
        <v>-19.933</v>
      </c>
      <c r="I26" s="218">
        <v>-4.4224305285928223</v>
      </c>
      <c r="J26" s="139"/>
      <c r="K26" s="139"/>
      <c r="N26" s="140"/>
    </row>
    <row r="27" spans="2:14" x14ac:dyDescent="0.25">
      <c r="B27" s="126" t="s">
        <v>66</v>
      </c>
      <c r="C27" s="112">
        <v>-9.6790000000000003</v>
      </c>
      <c r="D27" s="112">
        <v>-2.1287358445334443</v>
      </c>
      <c r="E27" s="112">
        <v>-7.9370000000000003</v>
      </c>
      <c r="F27" s="112">
        <v>-8.6999999999999994E-2</v>
      </c>
      <c r="G27" s="112">
        <v>-6.1479999999999997</v>
      </c>
      <c r="H27" s="112">
        <v>-23.850999999999999</v>
      </c>
      <c r="I27" s="218">
        <v>-5.2456326715535875</v>
      </c>
      <c r="J27" s="139"/>
      <c r="K27" s="139"/>
      <c r="N27" s="140"/>
    </row>
    <row r="28" spans="2:14" x14ac:dyDescent="0.25">
      <c r="B28" s="126" t="s">
        <v>67</v>
      </c>
      <c r="C28" s="112">
        <v>-6.5129999999999999</v>
      </c>
      <c r="D28" s="112">
        <v>-1.4137734923439595</v>
      </c>
      <c r="E28" s="112">
        <v>-5.7850000000000001</v>
      </c>
      <c r="F28" s="112">
        <v>-7.4999999999999997E-2</v>
      </c>
      <c r="G28" s="112">
        <v>-5.827</v>
      </c>
      <c r="H28" s="112">
        <v>-18.2</v>
      </c>
      <c r="I28" s="218">
        <v>-3.9506644496637593</v>
      </c>
      <c r="J28" s="139"/>
      <c r="K28" s="139"/>
      <c r="N28" s="140"/>
    </row>
    <row r="29" spans="2:14" x14ac:dyDescent="0.25">
      <c r="B29" s="126" t="s">
        <v>68</v>
      </c>
      <c r="C29" s="112">
        <v>-5.0750000000000002</v>
      </c>
      <c r="D29" s="112">
        <v>-1.09217999126256</v>
      </c>
      <c r="E29" s="112">
        <v>-6.7770000000000001</v>
      </c>
      <c r="F29" s="112">
        <v>-9.4E-2</v>
      </c>
      <c r="G29" s="112">
        <v>-6.31</v>
      </c>
      <c r="H29" s="112">
        <v>-18.256</v>
      </c>
      <c r="I29" s="218">
        <v>-3.9288350582244917</v>
      </c>
      <c r="J29" s="139"/>
      <c r="K29" s="139"/>
      <c r="N29" s="140"/>
    </row>
    <row r="30" spans="2:14" x14ac:dyDescent="0.25">
      <c r="B30" s="126" t="s">
        <v>69</v>
      </c>
      <c r="C30" s="112">
        <v>-7.7359999999999998</v>
      </c>
      <c r="D30" s="112">
        <v>-1.6316716408466301</v>
      </c>
      <c r="E30" s="112">
        <v>-9.5440000000000005</v>
      </c>
      <c r="F30" s="112">
        <v>-0.13300000000000001</v>
      </c>
      <c r="G30" s="112">
        <v>-4.66</v>
      </c>
      <c r="H30" s="112">
        <v>-22.073</v>
      </c>
      <c r="I30" s="218">
        <v>-4.6556215264229142</v>
      </c>
      <c r="J30" s="139"/>
      <c r="K30" s="139"/>
      <c r="N30" s="140"/>
    </row>
    <row r="31" spans="2:14" x14ac:dyDescent="0.25">
      <c r="B31" s="126" t="s">
        <v>70</v>
      </c>
      <c r="C31" s="112">
        <v>-13.621</v>
      </c>
      <c r="D31" s="112">
        <v>-2.8639492685060199</v>
      </c>
      <c r="E31" s="112">
        <v>-10.696999999999999</v>
      </c>
      <c r="F31" s="112">
        <v>-0.16700000000000001</v>
      </c>
      <c r="G31" s="112">
        <v>-7.2839999999999998</v>
      </c>
      <c r="H31" s="112">
        <v>-31.768999999999998</v>
      </c>
      <c r="I31" s="218">
        <v>-6.6797448286592571</v>
      </c>
      <c r="J31" s="139"/>
      <c r="K31" s="139"/>
      <c r="N31" s="140"/>
    </row>
    <row r="32" spans="2:14" x14ac:dyDescent="0.25">
      <c r="B32" s="126" t="s">
        <v>71</v>
      </c>
      <c r="C32" s="112">
        <v>-9.968</v>
      </c>
      <c r="D32" s="112">
        <v>-2.0852858481724463</v>
      </c>
      <c r="E32" s="112">
        <v>-9.9489999999999998</v>
      </c>
      <c r="F32" s="112">
        <v>-7.0000000000000007E-2</v>
      </c>
      <c r="G32" s="112">
        <v>-5.7889999999999997</v>
      </c>
      <c r="H32" s="112">
        <v>-25.776</v>
      </c>
      <c r="I32" s="218">
        <v>-5.3922881242468872</v>
      </c>
      <c r="J32" s="139"/>
      <c r="K32" s="139"/>
      <c r="N32" s="140"/>
    </row>
    <row r="33" spans="2:14" x14ac:dyDescent="0.25">
      <c r="B33" s="126" t="s">
        <v>72</v>
      </c>
      <c r="C33" s="112">
        <v>-2.681</v>
      </c>
      <c r="D33" s="112">
        <v>-0.55926171612617914</v>
      </c>
      <c r="E33" s="112">
        <v>-5.5049999999999999</v>
      </c>
      <c r="F33" s="112">
        <v>-8.6999999999999994E-2</v>
      </c>
      <c r="G33" s="112">
        <v>-5.9480000000000004</v>
      </c>
      <c r="H33" s="112">
        <v>-14.221</v>
      </c>
      <c r="I33" s="218">
        <v>-2.9665277377957455</v>
      </c>
      <c r="J33" s="139"/>
      <c r="K33" s="139"/>
      <c r="N33" s="140"/>
    </row>
    <row r="34" spans="2:14" x14ac:dyDescent="0.25">
      <c r="B34" s="126" t="s">
        <v>73</v>
      </c>
      <c r="C34" s="112">
        <v>-7.1619999999999999</v>
      </c>
      <c r="D34" s="112">
        <v>-1.4837680498870911</v>
      </c>
      <c r="E34" s="112">
        <v>-8.5530000000000008</v>
      </c>
      <c r="F34" s="112">
        <v>0.13700000000000001</v>
      </c>
      <c r="G34" s="112">
        <v>-4.835</v>
      </c>
      <c r="H34" s="112">
        <v>-20.413</v>
      </c>
      <c r="I34" s="218">
        <v>-4.2290082661749775</v>
      </c>
      <c r="J34" s="139"/>
      <c r="K34" s="139"/>
      <c r="N34" s="140"/>
    </row>
    <row r="35" spans="2:14" x14ac:dyDescent="0.25">
      <c r="B35" s="126" t="s">
        <v>74</v>
      </c>
      <c r="C35" s="112">
        <v>-6.5430000000000001</v>
      </c>
      <c r="D35" s="112">
        <v>-1.3409765375219294</v>
      </c>
      <c r="E35" s="112">
        <v>-17.672000000000001</v>
      </c>
      <c r="F35" s="112">
        <v>-7.0000000000000007E-2</v>
      </c>
      <c r="G35" s="112">
        <v>-7.5110000000000001</v>
      </c>
      <c r="H35" s="112">
        <v>-31.795999999999999</v>
      </c>
      <c r="I35" s="218">
        <v>-6.5165352265088288</v>
      </c>
      <c r="J35" s="139"/>
      <c r="K35" s="139"/>
      <c r="N35" s="140"/>
    </row>
    <row r="36" spans="2:14" x14ac:dyDescent="0.25">
      <c r="B36" s="126" t="s">
        <v>75</v>
      </c>
      <c r="C36" s="112">
        <v>-7.3789999999999996</v>
      </c>
      <c r="D36" s="112">
        <v>-1.4978361656693271</v>
      </c>
      <c r="E36" s="112">
        <v>-14.819000000000001</v>
      </c>
      <c r="F36" s="112">
        <v>1.4999999999999999E-2</v>
      </c>
      <c r="G36" s="112">
        <v>-5.7869999999999999</v>
      </c>
      <c r="H36" s="112">
        <v>-27.97</v>
      </c>
      <c r="I36" s="218">
        <v>-5.6775277888292557</v>
      </c>
      <c r="J36" s="139"/>
      <c r="K36" s="139"/>
      <c r="N36" s="140"/>
    </row>
    <row r="37" spans="2:14" x14ac:dyDescent="0.25">
      <c r="B37" s="126" t="s">
        <v>76</v>
      </c>
      <c r="C37" s="112">
        <v>-5.4829999999999997</v>
      </c>
      <c r="D37" s="112">
        <v>-1.1030950234983583</v>
      </c>
      <c r="E37" s="112">
        <v>-13.929</v>
      </c>
      <c r="F37" s="112">
        <v>-6.2E-2</v>
      </c>
      <c r="G37" s="112">
        <v>-5.6849999999999996</v>
      </c>
      <c r="H37" s="112">
        <v>-25.158999999999999</v>
      </c>
      <c r="I37" s="218">
        <v>-5.0616027167964974</v>
      </c>
      <c r="J37" s="139"/>
      <c r="K37" s="139"/>
      <c r="N37" s="140"/>
    </row>
    <row r="38" spans="2:14" x14ac:dyDescent="0.25">
      <c r="B38" s="126" t="s">
        <v>77</v>
      </c>
      <c r="C38" s="112">
        <v>-15.932</v>
      </c>
      <c r="D38" s="112">
        <v>-3.1587733681224015</v>
      </c>
      <c r="E38" s="112">
        <v>-10.154999999999999</v>
      </c>
      <c r="F38" s="112">
        <v>-0.14000000000000001</v>
      </c>
      <c r="G38" s="112">
        <v>-6.48</v>
      </c>
      <c r="H38" s="112">
        <v>-32.707000000000001</v>
      </c>
      <c r="I38" s="218">
        <v>-6.4846849454669462</v>
      </c>
      <c r="J38" s="139"/>
      <c r="K38" s="139"/>
      <c r="N38" s="140"/>
    </row>
    <row r="39" spans="2:14" x14ac:dyDescent="0.25">
      <c r="B39" s="126" t="s">
        <v>78</v>
      </c>
      <c r="C39" s="112">
        <v>-5.6159999999999997</v>
      </c>
      <c r="D39" s="112">
        <v>-1.0997058835048035</v>
      </c>
      <c r="E39" s="112">
        <v>-7.47</v>
      </c>
      <c r="F39" s="112">
        <v>-0.17299999999999999</v>
      </c>
      <c r="G39" s="112">
        <v>-6.056</v>
      </c>
      <c r="H39" s="112">
        <v>-19.315000000000001</v>
      </c>
      <c r="I39" s="218">
        <v>-3.782197140294743</v>
      </c>
      <c r="J39" s="139"/>
      <c r="K39" s="139"/>
      <c r="N39" s="140"/>
    </row>
    <row r="40" spans="2:14" x14ac:dyDescent="0.25">
      <c r="B40" s="126" t="s">
        <v>79</v>
      </c>
      <c r="C40" s="112">
        <v>-5.9489999999999998</v>
      </c>
      <c r="D40" s="112">
        <v>-1.1499963271255311</v>
      </c>
      <c r="E40" s="112">
        <v>-4.5419999999999998</v>
      </c>
      <c r="F40" s="112">
        <v>3.5000000000000003E-2</v>
      </c>
      <c r="G40" s="112">
        <v>-4.9889999999999999</v>
      </c>
      <c r="H40" s="112">
        <v>-15.445</v>
      </c>
      <c r="I40" s="218">
        <v>-2.9856603248367506</v>
      </c>
      <c r="J40" s="139"/>
      <c r="K40" s="139"/>
      <c r="N40" s="140"/>
    </row>
    <row r="41" spans="2:14" x14ac:dyDescent="0.25">
      <c r="B41" s="126" t="s">
        <v>80</v>
      </c>
      <c r="C41" s="112">
        <v>-7.5170000000000003</v>
      </c>
      <c r="D41" s="112">
        <v>-1.4410984325634184</v>
      </c>
      <c r="E41" s="112">
        <v>-8.07</v>
      </c>
      <c r="F41" s="112">
        <v>-9.2999999999999999E-2</v>
      </c>
      <c r="G41" s="112">
        <v>-6.9720000000000004</v>
      </c>
      <c r="H41" s="112">
        <v>-22.652000000000001</v>
      </c>
      <c r="I41" s="218">
        <v>-4.3426582006686916</v>
      </c>
      <c r="J41" s="139"/>
      <c r="K41" s="139"/>
      <c r="N41" s="140"/>
    </row>
    <row r="42" spans="2:14" x14ac:dyDescent="0.25">
      <c r="B42" s="126" t="s">
        <v>81</v>
      </c>
      <c r="C42" s="112">
        <v>-6.6189999999999998</v>
      </c>
      <c r="D42" s="112">
        <v>-1.2603753896424144</v>
      </c>
      <c r="E42" s="112">
        <v>-4.7320000000000002</v>
      </c>
      <c r="F42" s="112">
        <v>-7.2999999999999995E-2</v>
      </c>
      <c r="G42" s="112">
        <v>-5.7889999999999997</v>
      </c>
      <c r="H42" s="112">
        <v>-17.213000000000001</v>
      </c>
      <c r="I42" s="218">
        <v>-3.2776615171347454</v>
      </c>
      <c r="J42" s="139"/>
      <c r="K42" s="139"/>
      <c r="N42" s="140"/>
    </row>
    <row r="43" spans="2:14" x14ac:dyDescent="0.25">
      <c r="B43" s="126" t="s">
        <v>82</v>
      </c>
      <c r="C43" s="112">
        <v>-5.968</v>
      </c>
      <c r="D43" s="112">
        <v>-1.1194078842478228</v>
      </c>
      <c r="E43" s="112">
        <v>-4.7489999999999997</v>
      </c>
      <c r="F43" s="112">
        <v>-0.17899999999999999</v>
      </c>
      <c r="G43" s="112">
        <v>-4.6689999999999996</v>
      </c>
      <c r="H43" s="112">
        <v>-15.565</v>
      </c>
      <c r="I43" s="218">
        <v>-2.9195012932837403</v>
      </c>
      <c r="J43" s="139"/>
      <c r="K43" s="139"/>
      <c r="N43" s="140"/>
    </row>
    <row r="44" spans="2:14" x14ac:dyDescent="0.25">
      <c r="B44" s="126" t="s">
        <v>83</v>
      </c>
      <c r="C44" s="112">
        <v>-6.51</v>
      </c>
      <c r="D44" s="112">
        <v>-1.2164518100092869</v>
      </c>
      <c r="E44" s="112">
        <v>-8.4740000000000002</v>
      </c>
      <c r="F44" s="112">
        <v>-0.112</v>
      </c>
      <c r="G44" s="112">
        <v>-5.8529999999999998</v>
      </c>
      <c r="H44" s="112">
        <v>-20.949000000000002</v>
      </c>
      <c r="I44" s="218">
        <v>-3.9145082899976269</v>
      </c>
      <c r="J44" s="139"/>
      <c r="K44" s="139"/>
      <c r="N44" s="140"/>
    </row>
    <row r="45" spans="2:14" x14ac:dyDescent="0.25">
      <c r="B45" s="126" t="s">
        <v>84</v>
      </c>
      <c r="C45" s="112">
        <v>-4.7969999999999997</v>
      </c>
      <c r="D45" s="112">
        <v>-0.88715210673196243</v>
      </c>
      <c r="E45" s="112">
        <v>-6.226</v>
      </c>
      <c r="F45" s="112">
        <v>-7.5999999999999998E-2</v>
      </c>
      <c r="G45" s="112">
        <v>-5.7350000000000003</v>
      </c>
      <c r="H45" s="112">
        <v>-16.834</v>
      </c>
      <c r="I45" s="218">
        <v>-3.1132621564990317</v>
      </c>
      <c r="J45" s="139"/>
      <c r="K45" s="139"/>
      <c r="N45" s="140"/>
    </row>
    <row r="46" spans="2:14" x14ac:dyDescent="0.25">
      <c r="B46" s="126" t="s">
        <v>85</v>
      </c>
      <c r="C46" s="112">
        <v>-4.2409999999999997</v>
      </c>
      <c r="D46" s="112">
        <v>-0.77793675251302374</v>
      </c>
      <c r="E46" s="112">
        <v>-7.0970000000000004</v>
      </c>
      <c r="F46" s="112">
        <v>-8.5999999999999993E-2</v>
      </c>
      <c r="G46" s="112">
        <v>-7.3860000000000001</v>
      </c>
      <c r="H46" s="112">
        <v>-18.809999999999999</v>
      </c>
      <c r="I46" s="218">
        <v>-3.4503631961259078</v>
      </c>
      <c r="J46" s="139"/>
      <c r="K46" s="139"/>
      <c r="N46" s="140"/>
    </row>
    <row r="47" spans="2:14" x14ac:dyDescent="0.25">
      <c r="B47" s="126" t="s">
        <v>86</v>
      </c>
      <c r="C47" s="112">
        <v>-10.526</v>
      </c>
      <c r="D47" s="112">
        <v>-1.9120208821889242</v>
      </c>
      <c r="E47" s="112">
        <v>-7.0709999999999997</v>
      </c>
      <c r="F47" s="112">
        <v>-0.112</v>
      </c>
      <c r="G47" s="112">
        <v>-6.54</v>
      </c>
      <c r="H47" s="112">
        <v>-24.248999999999999</v>
      </c>
      <c r="I47" s="218">
        <v>-4.4047686084171787</v>
      </c>
      <c r="J47" s="139"/>
      <c r="K47" s="139"/>
      <c r="N47" s="140"/>
    </row>
    <row r="48" spans="2:14" x14ac:dyDescent="0.25">
      <c r="B48" s="126" t="s">
        <v>87</v>
      </c>
      <c r="C48" s="112">
        <v>-25.395</v>
      </c>
      <c r="D48" s="112">
        <v>-4.5840674098890943</v>
      </c>
      <c r="E48" s="112">
        <v>-0.45700000000000002</v>
      </c>
      <c r="F48" s="112">
        <v>-0.114</v>
      </c>
      <c r="G48" s="112">
        <v>-6.99</v>
      </c>
      <c r="H48" s="112">
        <v>-32.956000000000003</v>
      </c>
      <c r="I48" s="218">
        <v>-5.9489082717190387</v>
      </c>
      <c r="J48" s="139"/>
      <c r="K48" s="139"/>
      <c r="N48" s="140"/>
    </row>
    <row r="49" spans="2:14" x14ac:dyDescent="0.25">
      <c r="B49" s="126" t="s">
        <v>88</v>
      </c>
      <c r="C49" s="112">
        <v>-9.2680000000000007</v>
      </c>
      <c r="D49" s="112">
        <v>-1.6520646351571762</v>
      </c>
      <c r="E49" s="112">
        <v>2.7650000000000001</v>
      </c>
      <c r="F49" s="112">
        <v>-0.11799999999999999</v>
      </c>
      <c r="G49" s="112">
        <v>-6.4349999999999996</v>
      </c>
      <c r="H49" s="112">
        <v>-13.055999999999999</v>
      </c>
      <c r="I49" s="218">
        <v>-2.327293469638767</v>
      </c>
      <c r="J49" s="139"/>
      <c r="K49" s="139"/>
      <c r="N49" s="140"/>
    </row>
    <row r="50" spans="2:14" x14ac:dyDescent="0.25">
      <c r="B50" s="126" t="s">
        <v>89</v>
      </c>
      <c r="C50" s="112">
        <v>-3.6720000000000002</v>
      </c>
      <c r="D50" s="112">
        <v>-0.64710433147531676</v>
      </c>
      <c r="E50" s="112">
        <v>-2.4700000000000002</v>
      </c>
      <c r="F50" s="112">
        <v>-0.09</v>
      </c>
      <c r="G50" s="112">
        <v>-6.64</v>
      </c>
      <c r="H50" s="112">
        <v>-12.872</v>
      </c>
      <c r="I50" s="218">
        <v>-2.2683896935594441</v>
      </c>
      <c r="J50" s="139"/>
      <c r="K50" s="139"/>
      <c r="N50" s="140"/>
    </row>
    <row r="51" spans="2:14" x14ac:dyDescent="0.25">
      <c r="B51" s="126" t="s">
        <v>90</v>
      </c>
      <c r="C51" s="112">
        <v>11.348000000000001</v>
      </c>
      <c r="D51" s="112">
        <v>1.9890242598561692</v>
      </c>
      <c r="E51" s="112">
        <v>-1.64</v>
      </c>
      <c r="F51" s="112">
        <v>-0.13500000000000001</v>
      </c>
      <c r="G51" s="112">
        <v>-6.5510000000000002</v>
      </c>
      <c r="H51" s="112">
        <v>3.0219999999999998</v>
      </c>
      <c r="I51" s="218">
        <v>0.52968199799835591</v>
      </c>
      <c r="J51" s="139"/>
      <c r="K51" s="139"/>
      <c r="N51" s="140"/>
    </row>
    <row r="52" spans="2:14" x14ac:dyDescent="0.25">
      <c r="B52" s="126" t="s">
        <v>91</v>
      </c>
      <c r="C52" s="112">
        <v>2.391</v>
      </c>
      <c r="D52" s="112">
        <v>0.42744898232817569</v>
      </c>
      <c r="E52" s="112">
        <v>-8.7370000000000001</v>
      </c>
      <c r="F52" s="112">
        <v>-2.8000000000000001E-2</v>
      </c>
      <c r="G52" s="112">
        <v>-6.2309999999999999</v>
      </c>
      <c r="H52" s="112">
        <v>-12.605</v>
      </c>
      <c r="I52" s="218">
        <v>-2.2534481063348619</v>
      </c>
      <c r="J52" s="139"/>
      <c r="K52" s="139"/>
      <c r="N52" s="140"/>
    </row>
    <row r="53" spans="2:14" x14ac:dyDescent="0.25">
      <c r="B53" s="126" t="s">
        <v>92</v>
      </c>
      <c r="C53" s="112">
        <v>22.388999999999999</v>
      </c>
      <c r="D53" s="112">
        <v>4.6524820926506614</v>
      </c>
      <c r="E53" s="112">
        <v>-21.591999999999999</v>
      </c>
      <c r="F53" s="112">
        <v>-6.2E-2</v>
      </c>
      <c r="G53" s="112">
        <v>-8.9589999999999996</v>
      </c>
      <c r="H53" s="112">
        <v>-8.2240000000000002</v>
      </c>
      <c r="I53" s="218">
        <v>-1.7089647920835698</v>
      </c>
      <c r="J53" s="139"/>
      <c r="K53" s="139"/>
      <c r="N53" s="140"/>
    </row>
    <row r="54" spans="2:14" x14ac:dyDescent="0.25">
      <c r="B54" s="126" t="s">
        <v>93</v>
      </c>
      <c r="C54" s="112">
        <v>1.91</v>
      </c>
      <c r="D54" s="112">
        <v>0.3534948798765174</v>
      </c>
      <c r="E54" s="112">
        <v>-6.1109999999999998</v>
      </c>
      <c r="F54" s="112">
        <v>-3.1E-2</v>
      </c>
      <c r="G54" s="112">
        <v>-5.1029999999999998</v>
      </c>
      <c r="H54" s="112">
        <v>-9.3350000000000009</v>
      </c>
      <c r="I54" s="218">
        <v>-1.7276830909148115</v>
      </c>
      <c r="J54" s="139"/>
      <c r="K54" s="139"/>
      <c r="N54" s="140"/>
    </row>
    <row r="55" spans="2:14" x14ac:dyDescent="0.25">
      <c r="B55" s="126" t="s">
        <v>94</v>
      </c>
      <c r="C55" s="112">
        <v>-11.022</v>
      </c>
      <c r="D55" s="112">
        <v>-2.0268145617303133</v>
      </c>
      <c r="E55" s="112">
        <v>-8.2769999999999992</v>
      </c>
      <c r="F55" s="112">
        <v>-0.128</v>
      </c>
      <c r="G55" s="112">
        <v>-8.2089999999999996</v>
      </c>
      <c r="H55" s="112">
        <v>-27.635999999999999</v>
      </c>
      <c r="I55" s="218">
        <v>-5.0819313398638126</v>
      </c>
      <c r="J55" s="139"/>
      <c r="K55" s="139"/>
      <c r="N55" s="140"/>
    </row>
    <row r="56" spans="2:14" x14ac:dyDescent="0.25">
      <c r="B56" s="126" t="s">
        <v>95</v>
      </c>
      <c r="C56" s="112">
        <v>6.7000000000000004E-2</v>
      </c>
      <c r="D56" s="112">
        <v>1.2290961923700643E-2</v>
      </c>
      <c r="E56" s="112">
        <v>0.27700000000000002</v>
      </c>
      <c r="F56" s="112">
        <v>-5.0999999999999997E-2</v>
      </c>
      <c r="G56" s="112">
        <v>-3.6480000000000001</v>
      </c>
      <c r="H56" s="112">
        <v>-3.355</v>
      </c>
      <c r="I56" s="218">
        <v>-0.6154653321494874</v>
      </c>
      <c r="J56" s="139"/>
      <c r="K56" s="139"/>
      <c r="N56" s="140"/>
    </row>
    <row r="57" spans="2:14" x14ac:dyDescent="0.25">
      <c r="B57" s="126" t="s">
        <v>96</v>
      </c>
      <c r="C57" s="112">
        <v>9.2509999999999994</v>
      </c>
      <c r="D57" s="112">
        <v>1.6046138502233207</v>
      </c>
      <c r="E57" s="112">
        <v>-6.0999999999999999E-2</v>
      </c>
      <c r="F57" s="112">
        <v>-4.5999999999999999E-2</v>
      </c>
      <c r="G57" s="112">
        <v>-4.1360000000000001</v>
      </c>
      <c r="H57" s="112">
        <v>5.008</v>
      </c>
      <c r="I57" s="218">
        <v>0.86865270369888559</v>
      </c>
      <c r="J57" s="139"/>
      <c r="K57" s="139"/>
      <c r="N57" s="140"/>
    </row>
    <row r="58" spans="2:14" x14ac:dyDescent="0.25">
      <c r="B58" s="126" t="s">
        <v>97</v>
      </c>
      <c r="C58" s="112">
        <v>-8.7590000000000003</v>
      </c>
      <c r="D58" s="112">
        <v>-1.4777959430207506</v>
      </c>
      <c r="E58" s="112">
        <v>-1.492</v>
      </c>
      <c r="F58" s="112">
        <v>-3.3000000000000002E-2</v>
      </c>
      <c r="G58" s="112">
        <v>-5.2770000000000001</v>
      </c>
      <c r="H58" s="112">
        <v>-15.561</v>
      </c>
      <c r="I58" s="218">
        <v>-2.6254118814186436</v>
      </c>
      <c r="J58" s="139"/>
      <c r="K58" s="139"/>
      <c r="N58" s="140"/>
    </row>
    <row r="59" spans="2:14" x14ac:dyDescent="0.25">
      <c r="B59" s="126" t="s">
        <v>98</v>
      </c>
      <c r="C59" s="112">
        <v>0.38</v>
      </c>
      <c r="D59" s="112">
        <v>6.2468765617191405E-2</v>
      </c>
      <c r="E59" s="112">
        <v>1.671</v>
      </c>
      <c r="F59" s="112">
        <v>-0.129</v>
      </c>
      <c r="G59" s="112">
        <v>-5.5739999999999998</v>
      </c>
      <c r="H59" s="112">
        <v>-3.6520000000000001</v>
      </c>
      <c r="I59" s="218">
        <v>-0.60035771587890263</v>
      </c>
      <c r="J59" s="139"/>
      <c r="K59" s="139"/>
      <c r="N59" s="140"/>
    </row>
    <row r="60" spans="2:14" x14ac:dyDescent="0.25">
      <c r="B60" s="126" t="s">
        <v>99</v>
      </c>
      <c r="C60" s="112">
        <v>-25.395</v>
      </c>
      <c r="D60" s="112">
        <v>-4.0761523818084342</v>
      </c>
      <c r="E60" s="112">
        <v>-5.0179999999999998</v>
      </c>
      <c r="F60" s="112">
        <v>-8.5000000000000006E-2</v>
      </c>
      <c r="G60" s="112">
        <v>-5.9820000000000002</v>
      </c>
      <c r="H60" s="112">
        <v>-36.479999999999997</v>
      </c>
      <c r="I60" s="218">
        <v>-5.8554061385458436</v>
      </c>
      <c r="J60" s="139"/>
      <c r="K60" s="139"/>
      <c r="N60" s="140"/>
    </row>
    <row r="61" spans="2:14" x14ac:dyDescent="0.25">
      <c r="B61" s="126" t="s">
        <v>100</v>
      </c>
      <c r="C61" s="112">
        <v>-18.47</v>
      </c>
      <c r="D61" s="112">
        <v>-2.8891290847858495</v>
      </c>
      <c r="E61" s="112">
        <v>8.8940000000000001</v>
      </c>
      <c r="F61" s="112">
        <v>-0.183</v>
      </c>
      <c r="G61" s="112">
        <v>-6.0350000000000001</v>
      </c>
      <c r="H61" s="112">
        <v>-15.794</v>
      </c>
      <c r="I61" s="218">
        <v>-2.4705416765082679</v>
      </c>
      <c r="J61" s="139"/>
      <c r="K61" s="139"/>
      <c r="N61" s="140"/>
    </row>
    <row r="62" spans="2:14" x14ac:dyDescent="0.25">
      <c r="B62" s="126" t="s">
        <v>101</v>
      </c>
      <c r="C62" s="112">
        <v>5.04</v>
      </c>
      <c r="D62" s="112">
        <v>0.77510676941957724</v>
      </c>
      <c r="E62" s="112">
        <v>-2.1739999999999999</v>
      </c>
      <c r="F62" s="112">
        <v>-0.18099999999999999</v>
      </c>
      <c r="G62" s="112">
        <v>-5.1159999999999997</v>
      </c>
      <c r="H62" s="112">
        <v>-2.431</v>
      </c>
      <c r="I62" s="218">
        <v>-0.37386598342440325</v>
      </c>
      <c r="J62" s="139"/>
      <c r="K62" s="139"/>
      <c r="N62" s="140"/>
    </row>
    <row r="63" spans="2:14" x14ac:dyDescent="0.25">
      <c r="B63" s="126" t="s">
        <v>102</v>
      </c>
      <c r="C63" s="112">
        <v>11.077999999999999</v>
      </c>
      <c r="D63" s="112">
        <v>1.6573684675101621</v>
      </c>
      <c r="E63" s="112">
        <v>0.433</v>
      </c>
      <c r="F63" s="112">
        <v>-0.32</v>
      </c>
      <c r="G63" s="112">
        <v>-5.9329999999999998</v>
      </c>
      <c r="H63" s="112">
        <v>5.258</v>
      </c>
      <c r="I63" s="218">
        <v>0.78664410562993614</v>
      </c>
      <c r="J63" s="139"/>
      <c r="K63" s="139"/>
      <c r="N63" s="140"/>
    </row>
    <row r="64" spans="2:14" x14ac:dyDescent="0.25">
      <c r="B64" s="126" t="s">
        <v>103</v>
      </c>
      <c r="C64" s="112">
        <v>-4.1420000000000003</v>
      </c>
      <c r="D64" s="112">
        <v>-0.60984048740124319</v>
      </c>
      <c r="E64" s="112">
        <v>-10.156000000000001</v>
      </c>
      <c r="F64" s="112">
        <v>-0.13500000000000001</v>
      </c>
      <c r="G64" s="112">
        <v>-5.3579999999999997</v>
      </c>
      <c r="H64" s="112">
        <v>-19.791</v>
      </c>
      <c r="I64" s="218">
        <v>-2.9138949990724301</v>
      </c>
      <c r="J64" s="139"/>
      <c r="K64" s="139"/>
      <c r="N64" s="140"/>
    </row>
    <row r="65" spans="1:14" x14ac:dyDescent="0.25">
      <c r="B65" s="126" t="s">
        <v>104</v>
      </c>
      <c r="C65" s="112">
        <v>-9.0229999999999997</v>
      </c>
      <c r="D65" s="112">
        <v>-1.3084055230576928</v>
      </c>
      <c r="E65" s="112">
        <v>-20.248999999999999</v>
      </c>
      <c r="F65" s="112">
        <v>-0.104</v>
      </c>
      <c r="G65" s="112">
        <v>-5.306</v>
      </c>
      <c r="H65" s="112">
        <v>-34.682000000000002</v>
      </c>
      <c r="I65" s="218">
        <v>-5.0291610717817692</v>
      </c>
      <c r="J65" s="139"/>
      <c r="K65" s="139"/>
      <c r="N65" s="140"/>
    </row>
    <row r="66" spans="1:14" x14ac:dyDescent="0.25">
      <c r="B66" s="126" t="s">
        <v>105</v>
      </c>
      <c r="C66" s="112">
        <v>-6.665</v>
      </c>
      <c r="D66" s="112">
        <v>-0.96178544320054493</v>
      </c>
      <c r="E66" s="112">
        <v>-3.8210000000000002</v>
      </c>
      <c r="F66" s="112">
        <v>-0.20799999999999999</v>
      </c>
      <c r="G66" s="112">
        <v>-5.0449999999999999</v>
      </c>
      <c r="H66" s="112">
        <v>-15.739000000000001</v>
      </c>
      <c r="I66" s="218">
        <v>-2.2711989633208365</v>
      </c>
      <c r="J66" s="139"/>
      <c r="K66" s="139"/>
      <c r="N66" s="140"/>
    </row>
    <row r="67" spans="1:14" x14ac:dyDescent="0.25">
      <c r="B67" s="126" t="s">
        <v>106</v>
      </c>
      <c r="C67" s="112">
        <v>-12.311</v>
      </c>
      <c r="D67" s="112">
        <v>-1.7832466648319016</v>
      </c>
      <c r="E67" s="112">
        <v>-11.069000000000001</v>
      </c>
      <c r="F67" s="112">
        <v>-0.20599999999999999</v>
      </c>
      <c r="G67" s="112">
        <v>-4.4589999999999996</v>
      </c>
      <c r="H67" s="112">
        <v>-28.045000000000002</v>
      </c>
      <c r="I67" s="218">
        <v>-4.0623144111128813</v>
      </c>
      <c r="J67" s="139"/>
      <c r="K67" s="139"/>
      <c r="N67" s="140"/>
    </row>
    <row r="68" spans="1:14" x14ac:dyDescent="0.25">
      <c r="B68" s="126" t="s">
        <v>107</v>
      </c>
      <c r="C68" s="112">
        <v>-4.5209999999999999</v>
      </c>
      <c r="D68" s="112">
        <v>-0.64124021332123005</v>
      </c>
      <c r="E68" s="112">
        <v>-10.458</v>
      </c>
      <c r="F68" s="112">
        <v>-7.4999999999999997E-2</v>
      </c>
      <c r="G68" s="112">
        <v>-5.9059999999999997</v>
      </c>
      <c r="H68" s="112">
        <v>-20.96</v>
      </c>
      <c r="I68" s="218">
        <v>-2.9728809712924091</v>
      </c>
      <c r="J68" s="139"/>
      <c r="K68" s="139"/>
      <c r="N68" s="140"/>
    </row>
    <row r="69" spans="1:14" x14ac:dyDescent="0.25">
      <c r="B69" s="126" t="s">
        <v>108</v>
      </c>
      <c r="C69" s="112">
        <v>-11.286</v>
      </c>
      <c r="D69" s="112">
        <v>-1.5722078891792646</v>
      </c>
      <c r="E69" s="112">
        <v>-8.2609999999999992</v>
      </c>
      <c r="F69" s="112">
        <v>-0.21</v>
      </c>
      <c r="G69" s="112">
        <v>-3.6560000000000001</v>
      </c>
      <c r="H69" s="112">
        <v>-23.413</v>
      </c>
      <c r="I69" s="218">
        <v>-3.261572152166766</v>
      </c>
      <c r="J69" s="139"/>
      <c r="K69" s="139"/>
      <c r="N69" s="140"/>
    </row>
    <row r="70" spans="1:14" x14ac:dyDescent="0.25">
      <c r="B70" s="126" t="s">
        <v>109</v>
      </c>
      <c r="C70" s="112">
        <v>1.492</v>
      </c>
      <c r="D70" s="112">
        <v>0.20436620451413715</v>
      </c>
      <c r="E70" s="112">
        <v>-13.301</v>
      </c>
      <c r="F70" s="112">
        <v>-0.157</v>
      </c>
      <c r="G70" s="112">
        <v>-2.141</v>
      </c>
      <c r="H70" s="112">
        <v>-14.106999999999999</v>
      </c>
      <c r="I70" s="218">
        <v>-1.9323016401346735</v>
      </c>
      <c r="J70" s="139"/>
      <c r="K70" s="139"/>
      <c r="N70" s="140"/>
    </row>
    <row r="71" spans="1:14" x14ac:dyDescent="0.25">
      <c r="B71" s="126" t="s">
        <v>110</v>
      </c>
      <c r="C71" s="112">
        <v>-6.4489999999999998</v>
      </c>
      <c r="D71" s="112">
        <v>-0.87466838824480408</v>
      </c>
      <c r="E71" s="112">
        <v>-14.782999999999999</v>
      </c>
      <c r="F71" s="112">
        <v>-0.16800000000000001</v>
      </c>
      <c r="G71" s="112">
        <v>-5.5439999999999996</v>
      </c>
      <c r="H71" s="112">
        <v>-26.943999999999999</v>
      </c>
      <c r="I71" s="218">
        <v>-3.6543751051121105</v>
      </c>
      <c r="J71" s="139"/>
      <c r="K71" s="139"/>
      <c r="N71" s="140"/>
    </row>
    <row r="72" spans="1:14" x14ac:dyDescent="0.25">
      <c r="B72" s="126" t="s">
        <v>111</v>
      </c>
      <c r="C72" s="112">
        <v>-9.0280000000000005</v>
      </c>
      <c r="D72" s="112">
        <v>-1.2075831082825381</v>
      </c>
      <c r="E72" s="112">
        <v>-9.2520000000000007</v>
      </c>
      <c r="F72" s="112">
        <v>-9.0999999999999998E-2</v>
      </c>
      <c r="G72" s="112">
        <v>-4.819</v>
      </c>
      <c r="H72" s="112">
        <v>-23.19</v>
      </c>
      <c r="I72" s="218">
        <v>-3.1018888215631435</v>
      </c>
      <c r="J72" s="139"/>
      <c r="K72" s="139"/>
      <c r="N72" s="140"/>
    </row>
    <row r="73" spans="1:14" x14ac:dyDescent="0.25">
      <c r="B73" s="126" t="s">
        <v>112</v>
      </c>
      <c r="C73" s="112">
        <v>-11.284000000000001</v>
      </c>
      <c r="D73" s="112">
        <v>-1.4926972393567275</v>
      </c>
      <c r="E73" s="112">
        <v>-8.9610000000000003</v>
      </c>
      <c r="F73" s="112">
        <v>-0.161</v>
      </c>
      <c r="G73" s="112">
        <v>-4.0759999999999996</v>
      </c>
      <c r="H73" s="112">
        <v>-24.481999999999999</v>
      </c>
      <c r="I73" s="218">
        <v>-3.2385868321456397</v>
      </c>
      <c r="J73" s="139"/>
      <c r="K73" s="139"/>
      <c r="N73" s="140"/>
    </row>
    <row r="74" spans="1:14" x14ac:dyDescent="0.25">
      <c r="B74" s="126" t="s">
        <v>113</v>
      </c>
      <c r="C74" s="112">
        <v>-7.6849999999999996</v>
      </c>
      <c r="D74" s="112">
        <v>-1.0074302074375485</v>
      </c>
      <c r="E74" s="112">
        <v>-8.1069999999999993</v>
      </c>
      <c r="F74" s="112">
        <v>-0.14799999999999999</v>
      </c>
      <c r="G74" s="112">
        <v>-4.1550000000000002</v>
      </c>
      <c r="H74" s="112">
        <v>-20.094999999999999</v>
      </c>
      <c r="I74" s="218">
        <v>-2.6342628521089835</v>
      </c>
      <c r="J74" s="139"/>
      <c r="K74" s="139"/>
      <c r="N74" s="140"/>
    </row>
    <row r="75" spans="1:14" x14ac:dyDescent="0.25">
      <c r="B75" s="126" t="s">
        <v>114</v>
      </c>
      <c r="C75" s="112">
        <v>-11.468</v>
      </c>
      <c r="D75" s="112">
        <v>-1.4942447861697665</v>
      </c>
      <c r="E75" s="112">
        <v>-11.771000000000001</v>
      </c>
      <c r="F75" s="112">
        <v>-0.152</v>
      </c>
      <c r="G75" s="112">
        <v>-3.7869999999999999</v>
      </c>
      <c r="H75" s="112">
        <v>-27.178000000000001</v>
      </c>
      <c r="I75" s="218">
        <v>-3.5412089988247222</v>
      </c>
      <c r="J75" s="139"/>
      <c r="K75" s="139"/>
      <c r="N75" s="140"/>
    </row>
    <row r="76" spans="1:14" x14ac:dyDescent="0.25">
      <c r="B76" s="126" t="s">
        <v>115</v>
      </c>
      <c r="C76" s="112">
        <v>-14.726000000000001</v>
      </c>
      <c r="D76" s="112">
        <v>-1.8865120664519583</v>
      </c>
      <c r="E76" s="112">
        <v>-3.766</v>
      </c>
      <c r="F76" s="112">
        <v>-0.124</v>
      </c>
      <c r="G76" s="112">
        <v>-3.5179999999999998</v>
      </c>
      <c r="H76" s="112">
        <v>-22.134</v>
      </c>
      <c r="I76" s="218">
        <v>-2.8355329402993106</v>
      </c>
      <c r="J76" s="139"/>
      <c r="K76" s="139"/>
      <c r="N76" s="140"/>
    </row>
    <row r="77" spans="1:14" x14ac:dyDescent="0.25">
      <c r="B77" s="126" t="s">
        <v>116</v>
      </c>
      <c r="C77" s="112">
        <v>-16.54</v>
      </c>
      <c r="D77" s="112">
        <v>-2.1026430502816447</v>
      </c>
      <c r="E77" s="112">
        <v>-3.6230942100000001</v>
      </c>
      <c r="F77" s="112">
        <v>-4.8732635999999954E-2</v>
      </c>
      <c r="G77" s="112">
        <v>-3.8494901100000005</v>
      </c>
      <c r="H77" s="112">
        <v>-24.061316900000005</v>
      </c>
      <c r="I77" s="218">
        <v>-3.0587884377514691</v>
      </c>
      <c r="J77" s="139"/>
      <c r="K77" s="139"/>
      <c r="N77" s="140"/>
    </row>
    <row r="78" spans="1:14" x14ac:dyDescent="0.25">
      <c r="B78" s="126" t="s">
        <v>117</v>
      </c>
      <c r="C78" s="112">
        <v>-18.835152699999998</v>
      </c>
      <c r="D78" s="112">
        <v>-2.3724538168608018</v>
      </c>
      <c r="E78" s="112">
        <v>-4.2130357800000002</v>
      </c>
      <c r="F78" s="112">
        <v>-1.7552332999999976E-2</v>
      </c>
      <c r="G78" s="112">
        <v>-3.65495708</v>
      </c>
      <c r="H78" s="112">
        <v>-26.720697899999998</v>
      </c>
      <c r="I78" s="218">
        <v>-3.3657078724952108</v>
      </c>
      <c r="J78" s="139"/>
      <c r="K78" s="139"/>
      <c r="N78" s="140"/>
    </row>
    <row r="79" spans="1:14" x14ac:dyDescent="0.25">
      <c r="B79" s="126" t="s">
        <v>118</v>
      </c>
      <c r="C79" s="112">
        <v>-20.226762999999998</v>
      </c>
      <c r="D79" s="112">
        <v>-2.527316229717242</v>
      </c>
      <c r="E79" s="112">
        <v>-4.7319816000000001</v>
      </c>
      <c r="F79" s="112">
        <v>-5.5362700000000586E-4</v>
      </c>
      <c r="G79" s="112">
        <v>-3.5010200999999999</v>
      </c>
      <c r="H79" s="112">
        <v>-28.460318299999997</v>
      </c>
      <c r="I79" s="218">
        <v>-3.5560917158375087</v>
      </c>
      <c r="J79" s="139"/>
      <c r="K79" s="139"/>
      <c r="N79" s="140"/>
    </row>
    <row r="80" spans="1:14" s="2" customFormat="1" ht="15.75" x14ac:dyDescent="0.25">
      <c r="A80" s="7"/>
      <c r="B80" s="47" t="s">
        <v>119</v>
      </c>
      <c r="C80" s="112">
        <v>-17.199758200000002</v>
      </c>
      <c r="D80" s="112">
        <v>-2.1333728065772628</v>
      </c>
      <c r="E80" s="112">
        <v>-6.5115542900000003</v>
      </c>
      <c r="F80" s="112">
        <v>5.1477499999999735E-3</v>
      </c>
      <c r="G80" s="112">
        <v>-3.6692448700000004</v>
      </c>
      <c r="H80" s="112">
        <v>-27.375409599999998</v>
      </c>
      <c r="I80" s="218">
        <v>-3.3955102002279394</v>
      </c>
      <c r="J80" s="139"/>
      <c r="M80" s="27"/>
      <c r="N80" s="27"/>
    </row>
    <row r="81" spans="1:14" s="2" customFormat="1" ht="15.75" x14ac:dyDescent="0.25">
      <c r="A81" s="7"/>
      <c r="B81" s="47" t="s">
        <v>120</v>
      </c>
      <c r="C81" s="112">
        <v>-13.757841899999999</v>
      </c>
      <c r="D81" s="112">
        <v>-1.6922556317670439</v>
      </c>
      <c r="E81" s="112">
        <v>-7.4620774000000001</v>
      </c>
      <c r="F81" s="112">
        <v>1.2906054999999923E-2</v>
      </c>
      <c r="G81" s="112">
        <v>-3.7299643300000005</v>
      </c>
      <c r="H81" s="112">
        <v>-24.936977500000001</v>
      </c>
      <c r="I81" s="218">
        <v>-3.0673226891510548</v>
      </c>
      <c r="J81" s="139"/>
      <c r="M81" s="27"/>
      <c r="N81" s="27"/>
    </row>
    <row r="82" spans="1:14" s="2" customFormat="1" ht="15.75" x14ac:dyDescent="0.25">
      <c r="A82" s="7"/>
      <c r="B82" s="47" t="s">
        <v>121</v>
      </c>
      <c r="C82" s="112">
        <v>-12.5362878</v>
      </c>
      <c r="D82" s="112">
        <v>-1.5310728011847534</v>
      </c>
      <c r="E82" s="112">
        <v>-7.9693719000000005</v>
      </c>
      <c r="F82" s="112">
        <v>1.784121300000004E-2</v>
      </c>
      <c r="G82" s="112">
        <v>-3.8393020299999989</v>
      </c>
      <c r="H82" s="112">
        <v>-24.327120499999999</v>
      </c>
      <c r="I82" s="218">
        <v>-2.971102221240808</v>
      </c>
      <c r="J82" s="139"/>
      <c r="M82" s="27"/>
      <c r="N82" s="27"/>
    </row>
    <row r="83" spans="1:14" s="2" customFormat="1" ht="15.75" x14ac:dyDescent="0.25">
      <c r="A83" s="7"/>
      <c r="B83" s="47" t="s">
        <v>122</v>
      </c>
      <c r="C83" s="112">
        <v>-12.237061799999999</v>
      </c>
      <c r="D83" s="112">
        <v>-1.4818190332540842</v>
      </c>
      <c r="E83" s="112">
        <v>-8.560048179999999</v>
      </c>
      <c r="F83" s="112">
        <v>2.2395598999999947E-2</v>
      </c>
      <c r="G83" s="112">
        <v>-3.9573124300000009</v>
      </c>
      <c r="H83" s="112">
        <v>-24.7320268</v>
      </c>
      <c r="I83" s="218">
        <v>-2.9948682651247296</v>
      </c>
      <c r="J83" s="139"/>
      <c r="M83" s="27"/>
      <c r="N83" s="27"/>
    </row>
    <row r="84" spans="1:14" x14ac:dyDescent="0.25">
      <c r="B84" s="126" t="s">
        <v>123</v>
      </c>
      <c r="C84" s="112">
        <v>-11.8082063</v>
      </c>
      <c r="D84" s="112">
        <v>-1.4168228154191138</v>
      </c>
      <c r="E84" s="112">
        <v>-8.6272858199999991</v>
      </c>
      <c r="F84" s="112">
        <v>2.5933001999999986E-2</v>
      </c>
      <c r="G84" s="112">
        <v>-4.0716135500000004</v>
      </c>
      <c r="H84" s="112">
        <v>-24.481172699999998</v>
      </c>
      <c r="I84" s="218">
        <v>-2.9374049833102553</v>
      </c>
      <c r="J84" s="139"/>
      <c r="K84" s="139"/>
      <c r="N84" s="140"/>
    </row>
    <row r="85" spans="1:14" x14ac:dyDescent="0.25">
      <c r="B85" s="126" t="s">
        <v>124</v>
      </c>
      <c r="C85" s="112">
        <v>-11.421105499999999</v>
      </c>
      <c r="D85" s="112">
        <v>-1.3575361701836219</v>
      </c>
      <c r="E85" s="112">
        <v>-8.6781805799999994</v>
      </c>
      <c r="F85" s="112">
        <v>2.8949495999999953E-2</v>
      </c>
      <c r="G85" s="112">
        <v>-4.1677844900000025</v>
      </c>
      <c r="H85" s="112">
        <v>-24.238121100000001</v>
      </c>
      <c r="I85" s="218">
        <v>-2.8809930956806973</v>
      </c>
      <c r="J85" s="139"/>
      <c r="N85" s="140"/>
    </row>
    <row r="86" spans="1:14" x14ac:dyDescent="0.25">
      <c r="B86" s="126" t="s">
        <v>125</v>
      </c>
      <c r="C86" s="112">
        <v>-10.935902599999999</v>
      </c>
      <c r="D86" s="112">
        <v>-1.2873770175975328</v>
      </c>
      <c r="E86" s="112">
        <v>-8.8223952599999969</v>
      </c>
      <c r="F86" s="112">
        <v>3.1044333000000052E-2</v>
      </c>
      <c r="G86" s="112">
        <v>-4.2301820499999998</v>
      </c>
      <c r="H86" s="112">
        <v>-23.957435499999999</v>
      </c>
      <c r="I86" s="218">
        <v>-2.8202749230114077</v>
      </c>
      <c r="J86" s="139"/>
      <c r="N86" s="140"/>
    </row>
    <row r="87" spans="1:14" x14ac:dyDescent="0.25">
      <c r="B87" s="126" t="s">
        <v>126</v>
      </c>
      <c r="C87" s="112">
        <v>-10.746602600000001</v>
      </c>
      <c r="D87" s="112">
        <v>-1.2531411254016642</v>
      </c>
      <c r="E87" s="112">
        <v>-9.0219519999999971</v>
      </c>
      <c r="F87" s="112">
        <v>3.2614073999999958E-2</v>
      </c>
      <c r="G87" s="112">
        <v>-4.2528449300000002</v>
      </c>
      <c r="H87" s="112">
        <v>-23.988785500000006</v>
      </c>
      <c r="I87" s="218">
        <v>-2.7972871778555515</v>
      </c>
      <c r="J87" s="139"/>
      <c r="N87" s="140"/>
    </row>
    <row r="88" spans="1:14" x14ac:dyDescent="0.25">
      <c r="B88" s="126" t="s">
        <v>127</v>
      </c>
      <c r="C88" s="112">
        <v>-10.400097299999999</v>
      </c>
      <c r="D88" s="112">
        <v>-1.2012921467197419</v>
      </c>
      <c r="E88" s="112">
        <v>-9.2522156400000011</v>
      </c>
      <c r="F88" s="112">
        <v>3.3963910999999937E-2</v>
      </c>
      <c r="G88" s="112">
        <v>-4.2399859700000002</v>
      </c>
      <c r="H88" s="112">
        <v>-23.858335</v>
      </c>
      <c r="I88" s="218">
        <v>-2.7558233007405382</v>
      </c>
      <c r="J88" s="139"/>
      <c r="N88" s="140"/>
    </row>
    <row r="89" spans="1:14" x14ac:dyDescent="0.25">
      <c r="B89" s="126" t="s">
        <v>128</v>
      </c>
      <c r="C89" s="112">
        <v>-10.0016307</v>
      </c>
      <c r="D89" s="112">
        <v>-1.1446233163645338</v>
      </c>
      <c r="E89" s="112">
        <v>-9.4093448100000003</v>
      </c>
      <c r="F89" s="112">
        <v>3.5095590999999898E-2</v>
      </c>
      <c r="G89" s="112">
        <v>-4.2076753300000007</v>
      </c>
      <c r="H89" s="112">
        <v>-23.583555199999999</v>
      </c>
      <c r="I89" s="218">
        <v>-2.6989885923992425</v>
      </c>
      <c r="J89" s="139"/>
      <c r="N89" s="140"/>
    </row>
    <row r="90" spans="1:14" x14ac:dyDescent="0.25">
      <c r="B90" s="126" t="s">
        <v>129</v>
      </c>
      <c r="C90" s="112">
        <v>-9.6548258600000008</v>
      </c>
      <c r="D90" s="112">
        <v>-1.0950129911145858</v>
      </c>
      <c r="E90" s="112">
        <v>-9.5293402</v>
      </c>
      <c r="F90" s="112">
        <v>3.6190374000000018E-2</v>
      </c>
      <c r="G90" s="112">
        <v>-4.1866107599999998</v>
      </c>
      <c r="H90" s="112">
        <v>-23.334586399999999</v>
      </c>
      <c r="I90" s="218">
        <v>-2.6465184997428564</v>
      </c>
      <c r="J90" s="139"/>
      <c r="N90" s="140"/>
    </row>
    <row r="91" spans="1:14" x14ac:dyDescent="0.25">
      <c r="B91" s="126" t="s">
        <v>130</v>
      </c>
      <c r="C91" s="112">
        <v>-9.3465235399999997</v>
      </c>
      <c r="D91" s="112">
        <v>-1.0506022912469379</v>
      </c>
      <c r="E91" s="112">
        <v>-9.5831455400000003</v>
      </c>
      <c r="F91" s="112">
        <v>3.7688161999999921E-2</v>
      </c>
      <c r="G91" s="112">
        <v>-4.1912534199999998</v>
      </c>
      <c r="H91" s="112">
        <v>-23.083234300000001</v>
      </c>
      <c r="I91" s="218">
        <v>-2.5946865421332808</v>
      </c>
      <c r="J91" s="139"/>
      <c r="N91" s="140"/>
    </row>
    <row r="92" spans="1:14" x14ac:dyDescent="0.25">
      <c r="B92" s="47" t="s">
        <v>131</v>
      </c>
      <c r="C92" s="112">
        <v>-9.1299789499999999</v>
      </c>
      <c r="D92" s="112">
        <v>-1.0169124910701122</v>
      </c>
      <c r="E92" s="112">
        <v>-9.6439927700000005</v>
      </c>
      <c r="F92" s="112">
        <v>3.8997095999999939E-2</v>
      </c>
      <c r="G92" s="112">
        <v>-4.2268722800000003</v>
      </c>
      <c r="H92" s="112">
        <v>-22.961846900000001</v>
      </c>
      <c r="I92" s="218">
        <v>-2.5575293282192653</v>
      </c>
      <c r="J92" s="139"/>
      <c r="N92" s="140"/>
    </row>
    <row r="93" spans="1:14" x14ac:dyDescent="0.25">
      <c r="B93" s="47" t="s">
        <v>132</v>
      </c>
      <c r="C93" s="112">
        <v>-9.0742951900000008</v>
      </c>
      <c r="D93" s="112">
        <v>-1.0016188311583853</v>
      </c>
      <c r="E93" s="112">
        <v>-9.7127797699999991</v>
      </c>
      <c r="F93" s="112">
        <v>4.0360176000000025E-2</v>
      </c>
      <c r="G93" s="112">
        <v>-4.2859465800000001</v>
      </c>
      <c r="H93" s="112">
        <v>-23.032661400000002</v>
      </c>
      <c r="I93" s="218">
        <v>-2.5423404139814916</v>
      </c>
      <c r="J93" s="139"/>
      <c r="N93" s="140"/>
    </row>
    <row r="94" spans="1:14" x14ac:dyDescent="0.25">
      <c r="B94" s="47" t="s">
        <v>133</v>
      </c>
      <c r="C94" s="112">
        <v>-9.0939503600000009</v>
      </c>
      <c r="D94" s="112">
        <v>-0.99477877435572004</v>
      </c>
      <c r="E94" s="112">
        <v>-9.7315488900000009</v>
      </c>
      <c r="F94" s="112">
        <v>4.1726019999999947E-2</v>
      </c>
      <c r="G94" s="112">
        <v>-4.3502774299999993</v>
      </c>
      <c r="H94" s="112">
        <v>-23.1340507</v>
      </c>
      <c r="I94" s="218">
        <v>-2.5306122961099033</v>
      </c>
      <c r="J94" s="139"/>
      <c r="N94" s="140"/>
    </row>
    <row r="95" spans="1:14" x14ac:dyDescent="0.25">
      <c r="B95" s="47" t="s">
        <v>134</v>
      </c>
      <c r="C95" s="112">
        <v>-9.0793625900000023</v>
      </c>
      <c r="D95" s="112">
        <v>-0.98438404571366789</v>
      </c>
      <c r="E95" s="112">
        <v>-9.7069395200000006</v>
      </c>
      <c r="F95" s="112">
        <v>4.3248604000000003E-2</v>
      </c>
      <c r="G95" s="112">
        <v>-4.4088044499999999</v>
      </c>
      <c r="H95" s="112">
        <v>-23.151858000000001</v>
      </c>
      <c r="I95" s="218">
        <v>-2.5101233063353559</v>
      </c>
      <c r="J95" s="139"/>
      <c r="N95" s="140"/>
    </row>
    <row r="96" spans="1:14" x14ac:dyDescent="0.25">
      <c r="B96" s="47" t="s">
        <v>135</v>
      </c>
      <c r="C96" s="112">
        <v>-8.9846385599999987</v>
      </c>
      <c r="D96" s="112">
        <v>-0.96556347570722367</v>
      </c>
      <c r="E96" s="112">
        <v>-9.7139309400000009</v>
      </c>
      <c r="F96" s="112">
        <v>4.4935573999999971E-2</v>
      </c>
      <c r="G96" s="112">
        <v>-4.4567457499999978</v>
      </c>
      <c r="H96" s="112">
        <v>-23.110379700000003</v>
      </c>
      <c r="I96" s="218">
        <v>-2.4836323018480635</v>
      </c>
      <c r="J96" s="139"/>
      <c r="N96" s="140"/>
    </row>
    <row r="97" spans="2:14" x14ac:dyDescent="0.25">
      <c r="B97" s="47" t="s">
        <v>645</v>
      </c>
      <c r="C97" s="112">
        <v>-8.8283222099999996</v>
      </c>
      <c r="D97" s="112">
        <v>-0.94045975488198919</v>
      </c>
      <c r="E97" s="112">
        <v>-9.7050649399999998</v>
      </c>
      <c r="F97" s="112">
        <v>4.6765810999999984E-2</v>
      </c>
      <c r="G97" s="112">
        <v>-4.4946108699999998</v>
      </c>
      <c r="H97" s="112">
        <v>-22.981232199999997</v>
      </c>
      <c r="I97" s="218">
        <v>-2.448134932956652</v>
      </c>
      <c r="J97" s="139"/>
      <c r="N97" s="140"/>
    </row>
    <row r="98" spans="2:14" x14ac:dyDescent="0.25">
      <c r="B98" s="47" t="s">
        <v>646</v>
      </c>
      <c r="C98" s="112">
        <v>-8.6418554299999997</v>
      </c>
      <c r="D98" s="112">
        <v>-0.91301247121099471</v>
      </c>
      <c r="E98" s="112">
        <v>-9.7024401400000002</v>
      </c>
      <c r="F98" s="112">
        <v>4.868686500000001E-2</v>
      </c>
      <c r="G98" s="112">
        <v>-4.5267143699999979</v>
      </c>
      <c r="H98" s="112">
        <v>-22.822323100000002</v>
      </c>
      <c r="I98" s="218">
        <v>-2.4111796108011001</v>
      </c>
      <c r="J98" s="139"/>
      <c r="N98" s="140"/>
    </row>
    <row r="99" spans="2:14" x14ac:dyDescent="0.25">
      <c r="B99" s="47" t="s">
        <v>647</v>
      </c>
      <c r="C99" s="112">
        <v>-8.4444913899999996</v>
      </c>
      <c r="D99" s="112">
        <v>-0.88483974258093789</v>
      </c>
      <c r="E99" s="112">
        <v>-9.7871129299999975</v>
      </c>
      <c r="F99" s="112">
        <v>5.0533259999999927E-2</v>
      </c>
      <c r="G99" s="112">
        <v>-4.5565866599999989</v>
      </c>
      <c r="H99" s="112">
        <v>-22.7376577</v>
      </c>
      <c r="I99" s="218">
        <v>-2.3825216057401275</v>
      </c>
      <c r="J99" s="139"/>
      <c r="N99" s="140"/>
    </row>
    <row r="100" spans="2:14" x14ac:dyDescent="0.25">
      <c r="B100" s="47" t="s">
        <v>648</v>
      </c>
      <c r="C100" s="112">
        <v>-8.307085660000002</v>
      </c>
      <c r="D100" s="112">
        <v>-0.86334333426645948</v>
      </c>
      <c r="E100" s="112">
        <v>-9.9330839300000004</v>
      </c>
      <c r="F100" s="112">
        <v>5.2624469999999972E-2</v>
      </c>
      <c r="G100" s="112">
        <v>-4.58503331</v>
      </c>
      <c r="H100" s="112">
        <v>-22.772578399999997</v>
      </c>
      <c r="I100" s="218">
        <v>-2.3667209621262471</v>
      </c>
      <c r="J100" s="139"/>
      <c r="N100" s="140"/>
    </row>
    <row r="101" spans="2:14" x14ac:dyDescent="0.25">
      <c r="B101" s="128">
        <v>2008</v>
      </c>
      <c r="C101" s="383">
        <v>-26.88</v>
      </c>
      <c r="D101" s="383">
        <v>-1.6776753710639696</v>
      </c>
      <c r="E101" s="383">
        <v>-20.315999999999999</v>
      </c>
      <c r="F101" s="383">
        <v>-0.71499999999999997</v>
      </c>
      <c r="G101" s="383">
        <v>-13.634</v>
      </c>
      <c r="H101" s="383">
        <v>-61.545000000000002</v>
      </c>
      <c r="I101" s="391">
        <v>-3.841239981850149</v>
      </c>
      <c r="J101" s="139"/>
    </row>
    <row r="102" spans="2:14" x14ac:dyDescent="0.25">
      <c r="B102" s="8">
        <v>2009</v>
      </c>
      <c r="C102" s="112">
        <v>-19.321000000000002</v>
      </c>
      <c r="D102" s="112">
        <v>-1.2389982076497126</v>
      </c>
      <c r="E102" s="112">
        <v>-12.753</v>
      </c>
      <c r="F102" s="112">
        <v>-0.25900000000000001</v>
      </c>
      <c r="G102" s="112">
        <v>-15.282</v>
      </c>
      <c r="H102" s="112">
        <v>-47.615000000000002</v>
      </c>
      <c r="I102" s="218">
        <v>-3.0534081909446229</v>
      </c>
      <c r="J102" s="139"/>
    </row>
    <row r="103" spans="2:14" x14ac:dyDescent="0.25">
      <c r="B103" s="8">
        <v>2010</v>
      </c>
      <c r="C103" s="112">
        <v>-25.181999999999999</v>
      </c>
      <c r="D103" s="112">
        <v>-1.5584473453110117</v>
      </c>
      <c r="E103" s="112">
        <v>1.0960000000000001</v>
      </c>
      <c r="F103" s="112">
        <v>-0.38900000000000001</v>
      </c>
      <c r="G103" s="112">
        <v>-20.03</v>
      </c>
      <c r="H103" s="112">
        <v>-44.505000000000003</v>
      </c>
      <c r="I103" s="218">
        <v>-2.7542966842612411</v>
      </c>
      <c r="J103" s="139"/>
    </row>
    <row r="104" spans="2:14" x14ac:dyDescent="0.25">
      <c r="B104" s="8">
        <v>2011</v>
      </c>
      <c r="C104" s="112">
        <v>-13.263</v>
      </c>
      <c r="D104" s="112">
        <v>-0.79421777363925161</v>
      </c>
      <c r="E104" s="112">
        <v>7.1139999999999999</v>
      </c>
      <c r="F104" s="112">
        <v>-0.17299999999999999</v>
      </c>
      <c r="G104" s="112">
        <v>-20.908000000000001</v>
      </c>
      <c r="H104" s="112">
        <v>-27.23</v>
      </c>
      <c r="I104" s="218">
        <v>-1.6305926243079865</v>
      </c>
      <c r="J104" s="139"/>
    </row>
    <row r="105" spans="2:14" x14ac:dyDescent="0.25">
      <c r="B105" s="8">
        <v>2012</v>
      </c>
      <c r="C105" s="112">
        <v>-16.696999999999999</v>
      </c>
      <c r="D105" s="112">
        <v>-0.96979278716251538</v>
      </c>
      <c r="E105" s="112">
        <v>-15.811999999999999</v>
      </c>
      <c r="F105" s="112">
        <v>-0.14799999999999999</v>
      </c>
      <c r="G105" s="112">
        <v>-21</v>
      </c>
      <c r="H105" s="112">
        <v>-53.656999999999996</v>
      </c>
      <c r="I105" s="218">
        <v>-3.116498267998987</v>
      </c>
      <c r="J105" s="139"/>
    </row>
    <row r="106" spans="2:14" x14ac:dyDescent="0.25">
      <c r="B106" s="8">
        <v>2013</v>
      </c>
      <c r="C106" s="112">
        <v>-23.335000000000001</v>
      </c>
      <c r="D106" s="112">
        <v>-1.3043074845506497</v>
      </c>
      <c r="E106" s="112">
        <v>-31.242999999999999</v>
      </c>
      <c r="F106" s="112">
        <v>-0.32600000000000001</v>
      </c>
      <c r="G106" s="112">
        <v>-25.863</v>
      </c>
      <c r="H106" s="112">
        <v>-80.766999999999996</v>
      </c>
      <c r="I106" s="218">
        <v>-4.5144633642469394</v>
      </c>
      <c r="J106" s="139"/>
    </row>
    <row r="107" spans="2:14" x14ac:dyDescent="0.25">
      <c r="B107" s="8">
        <v>2014</v>
      </c>
      <c r="C107" s="112">
        <v>-32.945</v>
      </c>
      <c r="D107" s="112">
        <v>-1.7570048200969992</v>
      </c>
      <c r="E107" s="112">
        <v>-32.802999999999997</v>
      </c>
      <c r="F107" s="112">
        <v>-0.46899999999999997</v>
      </c>
      <c r="G107" s="112">
        <v>-24.081</v>
      </c>
      <c r="H107" s="112">
        <v>-90.298000000000002</v>
      </c>
      <c r="I107" s="218">
        <v>-4.8157238198548749</v>
      </c>
      <c r="J107" s="139"/>
    </row>
    <row r="108" spans="2:14" x14ac:dyDescent="0.25">
      <c r="B108" s="8">
        <v>2015</v>
      </c>
      <c r="C108" s="112">
        <v>-26.353999999999999</v>
      </c>
      <c r="D108" s="112">
        <v>-1.3668973701463059</v>
      </c>
      <c r="E108" s="112">
        <v>-41.679000000000002</v>
      </c>
      <c r="F108" s="112">
        <v>-0.09</v>
      </c>
      <c r="G108" s="112">
        <v>-24.082999999999998</v>
      </c>
      <c r="H108" s="112">
        <v>-92.206000000000003</v>
      </c>
      <c r="I108" s="218">
        <v>-4.7824291914589923</v>
      </c>
      <c r="J108" s="139"/>
    </row>
    <row r="109" spans="2:14" x14ac:dyDescent="0.25">
      <c r="B109" s="8">
        <v>2016</v>
      </c>
      <c r="C109" s="112">
        <v>-34.409999999999997</v>
      </c>
      <c r="D109" s="112">
        <v>-1.7164192133203309</v>
      </c>
      <c r="E109" s="112">
        <v>-46.372999999999998</v>
      </c>
      <c r="F109" s="112">
        <v>-0.36</v>
      </c>
      <c r="G109" s="112">
        <v>-24.007999999999999</v>
      </c>
      <c r="H109" s="112">
        <v>-105.151</v>
      </c>
      <c r="I109" s="218">
        <v>-5.2450798227214799</v>
      </c>
      <c r="J109" s="139"/>
    </row>
    <row r="110" spans="2:14" x14ac:dyDescent="0.25">
      <c r="B110" s="8">
        <v>2017</v>
      </c>
      <c r="C110" s="112">
        <v>-26.053000000000001</v>
      </c>
      <c r="D110" s="112">
        <v>-1.2422623832860804</v>
      </c>
      <c r="E110" s="112">
        <v>-22.093</v>
      </c>
      <c r="F110" s="112">
        <v>-0.31</v>
      </c>
      <c r="G110" s="112">
        <v>-22.419</v>
      </c>
      <c r="H110" s="112">
        <v>-70.875</v>
      </c>
      <c r="I110" s="218">
        <v>-3.3794705567650922</v>
      </c>
      <c r="J110" s="139"/>
    </row>
    <row r="111" spans="2:14" x14ac:dyDescent="0.25">
      <c r="B111" s="8">
        <v>2018</v>
      </c>
      <c r="C111" s="112">
        <v>-26.074000000000002</v>
      </c>
      <c r="D111" s="112">
        <v>-1.2007041945441039</v>
      </c>
      <c r="E111" s="112">
        <v>-28.867999999999999</v>
      </c>
      <c r="F111" s="112">
        <v>-0.38600000000000001</v>
      </c>
      <c r="G111" s="112">
        <v>-25.513999999999999</v>
      </c>
      <c r="H111" s="112">
        <v>-80.841999999999999</v>
      </c>
      <c r="I111" s="218">
        <v>-3.7227632313927459</v>
      </c>
      <c r="J111" s="139"/>
    </row>
    <row r="112" spans="2:14" x14ac:dyDescent="0.25">
      <c r="B112" s="8">
        <v>2019</v>
      </c>
      <c r="C112" s="112">
        <v>-26.986999999999998</v>
      </c>
      <c r="D112" s="112">
        <v>-1.1978458570743125</v>
      </c>
      <c r="E112" s="112">
        <v>-1.802</v>
      </c>
      <c r="F112" s="112">
        <v>-0.45700000000000002</v>
      </c>
      <c r="G112" s="112">
        <v>-26.616</v>
      </c>
      <c r="H112" s="112">
        <v>-55.862000000000002</v>
      </c>
      <c r="I112" s="218">
        <v>-2.4794925433684827</v>
      </c>
      <c r="J112" s="139"/>
    </row>
    <row r="113" spans="2:14" x14ac:dyDescent="0.25">
      <c r="B113" s="8">
        <v>2020</v>
      </c>
      <c r="C113" s="112">
        <v>15.667999999999999</v>
      </c>
      <c r="D113" s="112">
        <v>0.7374148123046802</v>
      </c>
      <c r="E113" s="112">
        <v>-44.716999999999999</v>
      </c>
      <c r="F113" s="112">
        <v>-0.249</v>
      </c>
      <c r="G113" s="112">
        <v>-28.501999999999999</v>
      </c>
      <c r="H113" s="112">
        <v>-57.8</v>
      </c>
      <c r="I113" s="218">
        <v>-2.7203584472306939</v>
      </c>
      <c r="J113" s="139"/>
    </row>
    <row r="114" spans="2:14" x14ac:dyDescent="0.25">
      <c r="B114" s="8">
        <v>2021</v>
      </c>
      <c r="C114" s="112">
        <v>0.93899999999999995</v>
      </c>
      <c r="D114" s="112">
        <v>4.0427924630982173E-2</v>
      </c>
      <c r="E114" s="112">
        <v>0.39500000000000002</v>
      </c>
      <c r="F114" s="112">
        <v>-0.25900000000000001</v>
      </c>
      <c r="G114" s="112">
        <v>-18.635000000000002</v>
      </c>
      <c r="H114" s="112">
        <v>-17.559999999999999</v>
      </c>
      <c r="I114" s="218">
        <v>-0.75603232856235025</v>
      </c>
      <c r="J114" s="139"/>
    </row>
    <row r="115" spans="2:14" x14ac:dyDescent="0.25">
      <c r="B115" s="8">
        <v>2022</v>
      </c>
      <c r="C115" s="112">
        <v>-27.747</v>
      </c>
      <c r="D115" s="112">
        <v>-1.0750696739842593</v>
      </c>
      <c r="E115" s="112">
        <v>2.1349999999999998</v>
      </c>
      <c r="F115" s="112">
        <v>-0.76900000000000002</v>
      </c>
      <c r="G115" s="112">
        <v>-23.065999999999999</v>
      </c>
      <c r="H115" s="112">
        <v>-49.447000000000003</v>
      </c>
      <c r="I115" s="218">
        <v>-1.9158456831188837</v>
      </c>
      <c r="J115" s="139"/>
    </row>
    <row r="116" spans="2:14" x14ac:dyDescent="0.25">
      <c r="B116" s="8">
        <v>2023</v>
      </c>
      <c r="C116" s="112">
        <v>-32.140999999999998</v>
      </c>
      <c r="D116" s="112">
        <v>-1.1678446487927319</v>
      </c>
      <c r="E116" s="112">
        <v>-45.295000000000002</v>
      </c>
      <c r="F116" s="112">
        <v>-0.65300000000000002</v>
      </c>
      <c r="G116" s="112">
        <v>-20.167999999999999</v>
      </c>
      <c r="H116" s="112">
        <v>-98.257000000000005</v>
      </c>
      <c r="I116" s="218">
        <v>-3.5701724170507281</v>
      </c>
      <c r="J116" s="139"/>
    </row>
    <row r="117" spans="2:14" x14ac:dyDescent="0.25">
      <c r="B117" s="8">
        <v>2024</v>
      </c>
      <c r="C117" s="112">
        <v>-20.763999999999999</v>
      </c>
      <c r="D117" s="112">
        <v>-0.7184143677337701</v>
      </c>
      <c r="E117" s="112">
        <v>-46.802999999999997</v>
      </c>
      <c r="F117" s="112">
        <v>-0.61</v>
      </c>
      <c r="G117" s="112">
        <v>-17.247</v>
      </c>
      <c r="H117" s="112">
        <v>-85.424000000000007</v>
      </c>
      <c r="I117" s="218">
        <v>-2.9555879863845878</v>
      </c>
      <c r="J117" s="139"/>
    </row>
    <row r="118" spans="2:14" x14ac:dyDescent="0.25">
      <c r="B118" s="8">
        <v>2025</v>
      </c>
      <c r="C118" s="112">
        <v>-39.465000000000003</v>
      </c>
      <c r="D118" s="112">
        <v>-1.3008155271195234</v>
      </c>
      <c r="E118" s="112">
        <v>-38.091000000000001</v>
      </c>
      <c r="F118" s="112">
        <v>-0.55200000000000005</v>
      </c>
      <c r="G118" s="112">
        <v>-16.837</v>
      </c>
      <c r="H118" s="112">
        <v>-94.944999999999993</v>
      </c>
      <c r="I118" s="218">
        <v>-3.1295053901523664</v>
      </c>
      <c r="J118" s="139"/>
    </row>
    <row r="119" spans="2:14" x14ac:dyDescent="0.25">
      <c r="B119" s="8">
        <v>2026</v>
      </c>
      <c r="C119" s="112">
        <v>-70.327915699999991</v>
      </c>
      <c r="D119" s="112">
        <v>-2.2245398902079878</v>
      </c>
      <c r="E119" s="112">
        <v>-16.334111589999999</v>
      </c>
      <c r="F119" s="112">
        <v>-0.19083859599999994</v>
      </c>
      <c r="G119" s="112">
        <v>-14.523467290000001</v>
      </c>
      <c r="H119" s="112">
        <v>-101.3763331</v>
      </c>
      <c r="I119" s="218">
        <v>-3.2066313164455469</v>
      </c>
      <c r="J119" s="139"/>
    </row>
    <row r="120" spans="2:14" x14ac:dyDescent="0.25">
      <c r="B120" s="8">
        <v>2027</v>
      </c>
      <c r="C120" s="112">
        <v>-55.730949699999996</v>
      </c>
      <c r="D120" s="112">
        <v>-1.7075391762963963</v>
      </c>
      <c r="E120" s="112">
        <v>-30.503051769999999</v>
      </c>
      <c r="F120" s="112">
        <v>5.8290616999999885E-2</v>
      </c>
      <c r="G120" s="112">
        <v>-15.195823660000002</v>
      </c>
      <c r="H120" s="112">
        <v>-101.3715344</v>
      </c>
      <c r="I120" s="218">
        <v>-3.1059199113069811</v>
      </c>
      <c r="J120" s="139"/>
    </row>
    <row r="121" spans="2:14" x14ac:dyDescent="0.25">
      <c r="B121" s="8">
        <v>2028</v>
      </c>
      <c r="C121" s="112">
        <v>-44.911816999999992</v>
      </c>
      <c r="D121" s="112">
        <v>-1.328050727850715</v>
      </c>
      <c r="E121" s="112">
        <v>-35.149813659999992</v>
      </c>
      <c r="F121" s="112">
        <v>0.11854090499999995</v>
      </c>
      <c r="G121" s="112">
        <v>-16.722425020000003</v>
      </c>
      <c r="H121" s="112">
        <v>-96.665514800000011</v>
      </c>
      <c r="I121" s="218">
        <v>-2.8584171352542715</v>
      </c>
      <c r="J121" s="139"/>
    </row>
    <row r="122" spans="2:14" x14ac:dyDescent="0.25">
      <c r="B122" s="8">
        <v>2029</v>
      </c>
      <c r="C122" s="112">
        <v>-39.403077400000001</v>
      </c>
      <c r="D122" s="112">
        <v>-1.1223139090883998</v>
      </c>
      <c r="E122" s="112">
        <v>-37.77404619</v>
      </c>
      <c r="F122" s="112">
        <v>0.14293803799999977</v>
      </c>
      <c r="G122" s="112">
        <v>-16.82552548</v>
      </c>
      <c r="H122" s="112">
        <v>-93.859710899999996</v>
      </c>
      <c r="I122" s="218">
        <v>-2.6733967496174826</v>
      </c>
      <c r="J122" s="139"/>
    </row>
    <row r="123" spans="2:14" x14ac:dyDescent="0.25">
      <c r="B123" s="8">
        <v>2030</v>
      </c>
      <c r="C123" s="112">
        <v>-36.377587090000006</v>
      </c>
      <c r="D123" s="112">
        <v>-0.99930625662491568</v>
      </c>
      <c r="E123" s="112">
        <v>-38.795260949999999</v>
      </c>
      <c r="F123" s="112">
        <v>0.16433189599999992</v>
      </c>
      <c r="G123" s="112">
        <v>-17.271900739999996</v>
      </c>
      <c r="H123" s="112">
        <v>-92.280417000000014</v>
      </c>
      <c r="I123" s="218">
        <v>-2.5349784152508019</v>
      </c>
      <c r="J123" s="139"/>
      <c r="N123" s="140"/>
    </row>
    <row r="124" spans="2:14" x14ac:dyDescent="0.25">
      <c r="B124" s="8">
        <v>2031</v>
      </c>
      <c r="C124" s="112">
        <v>-34.899307589999999</v>
      </c>
      <c r="D124" s="112">
        <v>-0.92568527483818275</v>
      </c>
      <c r="E124" s="112">
        <v>-38.908548949999997</v>
      </c>
      <c r="F124" s="112">
        <v>0.19092150999999991</v>
      </c>
      <c r="G124" s="112">
        <v>-18.034657649999993</v>
      </c>
      <c r="H124" s="112">
        <v>-91.651592699999995</v>
      </c>
      <c r="I124" s="218">
        <v>-2.4310089694205503</v>
      </c>
      <c r="J124" s="139"/>
      <c r="N124" s="140"/>
    </row>
    <row r="125" spans="2:14" x14ac:dyDescent="0.25">
      <c r="B125" s="128" t="s">
        <v>136</v>
      </c>
      <c r="C125" s="383">
        <v>-22.151</v>
      </c>
      <c r="D125" s="383">
        <v>-1.3911532925196386</v>
      </c>
      <c r="E125" s="383">
        <v>-26.791</v>
      </c>
      <c r="F125" s="383">
        <v>-0.60499999999999998</v>
      </c>
      <c r="G125" s="383">
        <v>-13.365</v>
      </c>
      <c r="H125" s="383">
        <v>-62.911999999999999</v>
      </c>
      <c r="I125" s="391">
        <v>-3.9510738088120401</v>
      </c>
      <c r="J125" s="139"/>
    </row>
    <row r="126" spans="2:14" x14ac:dyDescent="0.25">
      <c r="B126" s="8" t="s">
        <v>137</v>
      </c>
      <c r="C126" s="112">
        <v>-19.803999999999998</v>
      </c>
      <c r="D126" s="112">
        <v>-1.2632067745235867</v>
      </c>
      <c r="E126" s="112">
        <v>-5.6079999999999997</v>
      </c>
      <c r="F126" s="112">
        <v>-0.27400000000000002</v>
      </c>
      <c r="G126" s="112">
        <v>-16.088000000000001</v>
      </c>
      <c r="H126" s="112">
        <v>-41.774000000000001</v>
      </c>
      <c r="I126" s="218">
        <v>-2.6645728034209406</v>
      </c>
      <c r="J126" s="139"/>
    </row>
    <row r="127" spans="2:14" x14ac:dyDescent="0.25">
      <c r="B127" s="47" t="s">
        <v>138</v>
      </c>
      <c r="C127" s="112">
        <v>-19.481000000000002</v>
      </c>
      <c r="D127" s="112">
        <v>-1.1920569514524848</v>
      </c>
      <c r="E127" s="112">
        <v>2.66</v>
      </c>
      <c r="F127" s="112">
        <v>-0.39700000000000002</v>
      </c>
      <c r="G127" s="112">
        <v>-20.867999999999999</v>
      </c>
      <c r="H127" s="112">
        <v>-38.085999999999999</v>
      </c>
      <c r="I127" s="218">
        <v>-2.3305108081217254</v>
      </c>
      <c r="J127" s="139"/>
    </row>
    <row r="128" spans="2:14" x14ac:dyDescent="0.25">
      <c r="B128" s="47" t="s">
        <v>139</v>
      </c>
      <c r="C128" s="112">
        <v>-13.651999999999999</v>
      </c>
      <c r="D128" s="112">
        <v>-0.81258180428635107</v>
      </c>
      <c r="E128" s="112">
        <v>2.903</v>
      </c>
      <c r="F128" s="112">
        <v>-0.13800000000000001</v>
      </c>
      <c r="G128" s="112">
        <v>-20.702000000000002</v>
      </c>
      <c r="H128" s="112">
        <v>-31.588999999999999</v>
      </c>
      <c r="I128" s="218">
        <v>-1.8802114426898291</v>
      </c>
      <c r="J128" s="139"/>
    </row>
    <row r="129" spans="2:10" x14ac:dyDescent="0.25">
      <c r="B129" s="47" t="s">
        <v>140</v>
      </c>
      <c r="C129" s="112">
        <v>-18.742999999999999</v>
      </c>
      <c r="D129" s="112">
        <v>-1.080230281604502</v>
      </c>
      <c r="E129" s="112">
        <v>-24.132000000000001</v>
      </c>
      <c r="F129" s="112">
        <v>-0.22900000000000001</v>
      </c>
      <c r="G129" s="112">
        <v>-22.218</v>
      </c>
      <c r="H129" s="112">
        <v>-65.322000000000003</v>
      </c>
      <c r="I129" s="218">
        <v>-3.7647549727882019</v>
      </c>
      <c r="J129" s="139"/>
    </row>
    <row r="130" spans="2:10" x14ac:dyDescent="0.25">
      <c r="B130" s="47" t="s">
        <v>141</v>
      </c>
      <c r="C130" s="112">
        <v>-27.803000000000001</v>
      </c>
      <c r="D130" s="112">
        <v>-1.5363184057609038</v>
      </c>
      <c r="E130" s="112">
        <v>-26.247</v>
      </c>
      <c r="F130" s="112">
        <v>-0.307</v>
      </c>
      <c r="G130" s="112">
        <v>-25.283999999999999</v>
      </c>
      <c r="H130" s="112">
        <v>-79.641000000000005</v>
      </c>
      <c r="I130" s="218">
        <v>-4.4007457523721953</v>
      </c>
      <c r="J130" s="139"/>
    </row>
    <row r="131" spans="2:10" x14ac:dyDescent="0.25">
      <c r="B131" s="47" t="s">
        <v>142</v>
      </c>
      <c r="C131" s="112">
        <v>-36.4</v>
      </c>
      <c r="D131" s="112">
        <v>-1.9234834073134643</v>
      </c>
      <c r="E131" s="112">
        <v>-36.966999999999999</v>
      </c>
      <c r="F131" s="112">
        <v>-0.46400000000000002</v>
      </c>
      <c r="G131" s="112">
        <v>-24.042999999999999</v>
      </c>
      <c r="H131" s="112">
        <v>-97.873999999999995</v>
      </c>
      <c r="I131" s="218">
        <v>-5.1719509617417039</v>
      </c>
      <c r="J131" s="139"/>
    </row>
    <row r="132" spans="2:10" x14ac:dyDescent="0.25">
      <c r="B132" s="47" t="s">
        <v>143</v>
      </c>
      <c r="C132" s="112">
        <v>-23.765000000000001</v>
      </c>
      <c r="D132" s="112">
        <v>-1.2233327362090018</v>
      </c>
      <c r="E132" s="112">
        <v>-46.548999999999999</v>
      </c>
      <c r="F132" s="112">
        <v>-5.0000000000000001E-3</v>
      </c>
      <c r="G132" s="112">
        <v>-24.081</v>
      </c>
      <c r="H132" s="112">
        <v>-94.4</v>
      </c>
      <c r="I132" s="218">
        <v>-4.8593566294184622</v>
      </c>
      <c r="J132" s="139"/>
    </row>
    <row r="133" spans="2:10" x14ac:dyDescent="0.25">
      <c r="B133" s="47" t="s">
        <v>144</v>
      </c>
      <c r="C133" s="112">
        <v>-32.979999999999997</v>
      </c>
      <c r="D133" s="112">
        <v>-1.6250972569954818</v>
      </c>
      <c r="E133" s="112">
        <v>-36.095999999999997</v>
      </c>
      <c r="F133" s="112">
        <v>-0.34</v>
      </c>
      <c r="G133" s="112">
        <v>-23.21</v>
      </c>
      <c r="H133" s="112">
        <v>-92.626000000000005</v>
      </c>
      <c r="I133" s="218">
        <v>-4.5641679359146003</v>
      </c>
      <c r="J133" s="139"/>
    </row>
    <row r="134" spans="2:10" x14ac:dyDescent="0.25">
      <c r="B134" s="47" t="s">
        <v>145</v>
      </c>
      <c r="C134" s="112">
        <v>-26.614000000000001</v>
      </c>
      <c r="D134" s="112">
        <v>-1.2582981534023079</v>
      </c>
      <c r="E134" s="112">
        <v>-26.024999999999999</v>
      </c>
      <c r="F134" s="112">
        <v>-0.45700000000000002</v>
      </c>
      <c r="G134" s="112">
        <v>-23.283000000000001</v>
      </c>
      <c r="H134" s="112">
        <v>-76.379000000000005</v>
      </c>
      <c r="I134" s="218">
        <v>-3.611165351270567</v>
      </c>
      <c r="J134" s="139"/>
    </row>
    <row r="135" spans="2:10" x14ac:dyDescent="0.25">
      <c r="B135" s="47" t="s">
        <v>146</v>
      </c>
      <c r="C135" s="112">
        <v>-44.959000000000003</v>
      </c>
      <c r="D135" s="112">
        <v>-2.0525662213862437</v>
      </c>
      <c r="E135" s="112">
        <v>-20.850999999999999</v>
      </c>
      <c r="F135" s="112">
        <v>-0.38800000000000001</v>
      </c>
      <c r="G135" s="112">
        <v>-26.651</v>
      </c>
      <c r="H135" s="112">
        <v>-92.849000000000004</v>
      </c>
      <c r="I135" s="218">
        <v>-4.2389448406212624</v>
      </c>
      <c r="J135" s="139"/>
    </row>
    <row r="136" spans="2:10" x14ac:dyDescent="0.25">
      <c r="B136" s="47" t="s">
        <v>147</v>
      </c>
      <c r="C136" s="112">
        <v>0.79900000000000004</v>
      </c>
      <c r="D136" s="112">
        <v>3.5379938025330085E-2</v>
      </c>
      <c r="E136" s="112">
        <v>-10.082000000000001</v>
      </c>
      <c r="F136" s="112">
        <v>-0.371</v>
      </c>
      <c r="G136" s="112">
        <v>-25.856999999999999</v>
      </c>
      <c r="H136" s="112">
        <v>-35.511000000000003</v>
      </c>
      <c r="I136" s="218">
        <v>-1.5724367699843513</v>
      </c>
      <c r="J136" s="139"/>
    </row>
    <row r="137" spans="2:10" x14ac:dyDescent="0.25">
      <c r="B137" s="47" t="s">
        <v>148</v>
      </c>
      <c r="C137" s="112">
        <v>13.343999999999999</v>
      </c>
      <c r="D137" s="112">
        <v>0.63227592324177873</v>
      </c>
      <c r="E137" s="112">
        <v>-35.703000000000003</v>
      </c>
      <c r="F137" s="112">
        <v>-0.27200000000000002</v>
      </c>
      <c r="G137" s="112">
        <v>-25.919</v>
      </c>
      <c r="H137" s="112">
        <v>-48.55</v>
      </c>
      <c r="I137" s="218">
        <v>-2.3004343580177125</v>
      </c>
      <c r="J137" s="139"/>
    </row>
    <row r="138" spans="2:10" x14ac:dyDescent="0.25">
      <c r="B138" s="47" t="s">
        <v>149</v>
      </c>
      <c r="C138" s="112">
        <v>-24.523</v>
      </c>
      <c r="D138" s="112">
        <v>-1.0215575597258961</v>
      </c>
      <c r="E138" s="112">
        <v>-4.9000000000000004</v>
      </c>
      <c r="F138" s="112">
        <v>-0.29299999999999998</v>
      </c>
      <c r="G138" s="112">
        <v>-20.969000000000001</v>
      </c>
      <c r="H138" s="112">
        <v>-50.685000000000002</v>
      </c>
      <c r="I138" s="218">
        <v>-2.1113911395305243</v>
      </c>
      <c r="J138" s="139"/>
    </row>
    <row r="139" spans="2:10" x14ac:dyDescent="0.25">
      <c r="B139" s="47" t="s">
        <v>150</v>
      </c>
      <c r="C139" s="112">
        <v>-6.4939999999999998</v>
      </c>
      <c r="D139" s="112">
        <v>-0.24625264823980927</v>
      </c>
      <c r="E139" s="112">
        <v>-3.0030000000000001</v>
      </c>
      <c r="F139" s="112">
        <v>-0.81899999999999995</v>
      </c>
      <c r="G139" s="112">
        <v>-22.442</v>
      </c>
      <c r="H139" s="112">
        <v>-32.758000000000003</v>
      </c>
      <c r="I139" s="218">
        <v>-1.2421842086602513</v>
      </c>
      <c r="J139" s="139"/>
    </row>
    <row r="140" spans="2:10" x14ac:dyDescent="0.25">
      <c r="B140" s="47" t="s">
        <v>151</v>
      </c>
      <c r="C140" s="112">
        <v>-32.520000000000003</v>
      </c>
      <c r="D140" s="112">
        <v>-1.1706221359894313</v>
      </c>
      <c r="E140" s="112">
        <v>-45.597000000000001</v>
      </c>
      <c r="F140" s="112">
        <v>-0.59299999999999997</v>
      </c>
      <c r="G140" s="112">
        <v>-20.716000000000001</v>
      </c>
      <c r="H140" s="112">
        <v>-99.426000000000002</v>
      </c>
      <c r="I140" s="218">
        <v>-3.5790367925241449</v>
      </c>
      <c r="J140" s="139"/>
    </row>
    <row r="141" spans="2:10" x14ac:dyDescent="0.25">
      <c r="B141" s="47" t="s">
        <v>152</v>
      </c>
      <c r="C141" s="112">
        <v>-25.271000000000001</v>
      </c>
      <c r="D141" s="112">
        <v>-0.86166127311467478</v>
      </c>
      <c r="E141" s="112">
        <v>-45.597000000000001</v>
      </c>
      <c r="F141" s="112">
        <v>-0.626</v>
      </c>
      <c r="G141" s="112">
        <v>-16.16</v>
      </c>
      <c r="H141" s="112">
        <v>-87.653999999999996</v>
      </c>
      <c r="I141" s="218">
        <v>-2.988724515594702</v>
      </c>
      <c r="J141" s="139"/>
    </row>
    <row r="142" spans="2:10" x14ac:dyDescent="0.25">
      <c r="B142" s="47" t="s">
        <v>153</v>
      </c>
      <c r="C142" s="112">
        <v>-45.162999999999997</v>
      </c>
      <c r="D142" s="112">
        <v>-1.4726180045916806</v>
      </c>
      <c r="E142" s="112">
        <v>-32.604999999999997</v>
      </c>
      <c r="F142" s="112">
        <v>-0.58499999999999996</v>
      </c>
      <c r="G142" s="112">
        <v>-15.536</v>
      </c>
      <c r="H142" s="112">
        <v>-93.888999999999996</v>
      </c>
      <c r="I142" s="218">
        <v>-3.0614138084960762</v>
      </c>
      <c r="J142" s="139"/>
    </row>
    <row r="143" spans="2:10" x14ac:dyDescent="0.25">
      <c r="B143" s="47" t="s">
        <v>154</v>
      </c>
      <c r="C143" s="112">
        <v>-72.801673899999997</v>
      </c>
      <c r="D143" s="112">
        <v>-2.2842688279876175</v>
      </c>
      <c r="E143" s="112">
        <v>-19.07966588</v>
      </c>
      <c r="F143" s="112">
        <v>-6.1690845999999966E-2</v>
      </c>
      <c r="G143" s="112">
        <v>-14.67471216</v>
      </c>
      <c r="H143" s="112">
        <v>-106.61774270000001</v>
      </c>
      <c r="I143" s="218">
        <v>-3.3453020117991321</v>
      </c>
      <c r="J143" s="139"/>
    </row>
    <row r="144" spans="2:10" x14ac:dyDescent="0.25">
      <c r="B144" s="47" t="s">
        <v>155</v>
      </c>
      <c r="C144" s="112">
        <v>-50.3393978</v>
      </c>
      <c r="D144" s="112">
        <v>-1.5295979217774727</v>
      </c>
      <c r="E144" s="112">
        <v>-32.618783299999997</v>
      </c>
      <c r="F144" s="112">
        <v>7.9075868999999896E-2</v>
      </c>
      <c r="G144" s="112">
        <v>-15.598192339999999</v>
      </c>
      <c r="H144" s="112">
        <v>-98.477297499999992</v>
      </c>
      <c r="I144" s="218">
        <v>-2.9923017791496482</v>
      </c>
      <c r="J144" s="139"/>
    </row>
    <row r="145" spans="2:10" x14ac:dyDescent="0.25">
      <c r="B145" s="47" t="s">
        <v>156</v>
      </c>
      <c r="C145" s="112">
        <v>-43.503707999999996</v>
      </c>
      <c r="D145" s="112">
        <v>-1.2742369668360165</v>
      </c>
      <c r="E145" s="112">
        <v>-35.774743479999998</v>
      </c>
      <c r="F145" s="112">
        <v>0.12657181399999989</v>
      </c>
      <c r="G145" s="112">
        <v>-16.890797440000004</v>
      </c>
      <c r="H145" s="112">
        <v>-96.042677100000006</v>
      </c>
      <c r="I145" s="218">
        <v>-2.8131195059215401</v>
      </c>
      <c r="J145" s="139"/>
    </row>
    <row r="146" spans="2:10" x14ac:dyDescent="0.25">
      <c r="B146" s="47" t="s">
        <v>157</v>
      </c>
      <c r="C146" s="112">
        <v>-38.132959050000004</v>
      </c>
      <c r="D146" s="112">
        <v>-1.0763054495734825</v>
      </c>
      <c r="E146" s="112">
        <v>-38.165823319999994</v>
      </c>
      <c r="F146" s="112">
        <v>0.14797122299999979</v>
      </c>
      <c r="G146" s="112">
        <v>-16.812411790000002</v>
      </c>
      <c r="H146" s="112">
        <v>-92.963222799999997</v>
      </c>
      <c r="I146" s="218">
        <v>-2.623893497967444</v>
      </c>
      <c r="J146" s="139"/>
    </row>
    <row r="147" spans="2:10" x14ac:dyDescent="0.25">
      <c r="B147" s="47" t="s">
        <v>158</v>
      </c>
      <c r="C147" s="112">
        <v>-36.232246700000005</v>
      </c>
      <c r="D147" s="112">
        <v>-0.98645428102839927</v>
      </c>
      <c r="E147" s="112">
        <v>-38.86519912</v>
      </c>
      <c r="F147" s="112">
        <v>0.17027037399999995</v>
      </c>
      <c r="G147" s="112">
        <v>-17.501774209999997</v>
      </c>
      <c r="H147" s="112">
        <v>-92.428949800000012</v>
      </c>
      <c r="I147" s="218">
        <v>-2.5164581698757593</v>
      </c>
      <c r="J147" s="139"/>
    </row>
    <row r="148" spans="2:10" ht="15.75" thickBot="1" x14ac:dyDescent="0.3">
      <c r="B148" s="47" t="s">
        <v>649</v>
      </c>
      <c r="C148" s="112">
        <v>-34.221754690000004</v>
      </c>
      <c r="D148" s="112">
        <v>-0.90014673735881989</v>
      </c>
      <c r="E148" s="112">
        <v>-39.127701940000001</v>
      </c>
      <c r="F148" s="112">
        <v>0.19861040599999991</v>
      </c>
      <c r="G148" s="112">
        <v>-18.162945209999997</v>
      </c>
      <c r="H148" s="112">
        <v>-91.313791399999999</v>
      </c>
      <c r="I148" s="218">
        <v>-2.4018584712896813</v>
      </c>
      <c r="J148" s="139"/>
    </row>
    <row r="149" spans="2:10" x14ac:dyDescent="0.25">
      <c r="B149" s="392" t="s">
        <v>159</v>
      </c>
      <c r="C149" s="393"/>
      <c r="D149" s="393"/>
      <c r="E149" s="393"/>
      <c r="F149" s="393"/>
      <c r="G149" s="393"/>
      <c r="H149" s="393"/>
      <c r="I149" s="394"/>
      <c r="J149" s="139"/>
    </row>
    <row r="150" spans="2:10" x14ac:dyDescent="0.25">
      <c r="B150" s="279" t="s">
        <v>303</v>
      </c>
      <c r="C150" s="281"/>
      <c r="D150" s="281"/>
      <c r="E150" s="281"/>
      <c r="F150" s="281"/>
      <c r="G150" s="281"/>
      <c r="H150" s="281"/>
      <c r="I150" s="287"/>
    </row>
    <row r="151" spans="2:10" x14ac:dyDescent="0.25">
      <c r="B151" s="279" t="s">
        <v>304</v>
      </c>
      <c r="C151" s="281"/>
      <c r="D151" s="281"/>
      <c r="E151" s="281"/>
      <c r="F151" s="281"/>
      <c r="G151" s="281"/>
      <c r="H151" s="281"/>
      <c r="I151" s="287"/>
    </row>
    <row r="152" spans="2:10" x14ac:dyDescent="0.25">
      <c r="B152" s="279" t="s">
        <v>305</v>
      </c>
      <c r="C152" s="281"/>
      <c r="D152" s="281"/>
      <c r="E152" s="281"/>
      <c r="F152" s="281"/>
      <c r="G152" s="281"/>
      <c r="H152" s="281"/>
      <c r="I152" s="287"/>
    </row>
    <row r="153" spans="2:10" x14ac:dyDescent="0.25">
      <c r="B153" s="279" t="s">
        <v>306</v>
      </c>
      <c r="C153" s="281"/>
      <c r="D153" s="281"/>
      <c r="E153" s="281"/>
      <c r="F153" s="281"/>
      <c r="G153" s="281"/>
      <c r="H153" s="281"/>
      <c r="I153" s="287"/>
    </row>
    <row r="154" spans="2:10" x14ac:dyDescent="0.25">
      <c r="B154" s="279" t="s">
        <v>307</v>
      </c>
      <c r="C154" s="281"/>
      <c r="D154" s="281"/>
      <c r="E154" s="281"/>
      <c r="F154" s="281"/>
      <c r="G154" s="281"/>
      <c r="H154" s="281"/>
      <c r="I154" s="287"/>
    </row>
    <row r="155" spans="2:10" ht="15.75" thickBot="1" x14ac:dyDescent="0.3">
      <c r="B155" s="304" t="s">
        <v>308</v>
      </c>
      <c r="C155" s="305"/>
      <c r="D155" s="305"/>
      <c r="E155" s="305"/>
      <c r="F155" s="305"/>
      <c r="G155" s="305"/>
      <c r="H155" s="305"/>
      <c r="I155" s="306"/>
    </row>
    <row r="156" spans="2:10" x14ac:dyDescent="0.25">
      <c r="B156" s="142"/>
      <c r="C156" s="140"/>
      <c r="D156" s="140"/>
      <c r="E156" s="140"/>
      <c r="F156" s="141"/>
      <c r="G156" s="140"/>
      <c r="H156" s="140"/>
      <c r="I156" s="140"/>
    </row>
    <row r="157" spans="2:10" x14ac:dyDescent="0.25">
      <c r="B157" s="142"/>
      <c r="C157" s="140"/>
      <c r="D157" s="140"/>
      <c r="E157" s="140"/>
      <c r="F157" s="141"/>
      <c r="G157" s="140"/>
      <c r="H157" s="140"/>
      <c r="I157" s="140"/>
    </row>
    <row r="158" spans="2:10" x14ac:dyDescent="0.25">
      <c r="B158" s="142"/>
      <c r="C158" s="140"/>
      <c r="D158" s="140"/>
      <c r="E158" s="140"/>
      <c r="F158" s="141"/>
      <c r="G158" s="140"/>
      <c r="H158" s="140"/>
      <c r="I158" s="140"/>
    </row>
    <row r="159" spans="2:10" x14ac:dyDescent="0.25">
      <c r="B159" s="142"/>
      <c r="C159" s="140"/>
      <c r="D159" s="140"/>
      <c r="E159" s="140"/>
      <c r="F159" s="141"/>
      <c r="G159" s="140"/>
      <c r="H159" s="140"/>
      <c r="I159" s="140"/>
    </row>
    <row r="160" spans="2:10" x14ac:dyDescent="0.25">
      <c r="B160" s="142"/>
      <c r="C160" s="140"/>
      <c r="D160" s="140"/>
      <c r="E160" s="140"/>
      <c r="F160" s="141"/>
      <c r="G160" s="140"/>
      <c r="H160" s="140"/>
      <c r="I160" s="140"/>
    </row>
    <row r="161" spans="2:9" x14ac:dyDescent="0.25">
      <c r="B161" s="142"/>
      <c r="C161" s="140"/>
      <c r="D161" s="140"/>
      <c r="E161" s="140"/>
      <c r="F161" s="141"/>
      <c r="G161" s="140"/>
      <c r="H161" s="140"/>
      <c r="I161" s="140"/>
    </row>
    <row r="162" spans="2:9" x14ac:dyDescent="0.25">
      <c r="B162" s="142"/>
      <c r="C162" s="140"/>
      <c r="D162" s="140"/>
      <c r="E162" s="140"/>
      <c r="F162" s="141"/>
      <c r="G162" s="140"/>
      <c r="H162" s="140"/>
      <c r="I162" s="140"/>
    </row>
    <row r="163" spans="2:9" x14ac:dyDescent="0.25">
      <c r="B163" s="142"/>
      <c r="C163" s="140"/>
      <c r="D163" s="140"/>
      <c r="E163" s="140"/>
      <c r="F163" s="141"/>
      <c r="G163" s="140"/>
      <c r="H163" s="140"/>
      <c r="I163" s="140"/>
    </row>
    <row r="164" spans="2:9" x14ac:dyDescent="0.25">
      <c r="B164" s="142"/>
      <c r="C164" s="140"/>
      <c r="D164" s="140"/>
      <c r="E164" s="140"/>
      <c r="F164" s="141"/>
      <c r="G164" s="140"/>
      <c r="H164" s="140"/>
      <c r="I164" s="140"/>
    </row>
    <row r="165" spans="2:9" x14ac:dyDescent="0.25">
      <c r="B165" s="142"/>
      <c r="C165" s="140"/>
      <c r="D165" s="140"/>
      <c r="E165" s="140"/>
      <c r="F165" s="141"/>
      <c r="G165" s="140"/>
      <c r="H165" s="140"/>
      <c r="I165" s="140"/>
    </row>
    <row r="166" spans="2:9" x14ac:dyDescent="0.25">
      <c r="B166" s="142"/>
      <c r="C166" s="140"/>
      <c r="D166" s="140"/>
      <c r="E166" s="140"/>
      <c r="F166" s="141"/>
      <c r="G166" s="140"/>
      <c r="H166" s="140"/>
      <c r="I166" s="140"/>
    </row>
    <row r="167" spans="2:9" x14ac:dyDescent="0.25">
      <c r="B167" s="142"/>
      <c r="C167" s="140"/>
      <c r="D167" s="140"/>
      <c r="E167" s="140"/>
      <c r="F167" s="141"/>
      <c r="G167" s="140"/>
      <c r="H167" s="140"/>
      <c r="I167" s="140"/>
    </row>
    <row r="168" spans="2:9" x14ac:dyDescent="0.25">
      <c r="B168" s="142"/>
      <c r="C168" s="140"/>
      <c r="D168" s="140"/>
      <c r="E168" s="140"/>
      <c r="F168" s="141"/>
      <c r="G168" s="140"/>
      <c r="H168" s="140"/>
      <c r="I168" s="140"/>
    </row>
    <row r="169" spans="2:9" x14ac:dyDescent="0.25">
      <c r="B169" s="142"/>
      <c r="C169" s="140"/>
      <c r="D169" s="140"/>
      <c r="E169" s="140"/>
      <c r="F169" s="141"/>
      <c r="G169" s="140"/>
      <c r="H169" s="140"/>
      <c r="I169" s="140"/>
    </row>
    <row r="170" spans="2:9" x14ac:dyDescent="0.25">
      <c r="B170" s="142"/>
      <c r="C170" s="140"/>
      <c r="D170" s="140"/>
      <c r="E170" s="140"/>
      <c r="F170" s="141"/>
      <c r="G170" s="140"/>
      <c r="H170" s="140"/>
      <c r="I170" s="140"/>
    </row>
    <row r="171" spans="2:9" x14ac:dyDescent="0.25">
      <c r="B171" s="142"/>
      <c r="C171" s="140"/>
      <c r="D171" s="140"/>
      <c r="E171" s="140"/>
      <c r="F171" s="141"/>
      <c r="G171" s="140"/>
      <c r="H171" s="140"/>
      <c r="I171" s="140"/>
    </row>
    <row r="172" spans="2:9" x14ac:dyDescent="0.25">
      <c r="B172" s="142"/>
      <c r="C172" s="140"/>
      <c r="D172" s="140"/>
      <c r="E172" s="140"/>
      <c r="F172" s="141"/>
      <c r="G172" s="140"/>
      <c r="H172" s="140"/>
      <c r="I172" s="140"/>
    </row>
    <row r="173" spans="2:9" x14ac:dyDescent="0.25">
      <c r="B173" s="142"/>
      <c r="C173" s="140"/>
      <c r="D173" s="140"/>
      <c r="E173" s="140"/>
      <c r="F173" s="141"/>
      <c r="G173" s="140"/>
      <c r="H173" s="140"/>
      <c r="I173" s="140"/>
    </row>
  </sheetData>
  <mergeCells count="1">
    <mergeCell ref="B2:I2"/>
  </mergeCells>
  <phoneticPr fontId="91" type="noConversion"/>
  <hyperlinks>
    <hyperlink ref="A1" location="Contents!A1" display="Back to contents" xr:uid="{7E174CF4-8D9C-4C17-9392-02320E3277CD}"/>
  </hyperlinks>
  <pageMargins left="0.70866141732283472" right="0.70866141732283472" top="0.74803149606299213" bottom="0.74803149606299213" header="0.31496062992125984" footer="0.31496062992125984"/>
  <pageSetup paperSize="9" scale="47" orientation="portrait" r:id="rId1"/>
  <headerFooter>
    <oddHeader>&amp;C&amp;8March 2018 Economic and fiscal outlook: Supplementary economy tables</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C19C3-9AC6-436B-AE97-3E1273D79D37}">
  <sheetPr codeName="Sheet10">
    <tabColor theme="5"/>
  </sheetPr>
  <dimension ref="A1:W160"/>
  <sheetViews>
    <sheetView zoomScaleNormal="100" zoomScaleSheetLayoutView="100" workbookViewId="0"/>
  </sheetViews>
  <sheetFormatPr defaultColWidth="8.77734375" defaultRowHeight="15.75" x14ac:dyDescent="0.25"/>
  <cols>
    <col min="1" max="1" width="9.21875" style="7" customWidth="1"/>
    <col min="2" max="2" width="14.21875" style="7" customWidth="1"/>
    <col min="3" max="12" width="16.77734375" style="7" customWidth="1"/>
    <col min="13" max="16384" width="8.77734375" style="7"/>
  </cols>
  <sheetData>
    <row r="1" spans="1:20" ht="35.1" customHeight="1" thickBot="1" x14ac:dyDescent="0.3">
      <c r="A1" s="9" t="s">
        <v>22</v>
      </c>
      <c r="B1" s="22"/>
      <c r="C1" s="478"/>
      <c r="D1" s="22"/>
      <c r="E1" s="22"/>
      <c r="F1" s="22"/>
      <c r="G1" s="22"/>
      <c r="H1" s="22"/>
    </row>
    <row r="2" spans="1:20" s="144" customFormat="1" ht="19.5" thickBot="1" x14ac:dyDescent="0.35">
      <c r="B2" s="540" t="s">
        <v>309</v>
      </c>
      <c r="C2" s="541"/>
      <c r="D2" s="541"/>
      <c r="E2" s="541"/>
      <c r="F2" s="541"/>
      <c r="G2" s="541"/>
      <c r="H2" s="541"/>
      <c r="I2" s="541"/>
      <c r="J2" s="541"/>
      <c r="K2" s="541"/>
      <c r="L2" s="547"/>
      <c r="M2" s="7"/>
      <c r="N2" s="145"/>
    </row>
    <row r="3" spans="1:20" s="144" customFormat="1" ht="52.5" customHeight="1" x14ac:dyDescent="0.25">
      <c r="B3" s="135"/>
      <c r="C3" s="189" t="s">
        <v>310</v>
      </c>
      <c r="D3" s="136" t="s">
        <v>311</v>
      </c>
      <c r="E3" s="215" t="s">
        <v>312</v>
      </c>
      <c r="F3" s="215" t="s">
        <v>313</v>
      </c>
      <c r="G3" s="136" t="s">
        <v>314</v>
      </c>
      <c r="H3" s="136" t="s">
        <v>315</v>
      </c>
      <c r="I3" s="136" t="s">
        <v>316</v>
      </c>
      <c r="J3" s="216" t="s">
        <v>317</v>
      </c>
      <c r="K3" s="216" t="s">
        <v>318</v>
      </c>
      <c r="L3" s="190" t="s">
        <v>319</v>
      </c>
      <c r="M3" s="7"/>
      <c r="N3" s="7"/>
      <c r="O3" s="7"/>
      <c r="P3" s="7"/>
      <c r="Q3" s="7"/>
      <c r="R3" s="7"/>
      <c r="S3" s="7"/>
      <c r="T3" s="7"/>
    </row>
    <row r="4" spans="1:20" ht="15.75" customHeight="1" x14ac:dyDescent="0.25">
      <c r="A4" s="23"/>
      <c r="B4" s="126" t="s">
        <v>43</v>
      </c>
      <c r="C4" s="147">
        <v>5.3548</v>
      </c>
      <c r="D4" s="147">
        <v>4.5370999999999997</v>
      </c>
      <c r="E4" s="116">
        <v>5.8566666666666665</v>
      </c>
      <c r="F4" s="116">
        <v>3.7931043449405126</v>
      </c>
      <c r="G4" s="116">
        <v>95.872399999999999</v>
      </c>
      <c r="H4" s="191">
        <v>1.978</v>
      </c>
      <c r="I4" s="191">
        <v>1.3211999999999999</v>
      </c>
      <c r="J4" s="192">
        <v>96.7</v>
      </c>
      <c r="K4" s="492">
        <v>0.52762942963469273</v>
      </c>
      <c r="L4" s="193">
        <v>2927.05</v>
      </c>
    </row>
    <row r="5" spans="1:20" ht="15.75" customHeight="1" x14ac:dyDescent="0.25">
      <c r="A5" s="23"/>
      <c r="B5" s="126" t="s">
        <v>44</v>
      </c>
      <c r="C5" s="147">
        <v>5.0278</v>
      </c>
      <c r="D5" s="147">
        <v>4.8685999999999998</v>
      </c>
      <c r="E5" s="116">
        <v>5.7633333333333328</v>
      </c>
      <c r="F5" s="116">
        <v>3.6347041487880727</v>
      </c>
      <c r="G5" s="116">
        <v>93.050399999999996</v>
      </c>
      <c r="H5" s="191">
        <v>1.9708000000000001</v>
      </c>
      <c r="I5" s="191">
        <v>1.2615000000000001</v>
      </c>
      <c r="J5" s="192">
        <v>122.2</v>
      </c>
      <c r="K5" s="194">
        <v>0.63075505050505054</v>
      </c>
      <c r="L5" s="193">
        <v>2855.6898999999999</v>
      </c>
    </row>
    <row r="6" spans="1:20" ht="15.75" customHeight="1" x14ac:dyDescent="0.25">
      <c r="A6" s="23"/>
      <c r="B6" s="126" t="s">
        <v>45</v>
      </c>
      <c r="C6" s="147">
        <v>5</v>
      </c>
      <c r="D6" s="147">
        <v>4.7851999999999988</v>
      </c>
      <c r="E6" s="116">
        <v>5.796666666666666</v>
      </c>
      <c r="F6" s="116">
        <v>3.7349071064040418</v>
      </c>
      <c r="G6" s="116">
        <v>91.651700000000005</v>
      </c>
      <c r="H6" s="191">
        <v>1.8934</v>
      </c>
      <c r="I6" s="191">
        <v>1.2585999999999999</v>
      </c>
      <c r="J6" s="192">
        <v>115.6</v>
      </c>
      <c r="K6" s="194">
        <v>0.66140476190476194</v>
      </c>
      <c r="L6" s="193">
        <v>2483.6698999999999</v>
      </c>
    </row>
    <row r="7" spans="1:20" ht="15.75" customHeight="1" x14ac:dyDescent="0.25">
      <c r="A7" s="23"/>
      <c r="B7" s="126" t="s">
        <v>46</v>
      </c>
      <c r="C7" s="147">
        <v>3.3672</v>
      </c>
      <c r="D7" s="147">
        <v>4.5358999999999998</v>
      </c>
      <c r="E7" s="116">
        <v>5.3866666666666676</v>
      </c>
      <c r="F7" s="116">
        <v>3.1819631232530878</v>
      </c>
      <c r="G7" s="116">
        <v>83.968699999999998</v>
      </c>
      <c r="H7" s="191">
        <v>1.5742</v>
      </c>
      <c r="I7" s="191">
        <v>1.1957</v>
      </c>
      <c r="J7" s="192">
        <v>55.8</v>
      </c>
      <c r="K7" s="194">
        <v>0.65293928226363007</v>
      </c>
      <c r="L7" s="193">
        <v>2209.29</v>
      </c>
    </row>
    <row r="8" spans="1:20" ht="15.75" customHeight="1" x14ac:dyDescent="0.25">
      <c r="A8" s="23"/>
      <c r="B8" s="126" t="s">
        <v>47</v>
      </c>
      <c r="C8" s="147">
        <v>1.0713999999999999</v>
      </c>
      <c r="D8" s="147">
        <v>4.2020999999999997</v>
      </c>
      <c r="E8" s="116">
        <v>4.083333333333333</v>
      </c>
      <c r="F8" s="116">
        <v>1.8028066254269679</v>
      </c>
      <c r="G8" s="116">
        <v>77.896500000000003</v>
      </c>
      <c r="H8" s="191">
        <v>1.4341999999999999</v>
      </c>
      <c r="I8" s="191">
        <v>1.101</v>
      </c>
      <c r="J8" s="192">
        <v>44.9</v>
      </c>
      <c r="K8" s="194">
        <v>0.45511028138528142</v>
      </c>
      <c r="L8" s="193">
        <v>1984.2</v>
      </c>
    </row>
    <row r="9" spans="1:20" ht="15.75" customHeight="1" x14ac:dyDescent="0.25">
      <c r="A9" s="23"/>
      <c r="B9" s="126" t="s">
        <v>48</v>
      </c>
      <c r="C9" s="147">
        <v>0.5</v>
      </c>
      <c r="D9" s="147">
        <v>4.3659999999999988</v>
      </c>
      <c r="E9" s="116">
        <v>3.6</v>
      </c>
      <c r="F9" s="116">
        <v>1.5103332804606959</v>
      </c>
      <c r="G9" s="116">
        <v>81.321200000000005</v>
      </c>
      <c r="H9" s="191">
        <v>1.5532999999999999</v>
      </c>
      <c r="I9" s="191">
        <v>1.1389</v>
      </c>
      <c r="J9" s="192">
        <v>59.2</v>
      </c>
      <c r="K9" s="194">
        <v>0.27579151515151512</v>
      </c>
      <c r="L9" s="193">
        <v>2172.1001000000001</v>
      </c>
    </row>
    <row r="10" spans="1:20" ht="15.75" customHeight="1" x14ac:dyDescent="0.25">
      <c r="A10" s="23"/>
      <c r="B10" s="126" t="s">
        <v>49</v>
      </c>
      <c r="C10" s="147">
        <v>0.5</v>
      </c>
      <c r="D10" s="147">
        <v>4.2522000000000002</v>
      </c>
      <c r="E10" s="116">
        <v>3.5766666666666667</v>
      </c>
      <c r="F10" s="116">
        <v>1.4068489956547294</v>
      </c>
      <c r="G10" s="116">
        <v>82.926900000000003</v>
      </c>
      <c r="H10" s="191">
        <v>1.6406000000000001</v>
      </c>
      <c r="I10" s="191">
        <v>1.1475</v>
      </c>
      <c r="J10" s="192">
        <v>68.400000000000006</v>
      </c>
      <c r="K10" s="194">
        <v>0.23301544325239973</v>
      </c>
      <c r="L10" s="193">
        <v>2634.8</v>
      </c>
    </row>
    <row r="11" spans="1:20" ht="15.75" customHeight="1" x14ac:dyDescent="0.25">
      <c r="A11" s="23"/>
      <c r="B11" s="126" t="s">
        <v>50</v>
      </c>
      <c r="C11" s="147">
        <v>0.5</v>
      </c>
      <c r="D11" s="147">
        <v>4.1970999999999998</v>
      </c>
      <c r="E11" s="116">
        <v>3.5733333333333324</v>
      </c>
      <c r="F11" s="116">
        <v>1.3752951493257588</v>
      </c>
      <c r="G11" s="116">
        <v>80.388599999999997</v>
      </c>
      <c r="H11" s="191">
        <v>1.6343000000000001</v>
      </c>
      <c r="I11" s="191">
        <v>1.1057999999999999</v>
      </c>
      <c r="J11" s="192">
        <v>75</v>
      </c>
      <c r="K11" s="194">
        <v>0.27863333333333334</v>
      </c>
      <c r="L11" s="193">
        <v>2760.8</v>
      </c>
    </row>
    <row r="12" spans="1:20" ht="15.75" customHeight="1" x14ac:dyDescent="0.25">
      <c r="A12" s="23"/>
      <c r="B12" s="126" t="s">
        <v>51</v>
      </c>
      <c r="C12" s="147">
        <v>0.5</v>
      </c>
      <c r="D12" s="147">
        <v>4.5056000000000003</v>
      </c>
      <c r="E12" s="116">
        <v>3.6666666666666665</v>
      </c>
      <c r="F12" s="116">
        <v>1.4102668814069157</v>
      </c>
      <c r="G12" s="116">
        <v>79.619399999999999</v>
      </c>
      <c r="H12" s="191">
        <v>1.5584</v>
      </c>
      <c r="I12" s="191">
        <v>1.1269</v>
      </c>
      <c r="J12" s="192">
        <v>76.7</v>
      </c>
      <c r="K12" s="194">
        <v>0.35896666666666666</v>
      </c>
      <c r="L12" s="193">
        <v>2910.2</v>
      </c>
    </row>
    <row r="13" spans="1:20" ht="15.75" customHeight="1" x14ac:dyDescent="0.25">
      <c r="A13" s="23"/>
      <c r="B13" s="126" t="s">
        <v>52</v>
      </c>
      <c r="C13" s="147">
        <v>0.5</v>
      </c>
      <c r="D13" s="147">
        <v>4.3617999999999988</v>
      </c>
      <c r="E13" s="116">
        <v>3.66</v>
      </c>
      <c r="F13" s="116">
        <v>1.433685551320101</v>
      </c>
      <c r="G13" s="116">
        <v>79.898099999999999</v>
      </c>
      <c r="H13" s="191">
        <v>1.4908999999999999</v>
      </c>
      <c r="I13" s="191">
        <v>1.1747000000000001</v>
      </c>
      <c r="J13" s="192">
        <v>78.7</v>
      </c>
      <c r="K13" s="194">
        <v>0.3814333333333334</v>
      </c>
      <c r="L13" s="193">
        <v>2543.5</v>
      </c>
    </row>
    <row r="14" spans="1:20" ht="15.75" customHeight="1" x14ac:dyDescent="0.25">
      <c r="A14" s="23"/>
      <c r="B14" s="126" t="s">
        <v>53</v>
      </c>
      <c r="C14" s="147">
        <v>0.5</v>
      </c>
      <c r="D14" s="147">
        <v>4.0317999999999996</v>
      </c>
      <c r="E14" s="116">
        <v>3.57</v>
      </c>
      <c r="F14" s="116">
        <v>1.4292736247248046</v>
      </c>
      <c r="G14" s="116">
        <v>81.763800000000003</v>
      </c>
      <c r="H14" s="191">
        <v>1.5509999999999999</v>
      </c>
      <c r="I14" s="191">
        <v>1.1995</v>
      </c>
      <c r="J14" s="192">
        <v>76.400000000000006</v>
      </c>
      <c r="K14" s="194">
        <v>0.4310666666666666</v>
      </c>
      <c r="L14" s="193">
        <v>2867.6001000000001</v>
      </c>
    </row>
    <row r="15" spans="1:20" ht="15.75" customHeight="1" x14ac:dyDescent="0.25">
      <c r="A15" s="23"/>
      <c r="B15" s="126" t="s">
        <v>54</v>
      </c>
      <c r="C15" s="147">
        <v>0.5</v>
      </c>
      <c r="D15" s="147">
        <v>4.0978000000000012</v>
      </c>
      <c r="E15" s="116">
        <v>3.5066666666666664</v>
      </c>
      <c r="F15" s="116">
        <v>1.4906262305806359</v>
      </c>
      <c r="G15" s="116">
        <v>80.296499999999995</v>
      </c>
      <c r="H15" s="191">
        <v>1.5810999999999999</v>
      </c>
      <c r="I15" s="191">
        <v>1.1638999999999999</v>
      </c>
      <c r="J15" s="192">
        <v>86.8</v>
      </c>
      <c r="K15" s="194">
        <v>0.52639999999999998</v>
      </c>
      <c r="L15" s="193">
        <v>3062.8998999999999</v>
      </c>
    </row>
    <row r="16" spans="1:20" ht="15.75" customHeight="1" x14ac:dyDescent="0.25">
      <c r="A16" s="23"/>
      <c r="B16" s="126" t="s">
        <v>55</v>
      </c>
      <c r="C16" s="147">
        <v>0.5</v>
      </c>
      <c r="D16" s="147">
        <v>4.3441000000000001</v>
      </c>
      <c r="E16" s="116">
        <v>3.4966666666666666</v>
      </c>
      <c r="F16" s="116">
        <v>1.5354845712414027</v>
      </c>
      <c r="G16" s="116">
        <v>80.819199999999995</v>
      </c>
      <c r="H16" s="191">
        <v>1.6033999999999999</v>
      </c>
      <c r="I16" s="191">
        <v>1.171</v>
      </c>
      <c r="J16" s="192">
        <v>104.9</v>
      </c>
      <c r="K16" s="194">
        <v>0.56703333333333339</v>
      </c>
      <c r="L16" s="193">
        <v>3067.7</v>
      </c>
    </row>
    <row r="17" spans="1:12" ht="15.75" customHeight="1" x14ac:dyDescent="0.25">
      <c r="A17" s="23"/>
      <c r="B17" s="126" t="s">
        <v>56</v>
      </c>
      <c r="C17" s="147">
        <v>0.5</v>
      </c>
      <c r="D17" s="147">
        <v>4.181</v>
      </c>
      <c r="E17" s="116">
        <v>3.47</v>
      </c>
      <c r="F17" s="116">
        <v>1.5943367219248861</v>
      </c>
      <c r="G17" s="116">
        <v>79.436400000000006</v>
      </c>
      <c r="H17" s="191">
        <v>1.6286</v>
      </c>
      <c r="I17" s="191">
        <v>1.1329</v>
      </c>
      <c r="J17" s="192">
        <v>117.1</v>
      </c>
      <c r="K17" s="194">
        <v>0.57496666666666674</v>
      </c>
      <c r="L17" s="193">
        <v>3096.72</v>
      </c>
    </row>
    <row r="18" spans="1:12" ht="15.75" customHeight="1" x14ac:dyDescent="0.25">
      <c r="A18" s="23"/>
      <c r="B18" s="126" t="s">
        <v>57</v>
      </c>
      <c r="C18" s="147">
        <v>0.5</v>
      </c>
      <c r="D18" s="147">
        <v>3.7444999999999999</v>
      </c>
      <c r="E18" s="116">
        <v>3.4</v>
      </c>
      <c r="F18" s="116">
        <v>1.6309687722218471</v>
      </c>
      <c r="G18" s="116">
        <v>79.217200000000005</v>
      </c>
      <c r="H18" s="191">
        <v>1.6091</v>
      </c>
      <c r="I18" s="191">
        <v>1.1402000000000001</v>
      </c>
      <c r="J18" s="192">
        <v>113</v>
      </c>
      <c r="K18" s="194">
        <v>0.54263333333333341</v>
      </c>
      <c r="L18" s="193">
        <v>2654.38</v>
      </c>
    </row>
    <row r="19" spans="1:12" ht="15.75" customHeight="1" x14ac:dyDescent="0.25">
      <c r="A19" s="23"/>
      <c r="B19" s="126" t="s">
        <v>58</v>
      </c>
      <c r="C19" s="147">
        <v>0.5</v>
      </c>
      <c r="D19" s="147">
        <v>3.0827</v>
      </c>
      <c r="E19" s="116">
        <v>3.3666666666666667</v>
      </c>
      <c r="F19" s="116">
        <v>1.6902144322832104</v>
      </c>
      <c r="G19" s="116">
        <v>80.302999999999997</v>
      </c>
      <c r="H19" s="191">
        <v>1.5720000000000001</v>
      </c>
      <c r="I19" s="191">
        <v>1.1659999999999999</v>
      </c>
      <c r="J19" s="192">
        <v>109.3</v>
      </c>
      <c r="K19" s="194">
        <v>0.56746666666666667</v>
      </c>
      <c r="L19" s="193">
        <v>2857.88</v>
      </c>
    </row>
    <row r="20" spans="1:12" ht="15.75" customHeight="1" x14ac:dyDescent="0.25">
      <c r="A20" s="23"/>
      <c r="B20" s="126" t="s">
        <v>59</v>
      </c>
      <c r="C20" s="147">
        <v>0.5</v>
      </c>
      <c r="D20" s="147">
        <v>3.0583</v>
      </c>
      <c r="E20" s="116">
        <v>3.3666666666666667</v>
      </c>
      <c r="F20" s="116">
        <v>1.7220617947067729</v>
      </c>
      <c r="G20" s="116">
        <v>81.172899999999998</v>
      </c>
      <c r="H20" s="191">
        <v>1.5712999999999999</v>
      </c>
      <c r="I20" s="191">
        <v>1.1984999999999999</v>
      </c>
      <c r="J20" s="192">
        <v>118.6</v>
      </c>
      <c r="K20" s="191">
        <v>0.59399999999999997</v>
      </c>
      <c r="L20" s="193">
        <v>3002.78</v>
      </c>
    </row>
    <row r="21" spans="1:12" ht="15.75" customHeight="1" x14ac:dyDescent="0.25">
      <c r="A21" s="23"/>
      <c r="B21" s="126" t="s">
        <v>60</v>
      </c>
      <c r="C21" s="147">
        <v>0.5</v>
      </c>
      <c r="D21" s="147">
        <v>2.9188000000000001</v>
      </c>
      <c r="E21" s="116">
        <v>3.38</v>
      </c>
      <c r="F21" s="116">
        <v>1.7608362362814023</v>
      </c>
      <c r="G21" s="116">
        <v>83.154600000000002</v>
      </c>
      <c r="H21" s="191">
        <v>1.5833999999999999</v>
      </c>
      <c r="I21" s="191">
        <v>1.2343999999999999</v>
      </c>
      <c r="J21" s="192">
        <v>108.9</v>
      </c>
      <c r="K21" s="191">
        <v>0.57399999999999995</v>
      </c>
      <c r="L21" s="193">
        <v>2891.45</v>
      </c>
    </row>
    <row r="22" spans="1:12" ht="15.75" customHeight="1" x14ac:dyDescent="0.25">
      <c r="A22" s="23"/>
      <c r="B22" s="126" t="s">
        <v>61</v>
      </c>
      <c r="C22" s="147">
        <v>0.5</v>
      </c>
      <c r="D22" s="147">
        <v>2.6795</v>
      </c>
      <c r="E22" s="116">
        <v>3.3733333333333331</v>
      </c>
      <c r="F22" s="116">
        <v>1.7564597348511459</v>
      </c>
      <c r="G22" s="116">
        <v>84.080799999999996</v>
      </c>
      <c r="H22" s="191">
        <v>1.5798000000000001</v>
      </c>
      <c r="I22" s="191">
        <v>1.2633000000000001</v>
      </c>
      <c r="J22" s="192">
        <v>110</v>
      </c>
      <c r="K22" s="191">
        <v>0.56899999999999995</v>
      </c>
      <c r="L22" s="193">
        <v>2998.86</v>
      </c>
    </row>
    <row r="23" spans="1:12" ht="15.75" customHeight="1" x14ac:dyDescent="0.25">
      <c r="A23" s="23"/>
      <c r="B23" s="126" t="s">
        <v>62</v>
      </c>
      <c r="C23" s="147">
        <v>0.5</v>
      </c>
      <c r="D23" s="147">
        <v>2.8052000000000001</v>
      </c>
      <c r="E23" s="116">
        <v>3.38</v>
      </c>
      <c r="F23" s="116">
        <v>1.7512627640126439</v>
      </c>
      <c r="G23" s="116">
        <v>83.626800000000003</v>
      </c>
      <c r="H23" s="191">
        <v>1.6057999999999999</v>
      </c>
      <c r="I23" s="191">
        <v>1.2383999999999999</v>
      </c>
      <c r="J23" s="192">
        <v>110.4</v>
      </c>
      <c r="K23" s="191">
        <v>0.65200000000000002</v>
      </c>
      <c r="L23" s="193">
        <v>3093.41</v>
      </c>
    </row>
    <row r="24" spans="1:12" ht="15.75" customHeight="1" x14ac:dyDescent="0.25">
      <c r="A24" s="23"/>
      <c r="B24" s="126" t="s">
        <v>63</v>
      </c>
      <c r="C24" s="147">
        <v>0.5</v>
      </c>
      <c r="D24" s="147">
        <v>3.0247000000000002</v>
      </c>
      <c r="E24" s="116">
        <v>3.3666666666666667</v>
      </c>
      <c r="F24" s="116">
        <v>1.7019772633738468</v>
      </c>
      <c r="G24" s="116">
        <v>80.322900000000004</v>
      </c>
      <c r="H24" s="191">
        <v>1.5519000000000001</v>
      </c>
      <c r="I24" s="191">
        <v>1.1751</v>
      </c>
      <c r="J24" s="192">
        <v>112.9</v>
      </c>
      <c r="K24" s="191">
        <v>0.74099999999999999</v>
      </c>
      <c r="L24" s="193">
        <v>3280.64</v>
      </c>
    </row>
    <row r="25" spans="1:12" ht="15.75" customHeight="1" x14ac:dyDescent="0.25">
      <c r="A25" s="23"/>
      <c r="B25" s="126" t="s">
        <v>64</v>
      </c>
      <c r="C25" s="147">
        <v>0.5</v>
      </c>
      <c r="D25" s="147">
        <v>2.9445999999999999</v>
      </c>
      <c r="E25" s="116">
        <v>3.3433333333333346</v>
      </c>
      <c r="F25" s="116">
        <v>1.568070685273695</v>
      </c>
      <c r="G25" s="116">
        <v>80.518100000000004</v>
      </c>
      <c r="H25" s="191">
        <v>1.5358000000000001</v>
      </c>
      <c r="I25" s="191">
        <v>1.1756</v>
      </c>
      <c r="J25" s="192">
        <v>103</v>
      </c>
      <c r="K25" s="191">
        <v>0.65500000000000003</v>
      </c>
      <c r="L25" s="193">
        <v>3289.71</v>
      </c>
    </row>
    <row r="26" spans="1:12" ht="15.75" customHeight="1" x14ac:dyDescent="0.25">
      <c r="A26" s="23"/>
      <c r="B26" s="126" t="s">
        <v>65</v>
      </c>
      <c r="C26" s="147">
        <v>0.5</v>
      </c>
      <c r="D26" s="147">
        <v>3.3788</v>
      </c>
      <c r="E26" s="116">
        <v>3.3166666666666664</v>
      </c>
      <c r="F26" s="116">
        <v>1.4550188605466181</v>
      </c>
      <c r="G26" s="116">
        <v>81.232799999999997</v>
      </c>
      <c r="H26" s="191">
        <v>1.5504</v>
      </c>
      <c r="I26" s="191">
        <v>1.1708000000000001</v>
      </c>
      <c r="J26" s="192">
        <v>110.1</v>
      </c>
      <c r="K26" s="191">
        <v>0.65200000000000002</v>
      </c>
      <c r="L26" s="193">
        <v>3443.85</v>
      </c>
    </row>
    <row r="27" spans="1:12" ht="15.75" customHeight="1" x14ac:dyDescent="0.25">
      <c r="A27" s="23"/>
      <c r="B27" s="126" t="s">
        <v>66</v>
      </c>
      <c r="C27" s="147">
        <v>0.5</v>
      </c>
      <c r="D27" s="147">
        <v>3.4007999999999998</v>
      </c>
      <c r="E27" s="116">
        <v>3.28</v>
      </c>
      <c r="F27" s="116">
        <v>1.3295740472669</v>
      </c>
      <c r="G27" s="116">
        <v>83.549899999999994</v>
      </c>
      <c r="H27" s="191">
        <v>1.6185</v>
      </c>
      <c r="I27" s="191">
        <v>1.1890000000000001</v>
      </c>
      <c r="J27" s="192">
        <v>109.4</v>
      </c>
      <c r="K27" s="191">
        <v>0.67600000000000005</v>
      </c>
      <c r="L27" s="193">
        <v>3609.63</v>
      </c>
    </row>
    <row r="28" spans="1:12" ht="15.75" customHeight="1" x14ac:dyDescent="0.25">
      <c r="A28" s="23"/>
      <c r="B28" s="126" t="s">
        <v>67</v>
      </c>
      <c r="C28" s="147">
        <v>0.5</v>
      </c>
      <c r="D28" s="147">
        <v>3.3818000000000001</v>
      </c>
      <c r="E28" s="116">
        <v>3.25</v>
      </c>
      <c r="F28" s="116">
        <v>1.2269320051043793</v>
      </c>
      <c r="G28" s="116">
        <v>85.562299999999979</v>
      </c>
      <c r="H28" s="191">
        <v>1.6551</v>
      </c>
      <c r="I28" s="191">
        <v>1.2079</v>
      </c>
      <c r="J28" s="192">
        <v>107.9</v>
      </c>
      <c r="K28" s="191">
        <v>0.60199999999999998</v>
      </c>
      <c r="L28" s="193">
        <v>3555.59</v>
      </c>
    </row>
    <row r="29" spans="1:12" ht="15.75" customHeight="1" x14ac:dyDescent="0.25">
      <c r="A29" s="23"/>
      <c r="B29" s="126" t="s">
        <v>68</v>
      </c>
      <c r="C29" s="147">
        <v>0.5</v>
      </c>
      <c r="D29" s="147">
        <v>3.2858999999999998</v>
      </c>
      <c r="E29" s="116">
        <v>3.2333333333333334</v>
      </c>
      <c r="F29" s="116">
        <v>1.139878437065692</v>
      </c>
      <c r="G29" s="116">
        <v>86.896900000000002</v>
      </c>
      <c r="H29" s="191">
        <v>1.6832</v>
      </c>
      <c r="I29" s="191">
        <v>1.2278</v>
      </c>
      <c r="J29" s="192">
        <v>109.8</v>
      </c>
      <c r="K29" s="191">
        <v>0.44900000000000001</v>
      </c>
      <c r="L29" s="193">
        <v>3600.19</v>
      </c>
    </row>
    <row r="30" spans="1:12" ht="15.75" customHeight="1" x14ac:dyDescent="0.25">
      <c r="A30" s="23"/>
      <c r="B30" s="126" t="s">
        <v>69</v>
      </c>
      <c r="C30" s="147">
        <v>0.5</v>
      </c>
      <c r="D30" s="147">
        <v>3.0728</v>
      </c>
      <c r="E30" s="116">
        <v>3.2133333333333334</v>
      </c>
      <c r="F30" s="116">
        <v>1.0646604902863559</v>
      </c>
      <c r="G30" s="116">
        <v>88.002399999999994</v>
      </c>
      <c r="H30" s="191">
        <v>1.67</v>
      </c>
      <c r="I30" s="191">
        <v>1.2599</v>
      </c>
      <c r="J30" s="192">
        <v>102.1</v>
      </c>
      <c r="K30" s="191">
        <v>0.42199999999999999</v>
      </c>
      <c r="L30" s="193">
        <v>3533.93</v>
      </c>
    </row>
    <row r="31" spans="1:12" ht="15.75" customHeight="1" x14ac:dyDescent="0.25">
      <c r="A31" s="23"/>
      <c r="B31" s="126" t="s">
        <v>70</v>
      </c>
      <c r="C31" s="147">
        <v>0.5</v>
      </c>
      <c r="D31" s="147">
        <v>2.6676000000000002</v>
      </c>
      <c r="E31" s="116">
        <v>3.186666666666667</v>
      </c>
      <c r="F31" s="116">
        <v>1.044544507592958</v>
      </c>
      <c r="G31" s="116">
        <v>87.28</v>
      </c>
      <c r="H31" s="191">
        <v>1.5838000000000001</v>
      </c>
      <c r="I31" s="191">
        <v>1.2670999999999999</v>
      </c>
      <c r="J31" s="192">
        <v>76</v>
      </c>
      <c r="K31" s="191">
        <v>0.53</v>
      </c>
      <c r="L31" s="193">
        <v>3521.22</v>
      </c>
    </row>
    <row r="32" spans="1:12" ht="15.75" customHeight="1" x14ac:dyDescent="0.25">
      <c r="A32" s="23"/>
      <c r="B32" s="126" t="s">
        <v>71</v>
      </c>
      <c r="C32" s="147">
        <v>0.5</v>
      </c>
      <c r="D32" s="147">
        <v>2.2162000000000006</v>
      </c>
      <c r="E32" s="116">
        <v>3.1533333333333342</v>
      </c>
      <c r="F32" s="116">
        <v>1.0147745836498081</v>
      </c>
      <c r="G32" s="116">
        <v>89.378799999999998</v>
      </c>
      <c r="H32" s="191">
        <v>1.5139</v>
      </c>
      <c r="I32" s="191">
        <v>1.3463000000000001</v>
      </c>
      <c r="J32" s="192">
        <v>53.9</v>
      </c>
      <c r="K32" s="191">
        <v>0.47899999999999998</v>
      </c>
      <c r="L32" s="193">
        <v>3663.58</v>
      </c>
    </row>
    <row r="33" spans="1:12" ht="15.75" customHeight="1" x14ac:dyDescent="0.25">
      <c r="A33" s="23"/>
      <c r="B33" s="126" t="s">
        <v>72</v>
      </c>
      <c r="C33" s="147">
        <v>0.5</v>
      </c>
      <c r="D33" s="147">
        <v>2.4468999999999999</v>
      </c>
      <c r="E33" s="116">
        <v>3.1066666666666669</v>
      </c>
      <c r="F33" s="116">
        <v>0.98381689684468765</v>
      </c>
      <c r="G33" s="116">
        <v>91.171400000000006</v>
      </c>
      <c r="H33" s="191">
        <v>1.534</v>
      </c>
      <c r="I33" s="191">
        <v>1.3863000000000003</v>
      </c>
      <c r="J33" s="192">
        <v>62.1</v>
      </c>
      <c r="K33" s="191">
        <v>0.44800000000000001</v>
      </c>
      <c r="L33" s="193">
        <v>3570.58</v>
      </c>
    </row>
    <row r="34" spans="1:12" ht="15.75" customHeight="1" x14ac:dyDescent="0.25">
      <c r="A34" s="23"/>
      <c r="B34" s="126" t="s">
        <v>73</v>
      </c>
      <c r="C34" s="147">
        <v>0.5</v>
      </c>
      <c r="D34" s="147">
        <v>2.4849999999999999</v>
      </c>
      <c r="E34" s="116">
        <v>3.0566666666666662</v>
      </c>
      <c r="F34" s="116">
        <v>0.97810859460415056</v>
      </c>
      <c r="G34" s="116">
        <v>92.841099999999997</v>
      </c>
      <c r="H34" s="191">
        <v>1.5488</v>
      </c>
      <c r="I34" s="191">
        <v>1.3936999999999999</v>
      </c>
      <c r="J34" s="192">
        <v>50</v>
      </c>
      <c r="K34" s="191">
        <v>0.41399999999999998</v>
      </c>
      <c r="L34" s="193">
        <v>3335.92</v>
      </c>
    </row>
    <row r="35" spans="1:12" ht="15.75" customHeight="1" x14ac:dyDescent="0.25">
      <c r="A35" s="23"/>
      <c r="B35" s="126" t="s">
        <v>74</v>
      </c>
      <c r="C35" s="147">
        <v>0.5</v>
      </c>
      <c r="D35" s="147">
        <v>2.4842</v>
      </c>
      <c r="E35" s="116">
        <v>3.01</v>
      </c>
      <c r="F35" s="116">
        <v>0.95114233642172508</v>
      </c>
      <c r="G35" s="116">
        <v>92.134100000000004</v>
      </c>
      <c r="H35" s="191">
        <v>1.5173000000000001</v>
      </c>
      <c r="I35" s="191">
        <v>1.3862000000000001</v>
      </c>
      <c r="J35" s="192">
        <v>43.4</v>
      </c>
      <c r="K35" s="191">
        <v>0.36499999999999999</v>
      </c>
      <c r="L35" s="193">
        <v>3444.26</v>
      </c>
    </row>
    <row r="36" spans="1:12" ht="15.75" customHeight="1" x14ac:dyDescent="0.25">
      <c r="A36" s="23"/>
      <c r="B36" s="126" t="s">
        <v>75</v>
      </c>
      <c r="C36" s="147">
        <v>0.5</v>
      </c>
      <c r="D36" s="147">
        <v>2.2665000000000002</v>
      </c>
      <c r="E36" s="116">
        <v>2.95</v>
      </c>
      <c r="F36" s="116">
        <v>0.90709251515028078</v>
      </c>
      <c r="G36" s="116">
        <v>86.9529</v>
      </c>
      <c r="H36" s="191">
        <v>1.4307000000000001</v>
      </c>
      <c r="I36" s="191">
        <v>1.2981</v>
      </c>
      <c r="J36" s="192">
        <v>34.4</v>
      </c>
      <c r="K36" s="191">
        <v>0.30399999999999999</v>
      </c>
      <c r="L36" s="193">
        <v>3291.1889200000001</v>
      </c>
    </row>
    <row r="37" spans="1:12" ht="15.75" customHeight="1" x14ac:dyDescent="0.25">
      <c r="A37" s="23"/>
      <c r="B37" s="126" t="s">
        <v>76</v>
      </c>
      <c r="C37" s="147">
        <v>0.5</v>
      </c>
      <c r="D37" s="147">
        <v>2.1267999999999998</v>
      </c>
      <c r="E37" s="116">
        <v>2.9033333333333342</v>
      </c>
      <c r="F37" s="116">
        <v>0.8361929737853957</v>
      </c>
      <c r="G37" s="116">
        <v>85.501900000000006</v>
      </c>
      <c r="H37" s="191">
        <v>1.4341999999999999</v>
      </c>
      <c r="I37" s="191">
        <v>1.2702</v>
      </c>
      <c r="J37" s="192">
        <v>46</v>
      </c>
      <c r="K37" s="191">
        <v>0.314</v>
      </c>
      <c r="L37" s="193">
        <v>3403.79484</v>
      </c>
    </row>
    <row r="38" spans="1:12" ht="15.75" customHeight="1" x14ac:dyDescent="0.25">
      <c r="A38" s="23"/>
      <c r="B38" s="126" t="s">
        <v>77</v>
      </c>
      <c r="C38" s="147">
        <v>0.34229999999999999</v>
      </c>
      <c r="D38" s="147">
        <v>1.3861000000000001</v>
      </c>
      <c r="E38" s="116">
        <v>2.82</v>
      </c>
      <c r="F38" s="116">
        <v>0.78629114432522484</v>
      </c>
      <c r="G38" s="116">
        <v>78.805899999999994</v>
      </c>
      <c r="H38" s="191">
        <v>1.3127</v>
      </c>
      <c r="I38" s="191">
        <v>1.1762999999999999</v>
      </c>
      <c r="J38" s="192">
        <v>45.8</v>
      </c>
      <c r="K38" s="191">
        <v>0.31</v>
      </c>
      <c r="L38" s="193">
        <v>3676.2817500000001</v>
      </c>
    </row>
    <row r="39" spans="1:12" ht="15.75" customHeight="1" x14ac:dyDescent="0.25">
      <c r="A39" s="23"/>
      <c r="B39" s="126" t="s">
        <v>78</v>
      </c>
      <c r="C39" s="147">
        <v>0.25</v>
      </c>
      <c r="D39" s="147">
        <v>1.8673</v>
      </c>
      <c r="E39" s="116">
        <v>2.6866666666666599</v>
      </c>
      <c r="F39" s="116">
        <v>0.63050104306585075</v>
      </c>
      <c r="G39" s="116">
        <v>76.551699999999997</v>
      </c>
      <c r="H39" s="191">
        <v>1.2415</v>
      </c>
      <c r="I39" s="191">
        <v>1.1515</v>
      </c>
      <c r="J39" s="192">
        <v>50.1</v>
      </c>
      <c r="K39" s="191">
        <v>0.45800000000000002</v>
      </c>
      <c r="L39" s="193">
        <v>3762.1933600000002</v>
      </c>
    </row>
    <row r="40" spans="1:12" ht="15.75" customHeight="1" x14ac:dyDescent="0.25">
      <c r="A40" s="23"/>
      <c r="B40" s="126" t="s">
        <v>79</v>
      </c>
      <c r="C40" s="147">
        <v>0.25</v>
      </c>
      <c r="D40" s="147">
        <v>1.9011</v>
      </c>
      <c r="E40" s="116">
        <v>2.6266666666666598</v>
      </c>
      <c r="F40" s="116">
        <v>0.5003446533911069</v>
      </c>
      <c r="G40" s="116">
        <v>77.039599999999979</v>
      </c>
      <c r="H40" s="191">
        <v>1.2393000000000001</v>
      </c>
      <c r="I40" s="191">
        <v>1.1627000000000001</v>
      </c>
      <c r="J40" s="192">
        <v>54.1</v>
      </c>
      <c r="K40" s="191">
        <v>0.48499999999999999</v>
      </c>
      <c r="L40" s="193">
        <v>3951.4186</v>
      </c>
    </row>
    <row r="41" spans="1:12" ht="15.75" customHeight="1" x14ac:dyDescent="0.25">
      <c r="A41" s="23"/>
      <c r="B41" s="126" t="s">
        <v>80</v>
      </c>
      <c r="C41" s="147">
        <v>0.25</v>
      </c>
      <c r="D41" s="147">
        <v>1.7194</v>
      </c>
      <c r="E41" s="116">
        <v>2.5866666666666598</v>
      </c>
      <c r="F41" s="116">
        <v>0.47433655812412234</v>
      </c>
      <c r="G41" s="116">
        <v>77.939899999999994</v>
      </c>
      <c r="H41" s="191">
        <v>1.2806999999999999</v>
      </c>
      <c r="I41" s="191">
        <v>1.1620999999999999</v>
      </c>
      <c r="J41" s="192">
        <v>50.2</v>
      </c>
      <c r="K41" s="191">
        <v>0.38</v>
      </c>
      <c r="L41" s="193">
        <v>4042.4420100000002</v>
      </c>
    </row>
    <row r="42" spans="1:12" ht="15.75" customHeight="1" x14ac:dyDescent="0.25">
      <c r="A42" s="23"/>
      <c r="B42" s="126" t="s">
        <v>81</v>
      </c>
      <c r="C42" s="147">
        <v>0.25</v>
      </c>
      <c r="D42" s="147">
        <v>1.8158000000000001</v>
      </c>
      <c r="E42" s="116">
        <v>2.5333333333333301</v>
      </c>
      <c r="F42" s="116">
        <v>0.45368378296310014</v>
      </c>
      <c r="G42" s="116">
        <v>76.552899999999994</v>
      </c>
      <c r="H42" s="191">
        <v>1.3089</v>
      </c>
      <c r="I42" s="191">
        <v>1.1144000000000001</v>
      </c>
      <c r="J42" s="192">
        <v>51.7</v>
      </c>
      <c r="K42" s="191">
        <v>0.41599999999999998</v>
      </c>
      <c r="L42" s="193">
        <v>4043.6781700000001</v>
      </c>
    </row>
    <row r="43" spans="1:12" ht="15.75" customHeight="1" x14ac:dyDescent="0.25">
      <c r="A43" s="23"/>
      <c r="B43" s="126" t="s">
        <v>82</v>
      </c>
      <c r="C43" s="147">
        <v>0.40870000000000001</v>
      </c>
      <c r="D43" s="147">
        <v>1.8541000000000001</v>
      </c>
      <c r="E43" s="116">
        <v>2.5166666666666599</v>
      </c>
      <c r="F43" s="116">
        <v>0.48165962134584073</v>
      </c>
      <c r="G43" s="116">
        <v>77.6935</v>
      </c>
      <c r="H43" s="191">
        <v>1.3267</v>
      </c>
      <c r="I43" s="191">
        <v>1.1269</v>
      </c>
      <c r="J43" s="192">
        <v>61.5</v>
      </c>
      <c r="K43" s="191">
        <v>0.52200000000000002</v>
      </c>
      <c r="L43" s="193">
        <v>4106.3443500000003</v>
      </c>
    </row>
    <row r="44" spans="1:12" ht="15.75" customHeight="1" x14ac:dyDescent="0.25">
      <c r="A44" s="23"/>
      <c r="B44" s="126" t="s">
        <v>83</v>
      </c>
      <c r="C44" s="147">
        <v>0.5</v>
      </c>
      <c r="D44" s="147">
        <v>1.8807</v>
      </c>
      <c r="E44" s="116">
        <v>2.52</v>
      </c>
      <c r="F44" s="116">
        <v>0.53300434980807165</v>
      </c>
      <c r="G44" s="116">
        <v>79.013099999999994</v>
      </c>
      <c r="H44" s="191">
        <v>1.3918999999999997</v>
      </c>
      <c r="I44" s="191">
        <v>1.1324000000000001</v>
      </c>
      <c r="J44" s="192">
        <v>67</v>
      </c>
      <c r="K44" s="191">
        <v>0.57899999999999996</v>
      </c>
      <c r="L44" s="193">
        <v>4044.9283799999998</v>
      </c>
    </row>
    <row r="45" spans="1:12" ht="15.75" customHeight="1" x14ac:dyDescent="0.25">
      <c r="A45" s="23"/>
      <c r="B45" s="126" t="s">
        <v>84</v>
      </c>
      <c r="C45" s="147">
        <v>0.5</v>
      </c>
      <c r="D45" s="147">
        <v>1.8263</v>
      </c>
      <c r="E45" s="116">
        <v>2.4833333333333294</v>
      </c>
      <c r="F45" s="116">
        <v>0.5260159842023312</v>
      </c>
      <c r="G45" s="116">
        <v>79.088499999999996</v>
      </c>
      <c r="H45" s="191">
        <v>1.3602000000000001</v>
      </c>
      <c r="I45" s="191">
        <v>1.1416999999999999</v>
      </c>
      <c r="J45" s="192">
        <v>74.5</v>
      </c>
      <c r="K45" s="191">
        <v>0.53800000000000003</v>
      </c>
      <c r="L45" s="193">
        <v>4153.1112999999996</v>
      </c>
    </row>
    <row r="46" spans="1:12" ht="15.75" customHeight="1" x14ac:dyDescent="0.25">
      <c r="A46" s="23"/>
      <c r="B46" s="126" t="s">
        <v>85</v>
      </c>
      <c r="C46" s="147">
        <v>0.66020000000000001</v>
      </c>
      <c r="D46" s="147">
        <v>1.7793000000000001</v>
      </c>
      <c r="E46" s="116">
        <v>2.48</v>
      </c>
      <c r="F46" s="116">
        <v>0.5324360505345862</v>
      </c>
      <c r="G46" s="116">
        <v>77.803200000000004</v>
      </c>
      <c r="H46" s="191">
        <v>1.3036000000000001</v>
      </c>
      <c r="I46" s="191">
        <v>1.1207</v>
      </c>
      <c r="J46" s="192">
        <v>75.5</v>
      </c>
      <c r="K46" s="191">
        <v>0.64800000000000002</v>
      </c>
      <c r="L46" s="193">
        <v>4155.0474400000003</v>
      </c>
    </row>
    <row r="47" spans="1:12" ht="15.75" customHeight="1" x14ac:dyDescent="0.25">
      <c r="A47" s="23"/>
      <c r="B47" s="126" t="s">
        <v>86</v>
      </c>
      <c r="C47" s="147">
        <v>0.75</v>
      </c>
      <c r="D47" s="147">
        <v>1.8591</v>
      </c>
      <c r="E47" s="116">
        <v>2.4933333333333301</v>
      </c>
      <c r="F47" s="116">
        <v>0.57249304773859577</v>
      </c>
      <c r="G47" s="116">
        <v>77.783500000000004</v>
      </c>
      <c r="H47" s="191">
        <v>1.2866</v>
      </c>
      <c r="I47" s="191">
        <v>1.1274999999999999</v>
      </c>
      <c r="J47" s="192">
        <v>67.400000000000006</v>
      </c>
      <c r="K47" s="191">
        <v>0.64900000000000002</v>
      </c>
      <c r="L47" s="193">
        <v>3830.3633100000002</v>
      </c>
    </row>
    <row r="48" spans="1:12" ht="15.75" customHeight="1" x14ac:dyDescent="0.25">
      <c r="A48" s="23"/>
      <c r="B48" s="126" t="s">
        <v>87</v>
      </c>
      <c r="C48" s="147">
        <v>0.75</v>
      </c>
      <c r="D48" s="147">
        <v>1.6561999999999999</v>
      </c>
      <c r="E48" s="116">
        <v>2.4633333333333294</v>
      </c>
      <c r="F48" s="116">
        <v>0.57632795923626845</v>
      </c>
      <c r="G48" s="116">
        <v>78.740099999999998</v>
      </c>
      <c r="H48" s="191">
        <v>1.3026</v>
      </c>
      <c r="I48" s="191">
        <v>1.1472</v>
      </c>
      <c r="J48" s="192">
        <v>63.3</v>
      </c>
      <c r="K48" s="191">
        <v>0.48</v>
      </c>
      <c r="L48" s="193">
        <v>3876.9165400000002</v>
      </c>
    </row>
    <row r="49" spans="1:12" ht="15.75" customHeight="1" x14ac:dyDescent="0.25">
      <c r="A49" s="23"/>
      <c r="B49" s="126" t="s">
        <v>88</v>
      </c>
      <c r="C49" s="147">
        <v>0.75</v>
      </c>
      <c r="D49" s="147">
        <v>1.4927999999999999</v>
      </c>
      <c r="E49" s="116">
        <v>2.4366666666666599</v>
      </c>
      <c r="F49" s="116">
        <v>0.58917832127225611</v>
      </c>
      <c r="G49" s="116">
        <v>78.371499999999997</v>
      </c>
      <c r="H49" s="191">
        <v>1.2851999999999999</v>
      </c>
      <c r="I49" s="191">
        <v>1.1435999999999999</v>
      </c>
      <c r="J49" s="192">
        <v>68.3</v>
      </c>
      <c r="K49" s="191">
        <v>0.315</v>
      </c>
      <c r="L49" s="193">
        <v>4025.17866</v>
      </c>
    </row>
    <row r="50" spans="1:12" ht="15.75" customHeight="1" x14ac:dyDescent="0.25">
      <c r="A50" s="23"/>
      <c r="B50" s="126" t="s">
        <v>89</v>
      </c>
      <c r="C50" s="147">
        <v>0.75</v>
      </c>
      <c r="D50" s="147">
        <v>1.0258</v>
      </c>
      <c r="E50" s="116">
        <v>2.41333333333333</v>
      </c>
      <c r="F50" s="116">
        <v>0.57133791689326352</v>
      </c>
      <c r="G50" s="116">
        <v>75.764099999999999</v>
      </c>
      <c r="H50" s="191">
        <v>1.2330000000000001</v>
      </c>
      <c r="I50" s="191">
        <v>1.1089</v>
      </c>
      <c r="J50" s="192">
        <v>61.9</v>
      </c>
      <c r="K50" s="191">
        <v>0.27400000000000002</v>
      </c>
      <c r="L50" s="193">
        <v>4027.0306799999998</v>
      </c>
    </row>
    <row r="51" spans="1:12" ht="15.75" customHeight="1" x14ac:dyDescent="0.25">
      <c r="A51" s="23"/>
      <c r="B51" s="126" t="s">
        <v>90</v>
      </c>
      <c r="C51" s="147">
        <v>0.75</v>
      </c>
      <c r="D51" s="147">
        <v>1.0774999999999999</v>
      </c>
      <c r="E51" s="116">
        <v>2.3866666666666601</v>
      </c>
      <c r="F51" s="116">
        <v>0.55684928940040535</v>
      </c>
      <c r="G51" s="116">
        <v>79.402799999999999</v>
      </c>
      <c r="H51" s="191">
        <v>1.2869999999999997</v>
      </c>
      <c r="I51" s="191">
        <v>1.1624000000000001</v>
      </c>
      <c r="J51" s="192">
        <v>62.7</v>
      </c>
      <c r="K51" s="191">
        <v>0.31900000000000001</v>
      </c>
      <c r="L51" s="193">
        <v>4047.7736300000001</v>
      </c>
    </row>
    <row r="52" spans="1:12" ht="15.75" customHeight="1" x14ac:dyDescent="0.25">
      <c r="A52" s="23"/>
      <c r="B52" s="126" t="s">
        <v>91</v>
      </c>
      <c r="C52" s="147">
        <v>0.61170000000000002</v>
      </c>
      <c r="D52" s="147">
        <v>0.9083</v>
      </c>
      <c r="E52" s="116">
        <v>2.3566666666666598</v>
      </c>
      <c r="F52" s="116">
        <v>0.5423905519528105</v>
      </c>
      <c r="G52" s="116">
        <v>79.227000000000004</v>
      </c>
      <c r="H52" s="191">
        <v>1.2791999999999999</v>
      </c>
      <c r="I52" s="191">
        <v>1.161</v>
      </c>
      <c r="J52" s="192">
        <v>50.5</v>
      </c>
      <c r="K52" s="191">
        <v>0.248</v>
      </c>
      <c r="L52" s="193">
        <v>3814.2617399999999</v>
      </c>
    </row>
    <row r="53" spans="1:12" ht="15.75" customHeight="1" x14ac:dyDescent="0.25">
      <c r="A53" s="23"/>
      <c r="B53" s="126" t="s">
        <v>92</v>
      </c>
      <c r="C53" s="147">
        <v>0.1</v>
      </c>
      <c r="D53" s="147">
        <v>0.6169</v>
      </c>
      <c r="E53" s="116">
        <v>2.18333333333333</v>
      </c>
      <c r="F53" s="116">
        <v>0.39380815949403503</v>
      </c>
      <c r="G53" s="116">
        <v>77.401200000000003</v>
      </c>
      <c r="H53" s="191">
        <v>1.2418</v>
      </c>
      <c r="I53" s="191">
        <v>1.1267</v>
      </c>
      <c r="J53" s="192">
        <v>31.4</v>
      </c>
      <c r="K53" s="191">
        <v>0.128</v>
      </c>
      <c r="L53" s="193">
        <v>3297.9228600000001</v>
      </c>
    </row>
    <row r="54" spans="1:12" ht="15.75" customHeight="1" x14ac:dyDescent="0.25">
      <c r="A54" s="23"/>
      <c r="B54" s="126" t="s">
        <v>93</v>
      </c>
      <c r="C54" s="147">
        <v>0.1</v>
      </c>
      <c r="D54" s="147">
        <v>0.66</v>
      </c>
      <c r="E54" s="116">
        <v>2.14333333333333</v>
      </c>
      <c r="F54" s="116">
        <v>0.22641990737847759</v>
      </c>
      <c r="G54" s="116">
        <v>77.453900000000004</v>
      </c>
      <c r="H54" s="191">
        <v>1.2914000000000001</v>
      </c>
      <c r="I54" s="191">
        <v>1.1049</v>
      </c>
      <c r="J54" s="192">
        <v>42.7</v>
      </c>
      <c r="K54" s="191">
        <v>0.21099999999999999</v>
      </c>
      <c r="L54" s="193">
        <v>3372.9007700000002</v>
      </c>
    </row>
    <row r="55" spans="1:12" ht="15.75" customHeight="1" x14ac:dyDescent="0.25">
      <c r="A55" s="23"/>
      <c r="B55" s="126" t="s">
        <v>94</v>
      </c>
      <c r="C55" s="147">
        <v>0.1</v>
      </c>
      <c r="D55" s="147">
        <v>0.76749999999999996</v>
      </c>
      <c r="E55" s="116">
        <v>2.12</v>
      </c>
      <c r="F55" s="116">
        <v>0.1832321801940654</v>
      </c>
      <c r="G55" s="116">
        <v>77.922499999999999</v>
      </c>
      <c r="H55" s="191">
        <v>1.3204</v>
      </c>
      <c r="I55" s="191">
        <v>1.1076999999999999</v>
      </c>
      <c r="J55" s="192">
        <v>44.5</v>
      </c>
      <c r="K55" s="191">
        <v>0.40500000000000003</v>
      </c>
      <c r="L55" s="193">
        <v>3495.1113399999999</v>
      </c>
    </row>
    <row r="56" spans="1:12" ht="15.75" customHeight="1" x14ac:dyDescent="0.25">
      <c r="A56" s="23"/>
      <c r="B56" s="126" t="s">
        <v>95</v>
      </c>
      <c r="C56" s="147">
        <v>0.1</v>
      </c>
      <c r="D56" s="147">
        <v>1.0591999999999997</v>
      </c>
      <c r="E56" s="116">
        <v>2.09</v>
      </c>
      <c r="F56" s="116">
        <v>0.17000400945313773</v>
      </c>
      <c r="G56" s="116">
        <v>80.452100000000002</v>
      </c>
      <c r="H56" s="191">
        <v>1.3791</v>
      </c>
      <c r="I56" s="191">
        <v>1.145</v>
      </c>
      <c r="J56" s="192">
        <v>60.6</v>
      </c>
      <c r="K56" s="191">
        <v>0.5</v>
      </c>
      <c r="L56" s="193">
        <v>3788.3377799999998</v>
      </c>
    </row>
    <row r="57" spans="1:12" ht="15.75" customHeight="1" x14ac:dyDescent="0.25">
      <c r="A57" s="23"/>
      <c r="B57" s="126" t="s">
        <v>96</v>
      </c>
      <c r="C57" s="147">
        <v>0.1</v>
      </c>
      <c r="D57" s="147">
        <v>1.2937000000000001</v>
      </c>
      <c r="E57" s="116">
        <v>2.0733333333333301</v>
      </c>
      <c r="F57" s="116">
        <v>0.14460915150584289</v>
      </c>
      <c r="G57" s="116">
        <v>81.7898</v>
      </c>
      <c r="H57" s="191">
        <v>1.3987000000000001</v>
      </c>
      <c r="I57" s="191">
        <v>1.1597999999999999</v>
      </c>
      <c r="J57" s="192">
        <v>68.599999999999994</v>
      </c>
      <c r="K57" s="191">
        <v>0.64</v>
      </c>
      <c r="L57" s="193">
        <v>4003.6882999999998</v>
      </c>
    </row>
    <row r="58" spans="1:12" ht="15.75" customHeight="1" x14ac:dyDescent="0.25">
      <c r="A58" s="23"/>
      <c r="B58" s="126" t="s">
        <v>97</v>
      </c>
      <c r="C58" s="147">
        <v>0.1</v>
      </c>
      <c r="D58" s="147">
        <v>1.0638000000000003</v>
      </c>
      <c r="E58" s="116">
        <v>2.0533333333333301</v>
      </c>
      <c r="F58" s="116">
        <v>0.1269613319249534</v>
      </c>
      <c r="G58" s="116">
        <v>81.772999999999996</v>
      </c>
      <c r="H58" s="191">
        <v>1.3778999999999999</v>
      </c>
      <c r="I58" s="191">
        <v>1.1691</v>
      </c>
      <c r="J58" s="192">
        <v>73</v>
      </c>
      <c r="K58" s="191">
        <v>1.21</v>
      </c>
      <c r="L58" s="193">
        <v>4068.50666</v>
      </c>
    </row>
    <row r="59" spans="1:12" ht="15.75" customHeight="1" x14ac:dyDescent="0.25">
      <c r="A59" s="23"/>
      <c r="B59" s="126" t="s">
        <v>98</v>
      </c>
      <c r="C59" s="147">
        <v>0.1234</v>
      </c>
      <c r="D59" s="147">
        <v>1.1676</v>
      </c>
      <c r="E59" s="116">
        <v>2.02</v>
      </c>
      <c r="F59" s="116">
        <v>0.1229007840759184</v>
      </c>
      <c r="G59" s="116">
        <v>81.624300000000005</v>
      </c>
      <c r="H59" s="191">
        <v>1.3481000000000001</v>
      </c>
      <c r="I59" s="191">
        <v>1.1789000000000001</v>
      </c>
      <c r="J59" s="192">
        <v>79.599999999999994</v>
      </c>
      <c r="K59" s="191">
        <v>2.286</v>
      </c>
      <c r="L59" s="193">
        <v>4125.6698399999996</v>
      </c>
    </row>
    <row r="60" spans="1:12" ht="15.75" customHeight="1" x14ac:dyDescent="0.25">
      <c r="A60" s="23"/>
      <c r="B60" s="126" t="s">
        <v>99</v>
      </c>
      <c r="C60" s="147">
        <v>0.45629999999999998</v>
      </c>
      <c r="D60" s="147">
        <v>1.5515000000000001</v>
      </c>
      <c r="E60" s="116">
        <v>2.0266666666666606</v>
      </c>
      <c r="F60" s="116">
        <v>0.14215267313954119</v>
      </c>
      <c r="G60" s="116">
        <v>82.349900000000005</v>
      </c>
      <c r="H60" s="191">
        <v>1.3411999999999999</v>
      </c>
      <c r="I60" s="191">
        <v>1.1954</v>
      </c>
      <c r="J60" s="192">
        <v>99</v>
      </c>
      <c r="K60" s="191">
        <v>2.35</v>
      </c>
      <c r="L60" s="193">
        <v>4173.1280800000004</v>
      </c>
    </row>
    <row r="61" spans="1:12" ht="15.75" customHeight="1" x14ac:dyDescent="0.25">
      <c r="A61" s="23"/>
      <c r="B61" s="126" t="s">
        <v>100</v>
      </c>
      <c r="C61" s="147">
        <v>0.95830000000000004</v>
      </c>
      <c r="D61" s="147">
        <v>2.2464</v>
      </c>
      <c r="E61" s="116">
        <v>2.0833333333333299</v>
      </c>
      <c r="F61" s="116">
        <v>0.2222871543600084</v>
      </c>
      <c r="G61" s="116">
        <v>80.180700000000002</v>
      </c>
      <c r="H61" s="191">
        <v>1.2542</v>
      </c>
      <c r="I61" s="191">
        <v>1.1785000000000001</v>
      </c>
      <c r="J61" s="192">
        <v>112.7</v>
      </c>
      <c r="K61" s="191">
        <v>1.47</v>
      </c>
      <c r="L61" s="193">
        <v>4109.5460700000012</v>
      </c>
    </row>
    <row r="62" spans="1:12" ht="15.75" customHeight="1" x14ac:dyDescent="0.25">
      <c r="A62" s="23"/>
      <c r="B62" s="126" t="s">
        <v>101</v>
      </c>
      <c r="C62" s="147">
        <v>1.6172</v>
      </c>
      <c r="D62" s="147">
        <v>2.9005999999999998</v>
      </c>
      <c r="E62" s="116">
        <v>2.1866666666666599</v>
      </c>
      <c r="F62" s="116">
        <v>0.39474099532300072</v>
      </c>
      <c r="G62" s="116">
        <v>78.151600000000002</v>
      </c>
      <c r="H62" s="191">
        <v>1.1775</v>
      </c>
      <c r="I62" s="191">
        <v>1.1688000000000001</v>
      </c>
      <c r="J62" s="192">
        <v>99.2</v>
      </c>
      <c r="K62" s="191">
        <v>2.891</v>
      </c>
      <c r="L62" s="193">
        <v>4013.5116499999999</v>
      </c>
    </row>
    <row r="63" spans="1:12" ht="15.75" customHeight="1" x14ac:dyDescent="0.25">
      <c r="A63" s="23"/>
      <c r="B63" s="126" t="s">
        <v>102</v>
      </c>
      <c r="C63" s="147">
        <v>2.8056000000000001</v>
      </c>
      <c r="D63" s="147">
        <v>3.7974000000000001</v>
      </c>
      <c r="E63" s="116">
        <v>2.3966666666666594</v>
      </c>
      <c r="F63" s="116">
        <v>0.77417616608933115</v>
      </c>
      <c r="G63" s="116">
        <v>78.084800000000001</v>
      </c>
      <c r="H63" s="191">
        <v>1.1738</v>
      </c>
      <c r="I63" s="191">
        <v>1.1504000000000001</v>
      </c>
      <c r="J63" s="192">
        <v>88.4</v>
      </c>
      <c r="K63" s="191">
        <v>1.7490000000000001</v>
      </c>
      <c r="L63" s="193">
        <v>3978.3304400000002</v>
      </c>
    </row>
    <row r="64" spans="1:12" ht="15.75" customHeight="1" x14ac:dyDescent="0.25">
      <c r="A64" s="23"/>
      <c r="B64" s="126" t="s">
        <v>103</v>
      </c>
      <c r="C64" s="147">
        <v>3.8555000000000001</v>
      </c>
      <c r="D64" s="147">
        <v>3.7629000000000001</v>
      </c>
      <c r="E64" s="116">
        <v>2.65</v>
      </c>
      <c r="F64" s="116">
        <v>1.197474046438632</v>
      </c>
      <c r="G64" s="116">
        <v>78.176599999999979</v>
      </c>
      <c r="H64" s="191">
        <v>1.2152000000000001</v>
      </c>
      <c r="I64" s="191">
        <v>1.1325000000000001</v>
      </c>
      <c r="J64" s="192">
        <v>81.400000000000006</v>
      </c>
      <c r="K64" s="191">
        <v>1.3169999999999999</v>
      </c>
      <c r="L64" s="193">
        <v>4245.24575</v>
      </c>
    </row>
    <row r="65" spans="1:23" ht="15.75" customHeight="1" x14ac:dyDescent="0.25">
      <c r="A65" s="23"/>
      <c r="B65" s="126" t="s">
        <v>104</v>
      </c>
      <c r="C65" s="147">
        <v>4.4583000000000004</v>
      </c>
      <c r="D65" s="147">
        <v>4.1181999999999999</v>
      </c>
      <c r="E65" s="116">
        <v>2.84</v>
      </c>
      <c r="F65" s="116">
        <v>1.5852945873421811</v>
      </c>
      <c r="G65" s="116">
        <v>80.447500000000005</v>
      </c>
      <c r="H65" s="191">
        <v>1.2524999999999999</v>
      </c>
      <c r="I65" s="191">
        <v>1.1507000000000001</v>
      </c>
      <c r="J65" s="192">
        <v>78.2</v>
      </c>
      <c r="K65" s="191">
        <v>0.85199999999999998</v>
      </c>
      <c r="L65" s="193">
        <v>4191.3816200000001</v>
      </c>
    </row>
    <row r="66" spans="1:23" ht="15.75" customHeight="1" x14ac:dyDescent="0.25">
      <c r="A66" s="23"/>
      <c r="B66" s="126" t="s">
        <v>105</v>
      </c>
      <c r="C66" s="147">
        <v>5.1601999999999988</v>
      </c>
      <c r="D66" s="147">
        <v>4.4842000000000004</v>
      </c>
      <c r="E66" s="116">
        <v>3.07</v>
      </c>
      <c r="F66" s="116">
        <v>2.1190197269818118</v>
      </c>
      <c r="G66" s="116">
        <v>82.212299999999999</v>
      </c>
      <c r="H66" s="191">
        <v>1.266</v>
      </c>
      <c r="I66" s="191">
        <v>1.1633</v>
      </c>
      <c r="J66" s="192">
        <v>86</v>
      </c>
      <c r="K66" s="191">
        <v>0.82599999999999996</v>
      </c>
      <c r="L66" s="193">
        <v>4093.4014000000002</v>
      </c>
    </row>
    <row r="67" spans="1:23" ht="15.75" customHeight="1" x14ac:dyDescent="0.25">
      <c r="A67" s="23"/>
      <c r="B67" s="126" t="s">
        <v>106</v>
      </c>
      <c r="C67" s="147">
        <v>5.25</v>
      </c>
      <c r="D67" s="147">
        <v>4.4485000000000001</v>
      </c>
      <c r="E67" s="116">
        <v>3.29</v>
      </c>
      <c r="F67" s="116">
        <v>2.3845206817574378</v>
      </c>
      <c r="G67" s="116">
        <v>81.203400000000002</v>
      </c>
      <c r="H67" s="191">
        <v>1.2404999999999999</v>
      </c>
      <c r="I67" s="191">
        <v>1.1536999999999999</v>
      </c>
      <c r="J67" s="192">
        <v>83.1</v>
      </c>
      <c r="K67" s="191">
        <v>0.97499999999999998</v>
      </c>
      <c r="L67" s="193">
        <v>4079.1728699999999</v>
      </c>
    </row>
    <row r="68" spans="1:23" ht="15.75" customHeight="1" x14ac:dyDescent="0.25">
      <c r="A68" s="23"/>
      <c r="B68" s="126" t="s">
        <v>107</v>
      </c>
      <c r="C68" s="147">
        <v>5.25</v>
      </c>
      <c r="D68" s="147">
        <v>4.2672999999999988</v>
      </c>
      <c r="E68" s="116">
        <v>3.4733333333333301</v>
      </c>
      <c r="F68" s="116">
        <v>2.5021534926397679</v>
      </c>
      <c r="G68" s="116">
        <v>82.575900000000004</v>
      </c>
      <c r="H68" s="191">
        <v>1.268</v>
      </c>
      <c r="I68" s="191">
        <v>1.1681999999999999</v>
      </c>
      <c r="J68" s="192">
        <v>82.2</v>
      </c>
      <c r="K68" s="191">
        <v>0.68500000000000005</v>
      </c>
      <c r="L68" s="193">
        <v>4188.7836200000002</v>
      </c>
    </row>
    <row r="69" spans="1:23" ht="15.75" customHeight="1" x14ac:dyDescent="0.25">
      <c r="A69" s="23"/>
      <c r="B69" s="126" t="s">
        <v>108</v>
      </c>
      <c r="C69" s="147">
        <v>5.25</v>
      </c>
      <c r="D69" s="147">
        <v>4.4081999999999999</v>
      </c>
      <c r="E69" s="116">
        <v>3.62</v>
      </c>
      <c r="F69" s="116">
        <v>2.5518879439087412</v>
      </c>
      <c r="G69" s="116">
        <v>82.957599999999999</v>
      </c>
      <c r="H69" s="191">
        <v>1.2617</v>
      </c>
      <c r="I69" s="191">
        <v>1.1720999999999997</v>
      </c>
      <c r="J69" s="192">
        <v>84.9</v>
      </c>
      <c r="K69" s="191">
        <v>0.76600000000000001</v>
      </c>
      <c r="L69" s="193">
        <v>4454.2627300000004</v>
      </c>
    </row>
    <row r="70" spans="1:23" ht="15.75" customHeight="1" x14ac:dyDescent="0.25">
      <c r="A70" s="23"/>
      <c r="B70" s="126" t="s">
        <v>109</v>
      </c>
      <c r="C70" s="147">
        <v>5.0884999999999998</v>
      </c>
      <c r="D70" s="147">
        <v>4.2588999999999988</v>
      </c>
      <c r="E70" s="116">
        <v>3.7266666666666599</v>
      </c>
      <c r="F70" s="116">
        <v>2.5631409873598452</v>
      </c>
      <c r="G70" s="116">
        <v>84.323400000000021</v>
      </c>
      <c r="H70" s="191">
        <v>1.3</v>
      </c>
      <c r="I70" s="191">
        <v>1.1835</v>
      </c>
      <c r="J70" s="192">
        <v>79</v>
      </c>
      <c r="K70" s="191">
        <v>0.88400000000000001</v>
      </c>
      <c r="L70" s="193">
        <v>4508.4312600000003</v>
      </c>
    </row>
    <row r="71" spans="1:23" ht="15.75" customHeight="1" x14ac:dyDescent="0.25">
      <c r="A71" s="23"/>
      <c r="B71" s="126" t="s">
        <v>110</v>
      </c>
      <c r="C71" s="147">
        <v>4.8555000000000001</v>
      </c>
      <c r="D71" s="147">
        <v>4.6006999999999998</v>
      </c>
      <c r="E71" s="116">
        <v>3.8</v>
      </c>
      <c r="F71" s="116">
        <v>2.539795668914087</v>
      </c>
      <c r="G71" s="116">
        <v>84.603200000000001</v>
      </c>
      <c r="H71" s="191">
        <v>1.2824</v>
      </c>
      <c r="I71" s="191">
        <v>1.2014</v>
      </c>
      <c r="J71" s="192">
        <v>74.2</v>
      </c>
      <c r="K71" s="191">
        <v>1.0660000000000001</v>
      </c>
      <c r="L71" s="193">
        <v>4492.3445300000003</v>
      </c>
    </row>
    <row r="72" spans="1:23" ht="15.75" customHeight="1" x14ac:dyDescent="0.25">
      <c r="A72" s="23"/>
      <c r="B72" s="126" t="s">
        <v>111</v>
      </c>
      <c r="C72" s="147">
        <v>4.5991999999999997</v>
      </c>
      <c r="D72" s="147">
        <v>4.9236000000000004</v>
      </c>
      <c r="E72" s="116">
        <v>3.84666666666666</v>
      </c>
      <c r="F72" s="116">
        <v>2.425982594617623</v>
      </c>
      <c r="G72" s="116">
        <v>84.063199999999995</v>
      </c>
      <c r="H72" s="194">
        <v>1.2598</v>
      </c>
      <c r="I72" s="191">
        <v>1.1964999999999999</v>
      </c>
      <c r="J72" s="192">
        <v>75.099999999999994</v>
      </c>
      <c r="K72" s="191">
        <v>1.169</v>
      </c>
      <c r="L72" s="193">
        <v>4656.06322</v>
      </c>
    </row>
    <row r="73" spans="1:23" ht="15.75" customHeight="1" x14ac:dyDescent="0.25">
      <c r="A73" s="23"/>
      <c r="B73" s="126" t="s">
        <v>112</v>
      </c>
      <c r="C73" s="147">
        <v>4.3483999999999998</v>
      </c>
      <c r="D73" s="147">
        <v>5.0086000000000004</v>
      </c>
      <c r="E73" s="116">
        <v>3.8766666666666598</v>
      </c>
      <c r="F73" s="116">
        <v>2.326398104342041</v>
      </c>
      <c r="G73" s="116">
        <v>85.467399999999998</v>
      </c>
      <c r="H73" s="194">
        <v>1.3358000000000001</v>
      </c>
      <c r="I73" s="191">
        <v>1.1776</v>
      </c>
      <c r="J73" s="192">
        <v>66.8</v>
      </c>
      <c r="K73" s="191">
        <v>0.85</v>
      </c>
      <c r="L73" s="193">
        <v>4643.5644000000002</v>
      </c>
    </row>
    <row r="74" spans="1:23" ht="15.75" customHeight="1" x14ac:dyDescent="0.25">
      <c r="A74" s="23"/>
      <c r="B74" s="126" t="s">
        <v>113</v>
      </c>
      <c r="C74" s="147">
        <v>4.1037999999999988</v>
      </c>
      <c r="D74" s="147">
        <v>5.1456999999999997</v>
      </c>
      <c r="E74" s="116">
        <v>3.8966666666666598</v>
      </c>
      <c r="F74" s="116">
        <v>2.2129761418531353</v>
      </c>
      <c r="G74" s="116">
        <v>85.015900000000002</v>
      </c>
      <c r="H74" s="194">
        <v>1.3483000000000001</v>
      </c>
      <c r="I74" s="191">
        <v>1.1537999999999999</v>
      </c>
      <c r="J74" s="192">
        <v>68.5</v>
      </c>
      <c r="K74" s="191">
        <v>0.79900000000000004</v>
      </c>
      <c r="L74" s="193">
        <v>4949.4046699999999</v>
      </c>
    </row>
    <row r="75" spans="1:23" ht="15.75" customHeight="1" x14ac:dyDescent="0.25">
      <c r="A75" s="23"/>
      <c r="B75" s="126" t="s">
        <v>114</v>
      </c>
      <c r="C75" s="147">
        <v>3.9687999999999999</v>
      </c>
      <c r="D75" s="147">
        <v>5.0255000000000001</v>
      </c>
      <c r="E75" s="116">
        <v>3.9066666666666601</v>
      </c>
      <c r="F75" s="116">
        <v>2.1042525784301049</v>
      </c>
      <c r="G75" s="116">
        <v>84.143799999999999</v>
      </c>
      <c r="H75" s="194">
        <v>1.3297000000000001</v>
      </c>
      <c r="I75" s="191">
        <v>1.1426000000000001</v>
      </c>
      <c r="J75" s="192">
        <v>63.1</v>
      </c>
      <c r="K75" s="191">
        <v>0.75</v>
      </c>
      <c r="L75" s="193">
        <v>5208.7273800000003</v>
      </c>
    </row>
    <row r="76" spans="1:23" ht="15.75" customHeight="1" x14ac:dyDescent="0.25">
      <c r="A76" s="23"/>
      <c r="B76" s="126" t="s">
        <v>115</v>
      </c>
      <c r="C76" s="147">
        <v>3.75</v>
      </c>
      <c r="D76" s="147">
        <v>5.0608000000000004</v>
      </c>
      <c r="E76" s="116">
        <v>3.93</v>
      </c>
      <c r="F76" s="116">
        <v>2.0583314645886448</v>
      </c>
      <c r="G76" s="116">
        <v>84.785499999999999</v>
      </c>
      <c r="H76" s="194">
        <v>1.3474999999999997</v>
      </c>
      <c r="I76" s="191">
        <v>1.1516999999999999</v>
      </c>
      <c r="J76" s="192">
        <v>77</v>
      </c>
      <c r="K76" s="191">
        <v>1.0069999999999999</v>
      </c>
      <c r="L76" s="193">
        <v>5538.5115699999988</v>
      </c>
    </row>
    <row r="77" spans="1:23" ht="15.75" customHeight="1" x14ac:dyDescent="0.25">
      <c r="A77" s="23"/>
      <c r="B77" s="126" t="s">
        <v>116</v>
      </c>
      <c r="C77" s="147">
        <v>3.75</v>
      </c>
      <c r="D77" s="147">
        <v>5.3513999999999999</v>
      </c>
      <c r="E77" s="116">
        <v>3.94</v>
      </c>
      <c r="F77" s="116">
        <v>2.0127443410349648</v>
      </c>
      <c r="G77" s="116">
        <v>84.845799999999997</v>
      </c>
      <c r="H77" s="194">
        <v>1.3431</v>
      </c>
      <c r="I77" s="191">
        <v>1.1546000000000001</v>
      </c>
      <c r="J77" s="192">
        <v>95</v>
      </c>
      <c r="K77" s="191">
        <v>1.133</v>
      </c>
      <c r="L77" s="193">
        <v>5590.22372</v>
      </c>
    </row>
    <row r="78" spans="1:23" ht="15.75" customHeight="1" x14ac:dyDescent="0.25">
      <c r="A78" s="23"/>
      <c r="B78" s="126" t="s">
        <v>117</v>
      </c>
      <c r="C78" s="147">
        <v>3.7446000000000002</v>
      </c>
      <c r="D78" s="147">
        <v>5.5021000000000004</v>
      </c>
      <c r="E78" s="116">
        <v>4.0399662961804896</v>
      </c>
      <c r="F78" s="116">
        <v>2.0450068963471271</v>
      </c>
      <c r="G78" s="116">
        <v>85.662999999999997</v>
      </c>
      <c r="H78" s="194">
        <v>1.347</v>
      </c>
      <c r="I78" s="191">
        <v>1.1698999999999999</v>
      </c>
      <c r="J78" s="192">
        <v>85.2</v>
      </c>
      <c r="K78" s="191">
        <v>1.409</v>
      </c>
      <c r="L78" s="193">
        <v>5638.8853099999997</v>
      </c>
    </row>
    <row r="79" spans="1:23" ht="15.75" customHeight="1" x14ac:dyDescent="0.25">
      <c r="A79" s="23"/>
      <c r="B79" s="126" t="s">
        <v>118</v>
      </c>
      <c r="C79" s="147">
        <v>3.8645999999999998</v>
      </c>
      <c r="D79" s="147">
        <v>5.5655000000000001</v>
      </c>
      <c r="E79" s="116">
        <v>4.1409893254548402</v>
      </c>
      <c r="F79" s="116">
        <v>2.1387354679711148</v>
      </c>
      <c r="G79" s="116">
        <v>85.741</v>
      </c>
      <c r="H79" s="194">
        <v>1.3525</v>
      </c>
      <c r="I79" s="191">
        <v>1.1692</v>
      </c>
      <c r="J79" s="192">
        <v>86.1</v>
      </c>
      <c r="K79" s="191">
        <v>1.5149999999999999</v>
      </c>
      <c r="L79" s="193">
        <v>5684.4530299999997</v>
      </c>
      <c r="M79" s="195"/>
    </row>
    <row r="80" spans="1:23" s="2" customFormat="1" x14ac:dyDescent="0.25">
      <c r="A80" s="7"/>
      <c r="B80" s="47" t="s">
        <v>119</v>
      </c>
      <c r="C80" s="147">
        <v>4.0655000000000001</v>
      </c>
      <c r="D80" s="147">
        <v>5.5989000000000004</v>
      </c>
      <c r="E80" s="116">
        <v>4.2445728832069403</v>
      </c>
      <c r="F80" s="116">
        <v>2.2730262816523519</v>
      </c>
      <c r="G80" s="116">
        <v>85.741</v>
      </c>
      <c r="H80" s="194">
        <v>1.3525</v>
      </c>
      <c r="I80" s="191">
        <v>1.1692</v>
      </c>
      <c r="J80" s="192">
        <v>81.3</v>
      </c>
      <c r="K80" s="191">
        <v>1.4590000000000001</v>
      </c>
      <c r="L80" s="193">
        <v>5726.34447</v>
      </c>
      <c r="M80" s="116"/>
      <c r="N80" s="116"/>
      <c r="O80" s="116"/>
      <c r="P80" s="116"/>
      <c r="R80" s="116"/>
      <c r="S80" s="116"/>
      <c r="V80" s="27"/>
      <c r="W80" s="27"/>
    </row>
    <row r="81" spans="1:23" s="2" customFormat="1" x14ac:dyDescent="0.25">
      <c r="A81" s="7"/>
      <c r="B81" s="47" t="s">
        <v>120</v>
      </c>
      <c r="C81" s="147">
        <v>4.2119999999999997</v>
      </c>
      <c r="D81" s="147">
        <v>5.6318999999999999</v>
      </c>
      <c r="E81" s="116">
        <v>4.3336391928512104</v>
      </c>
      <c r="F81" s="116">
        <v>2.3809759886302122</v>
      </c>
      <c r="G81" s="116">
        <v>85.741</v>
      </c>
      <c r="H81" s="194">
        <v>1.3525</v>
      </c>
      <c r="I81" s="191">
        <v>1.1692</v>
      </c>
      <c r="J81" s="192">
        <v>78.5</v>
      </c>
      <c r="K81" s="191">
        <v>0.98899999999999999</v>
      </c>
      <c r="L81" s="193">
        <v>5774.3915500000003</v>
      </c>
      <c r="M81" s="116"/>
      <c r="N81" s="116"/>
      <c r="O81" s="116"/>
      <c r="P81" s="116"/>
      <c r="R81" s="116"/>
      <c r="S81" s="116"/>
      <c r="V81" s="27"/>
      <c r="W81" s="27"/>
    </row>
    <row r="82" spans="1:23" s="2" customFormat="1" x14ac:dyDescent="0.25">
      <c r="A82" s="7"/>
      <c r="B82" s="47" t="s">
        <v>121</v>
      </c>
      <c r="C82" s="147">
        <v>4.3051000000000004</v>
      </c>
      <c r="D82" s="147">
        <v>5.6642999999999999</v>
      </c>
      <c r="E82" s="116">
        <v>4.4135474621406212</v>
      </c>
      <c r="F82" s="116">
        <v>2.4624735175038648</v>
      </c>
      <c r="G82" s="116">
        <v>85.741</v>
      </c>
      <c r="H82" s="194">
        <v>1.3525</v>
      </c>
      <c r="I82" s="191">
        <v>1.1692</v>
      </c>
      <c r="J82" s="192">
        <v>76.8</v>
      </c>
      <c r="K82" s="191">
        <v>0.91600000000000004</v>
      </c>
      <c r="L82" s="193">
        <v>5815.6062599999996</v>
      </c>
      <c r="M82" s="116"/>
      <c r="N82" s="116"/>
      <c r="O82" s="116"/>
      <c r="P82" s="116"/>
      <c r="R82" s="116"/>
      <c r="S82" s="116"/>
      <c r="V82" s="27"/>
      <c r="W82" s="27"/>
    </row>
    <row r="83" spans="1:23" s="2" customFormat="1" x14ac:dyDescent="0.25">
      <c r="A83" s="7"/>
      <c r="B83" s="47" t="s">
        <v>122</v>
      </c>
      <c r="C83" s="147">
        <v>4.3540999999999999</v>
      </c>
      <c r="D83" s="147">
        <v>5.6966000000000001</v>
      </c>
      <c r="E83" s="116">
        <v>4.4628296319869696</v>
      </c>
      <c r="F83" s="116">
        <v>2.5215977458059311</v>
      </c>
      <c r="G83" s="116">
        <v>85.741</v>
      </c>
      <c r="H83" s="194">
        <v>1.3525</v>
      </c>
      <c r="I83" s="191">
        <v>1.1692</v>
      </c>
      <c r="J83" s="192">
        <v>75.599999999999994</v>
      </c>
      <c r="K83" s="191">
        <v>0.94399999999999995</v>
      </c>
      <c r="L83" s="193">
        <v>5865.4841699999997</v>
      </c>
      <c r="M83" s="116"/>
      <c r="N83" s="116"/>
      <c r="O83" s="116"/>
      <c r="P83" s="116"/>
      <c r="R83" s="116"/>
      <c r="S83" s="116"/>
      <c r="V83" s="27"/>
      <c r="W83" s="27"/>
    </row>
    <row r="84" spans="1:23" ht="15.75" customHeight="1" x14ac:dyDescent="0.25">
      <c r="A84" s="23"/>
      <c r="B84" s="126" t="s">
        <v>123</v>
      </c>
      <c r="C84" s="147">
        <v>4.3674999999999997</v>
      </c>
      <c r="D84" s="147">
        <v>5.7286000000000001</v>
      </c>
      <c r="E84" s="116">
        <v>4.5169318840044301</v>
      </c>
      <c r="F84" s="116">
        <v>2.5621470350392759</v>
      </c>
      <c r="G84" s="116">
        <v>85.741</v>
      </c>
      <c r="H84" s="194">
        <v>1.3525</v>
      </c>
      <c r="I84" s="191">
        <v>1.1692</v>
      </c>
      <c r="J84" s="192">
        <v>74.599999999999994</v>
      </c>
      <c r="K84" s="191">
        <v>0.93600000000000005</v>
      </c>
      <c r="L84" s="193">
        <v>5919.5715399999999</v>
      </c>
      <c r="M84" s="195"/>
    </row>
    <row r="85" spans="1:23" ht="15.75" customHeight="1" x14ac:dyDescent="0.25">
      <c r="A85" s="23"/>
      <c r="B85" s="126" t="s">
        <v>124</v>
      </c>
      <c r="C85" s="147">
        <v>4.3570000000000002</v>
      </c>
      <c r="D85" s="147">
        <v>5.7605000000000004</v>
      </c>
      <c r="E85" s="116">
        <v>4.5300546759614706</v>
      </c>
      <c r="F85" s="116">
        <v>2.5896296424006353</v>
      </c>
      <c r="G85" s="116">
        <v>85.741</v>
      </c>
      <c r="H85" s="194">
        <v>1.3525</v>
      </c>
      <c r="I85" s="191">
        <v>1.1692</v>
      </c>
      <c r="J85" s="192">
        <v>73.900000000000006</v>
      </c>
      <c r="K85" s="191">
        <v>0.71599999999999997</v>
      </c>
      <c r="L85" s="193">
        <v>5975.5600700000005</v>
      </c>
      <c r="M85" s="195"/>
    </row>
    <row r="86" spans="1:23" ht="15.75" customHeight="1" x14ac:dyDescent="0.25">
      <c r="A86" s="23"/>
      <c r="B86" s="126" t="s">
        <v>125</v>
      </c>
      <c r="C86" s="147">
        <v>4.3367000000000004</v>
      </c>
      <c r="D86" s="147">
        <v>5.7920999999999996</v>
      </c>
      <c r="E86" s="116">
        <v>4.52913606399812</v>
      </c>
      <c r="F86" s="116">
        <v>2.6108931745790338</v>
      </c>
      <c r="G86" s="116">
        <v>85.741</v>
      </c>
      <c r="H86" s="194">
        <v>1.3525</v>
      </c>
      <c r="I86" s="191">
        <v>1.1692</v>
      </c>
      <c r="J86" s="192">
        <v>73.2</v>
      </c>
      <c r="K86" s="191">
        <v>0.66800000000000004</v>
      </c>
      <c r="L86" s="193">
        <v>6033.5201100000004</v>
      </c>
      <c r="M86" s="195"/>
    </row>
    <row r="87" spans="1:23" ht="15.75" customHeight="1" x14ac:dyDescent="0.25">
      <c r="A87" s="23"/>
      <c r="B87" s="126" t="s">
        <v>126</v>
      </c>
      <c r="C87" s="147">
        <v>4.3182999999999998</v>
      </c>
      <c r="D87" s="147">
        <v>5.8235000000000001</v>
      </c>
      <c r="E87" s="116">
        <v>4.5451382763096797</v>
      </c>
      <c r="F87" s="116">
        <v>2.6317411028129394</v>
      </c>
      <c r="G87" s="116">
        <v>85.741</v>
      </c>
      <c r="H87" s="194">
        <v>1.3525</v>
      </c>
      <c r="I87" s="191">
        <v>1.1692</v>
      </c>
      <c r="J87" s="192">
        <v>72.7</v>
      </c>
      <c r="K87" s="191">
        <v>0.752</v>
      </c>
      <c r="L87" s="193">
        <v>6091.06297</v>
      </c>
      <c r="M87" s="195"/>
    </row>
    <row r="88" spans="1:23" ht="15.75" customHeight="1" x14ac:dyDescent="0.25">
      <c r="A88" s="23"/>
      <c r="B88" s="126" t="s">
        <v>127</v>
      </c>
      <c r="C88" s="147">
        <v>4.3056999999999999</v>
      </c>
      <c r="D88" s="147">
        <v>5.8544</v>
      </c>
      <c r="E88" s="116">
        <v>4.5698130476880499</v>
      </c>
      <c r="F88" s="116">
        <v>2.6541969588284031</v>
      </c>
      <c r="G88" s="116">
        <v>85.741</v>
      </c>
      <c r="H88" s="194">
        <v>1.3525</v>
      </c>
      <c r="I88" s="191">
        <v>1.1692</v>
      </c>
      <c r="J88" s="192">
        <v>72.2</v>
      </c>
      <c r="K88" s="191">
        <v>0.77500000000000002</v>
      </c>
      <c r="L88" s="193">
        <v>6149.0871399999996</v>
      </c>
      <c r="M88" s="195"/>
    </row>
    <row r="89" spans="1:23" ht="15.75" customHeight="1" x14ac:dyDescent="0.25">
      <c r="A89" s="23"/>
      <c r="B89" s="126" t="s">
        <v>128</v>
      </c>
      <c r="C89" s="147">
        <v>4.2995000000000001</v>
      </c>
      <c r="D89" s="147">
        <v>5.8849999999999998</v>
      </c>
      <c r="E89" s="116">
        <v>4.5894705222485399</v>
      </c>
      <c r="F89" s="116">
        <v>2.6786704514978266</v>
      </c>
      <c r="G89" s="116">
        <v>85.741</v>
      </c>
      <c r="H89" s="194">
        <v>1.3525</v>
      </c>
      <c r="I89" s="191">
        <v>1.1692</v>
      </c>
      <c r="J89" s="192">
        <v>71.900000000000006</v>
      </c>
      <c r="K89" s="191">
        <v>0.621</v>
      </c>
      <c r="L89" s="193">
        <v>6206.2620500000003</v>
      </c>
      <c r="M89" s="195"/>
    </row>
    <row r="90" spans="1:23" ht="15.75" customHeight="1" x14ac:dyDescent="0.25">
      <c r="A90" s="23"/>
      <c r="B90" s="126" t="s">
        <v>129</v>
      </c>
      <c r="C90" s="147">
        <v>4.3003999999999998</v>
      </c>
      <c r="D90" s="147">
        <v>5.9150999999999998</v>
      </c>
      <c r="E90" s="116">
        <v>4.6198854436197907</v>
      </c>
      <c r="F90" s="116">
        <v>2.7056237564394894</v>
      </c>
      <c r="G90" s="116">
        <v>85.741</v>
      </c>
      <c r="H90" s="194">
        <v>1.3525</v>
      </c>
      <c r="I90" s="191">
        <v>1.1692</v>
      </c>
      <c r="J90" s="192">
        <v>71.5</v>
      </c>
      <c r="K90" s="191">
        <v>0.61</v>
      </c>
      <c r="L90" s="193">
        <v>6262.4901600000003</v>
      </c>
      <c r="M90" s="195"/>
    </row>
    <row r="91" spans="1:23" ht="15.75" customHeight="1" x14ac:dyDescent="0.25">
      <c r="A91" s="23"/>
      <c r="B91" s="126" t="s">
        <v>130</v>
      </c>
      <c r="C91" s="147">
        <v>4.3089000000000004</v>
      </c>
      <c r="D91" s="147">
        <v>5.9446000000000003</v>
      </c>
      <c r="E91" s="116">
        <v>4.6476077600508603</v>
      </c>
      <c r="F91" s="116">
        <v>2.7354222433601811</v>
      </c>
      <c r="G91" s="116">
        <v>85.741</v>
      </c>
      <c r="H91" s="194">
        <v>1.3525</v>
      </c>
      <c r="I91" s="191">
        <v>1.1692</v>
      </c>
      <c r="J91" s="192">
        <v>71.099999999999994</v>
      </c>
      <c r="K91" s="191">
        <v>0.69699999999999995</v>
      </c>
      <c r="L91" s="193">
        <v>6318.7859399999998</v>
      </c>
      <c r="M91" s="195"/>
    </row>
    <row r="92" spans="1:23" ht="15.75" customHeight="1" x14ac:dyDescent="0.25">
      <c r="A92" s="23"/>
      <c r="B92" s="47" t="s">
        <v>131</v>
      </c>
      <c r="C92" s="147">
        <v>4.3242000000000003</v>
      </c>
      <c r="D92" s="147">
        <v>5.9733999999999998</v>
      </c>
      <c r="E92" s="116">
        <v>4.6749845039942199</v>
      </c>
      <c r="F92" s="116">
        <v>2.7677813109810621</v>
      </c>
      <c r="G92" s="116">
        <v>85.741</v>
      </c>
      <c r="H92" s="194">
        <v>1.3525</v>
      </c>
      <c r="I92" s="191">
        <v>1.1692</v>
      </c>
      <c r="J92" s="192">
        <v>70.900000000000006</v>
      </c>
      <c r="K92" s="191">
        <v>0.73</v>
      </c>
      <c r="L92" s="193">
        <v>6376.8775500000002</v>
      </c>
      <c r="M92" s="195"/>
    </row>
    <row r="93" spans="1:23" ht="15.75" customHeight="1" x14ac:dyDescent="0.25">
      <c r="A93" s="23"/>
      <c r="B93" s="47" t="s">
        <v>132</v>
      </c>
      <c r="C93" s="147">
        <v>4.3449999999999998</v>
      </c>
      <c r="D93" s="147">
        <v>6.0015000000000001</v>
      </c>
      <c r="E93" s="116">
        <v>4.7114221998153907</v>
      </c>
      <c r="F93" s="116">
        <v>2.8021531798773318</v>
      </c>
      <c r="G93" s="116">
        <v>85.741</v>
      </c>
      <c r="H93" s="194">
        <v>1.3525</v>
      </c>
      <c r="I93" s="191">
        <v>1.1692</v>
      </c>
      <c r="J93" s="192">
        <v>71.2</v>
      </c>
      <c r="K93" s="191">
        <v>0.67300000000000004</v>
      </c>
      <c r="L93" s="193">
        <v>6434.7592800000002</v>
      </c>
      <c r="M93" s="195"/>
    </row>
    <row r="94" spans="1:23" ht="15.75" customHeight="1" x14ac:dyDescent="0.25">
      <c r="A94" s="23"/>
      <c r="B94" s="47" t="s">
        <v>133</v>
      </c>
      <c r="C94" s="147">
        <v>4.3701999999999996</v>
      </c>
      <c r="D94" s="147">
        <v>6.0288000000000004</v>
      </c>
      <c r="E94" s="116">
        <v>4.7512233815507097</v>
      </c>
      <c r="F94" s="116">
        <v>2.8380726218935601</v>
      </c>
      <c r="G94" s="116">
        <v>85.741</v>
      </c>
      <c r="H94" s="194">
        <v>1.3525</v>
      </c>
      <c r="I94" s="191">
        <v>1.1692</v>
      </c>
      <c r="J94" s="192">
        <v>71.599999999999994</v>
      </c>
      <c r="K94" s="191">
        <v>0.67700000000000005</v>
      </c>
      <c r="L94" s="193">
        <v>6493.0381100000004</v>
      </c>
      <c r="M94" s="195"/>
    </row>
    <row r="95" spans="1:23" ht="15.75" customHeight="1" x14ac:dyDescent="0.25">
      <c r="A95" s="23"/>
      <c r="B95" s="47" t="s">
        <v>134</v>
      </c>
      <c r="C95" s="147">
        <v>4.3986999999999998</v>
      </c>
      <c r="D95" s="147">
        <v>6.0552000000000001</v>
      </c>
      <c r="E95" s="116">
        <v>4.7955070454876498</v>
      </c>
      <c r="F95" s="116">
        <v>2.8750595670225847</v>
      </c>
      <c r="G95" s="116">
        <v>85.741</v>
      </c>
      <c r="H95" s="194">
        <v>1.3525</v>
      </c>
      <c r="I95" s="191">
        <v>1.1692</v>
      </c>
      <c r="J95" s="192">
        <v>72</v>
      </c>
      <c r="K95" s="191">
        <v>0.68</v>
      </c>
      <c r="L95" s="193">
        <v>6551.0765899999997</v>
      </c>
      <c r="M95" s="195"/>
    </row>
    <row r="96" spans="1:23" ht="15.75" customHeight="1" x14ac:dyDescent="0.25">
      <c r="A96" s="23"/>
      <c r="B96" s="47" t="s">
        <v>135</v>
      </c>
      <c r="C96" s="147">
        <v>4.4298999999999999</v>
      </c>
      <c r="D96" s="147">
        <v>6.0807000000000002</v>
      </c>
      <c r="E96" s="116">
        <v>4.8385951283635693</v>
      </c>
      <c r="F96" s="116">
        <v>2.9128700625180231</v>
      </c>
      <c r="G96" s="116">
        <v>85.741</v>
      </c>
      <c r="H96" s="194">
        <v>1.3525</v>
      </c>
      <c r="I96" s="191">
        <v>1.1692</v>
      </c>
      <c r="J96" s="192">
        <v>72.400000000000006</v>
      </c>
      <c r="K96" s="191">
        <v>0.68400000000000005</v>
      </c>
      <c r="L96" s="193">
        <v>6609.08997</v>
      </c>
      <c r="M96" s="195"/>
    </row>
    <row r="97" spans="1:13" ht="15.75" customHeight="1" x14ac:dyDescent="0.25">
      <c r="A97" s="23"/>
      <c r="B97" s="47" t="s">
        <v>645</v>
      </c>
      <c r="C97" s="147">
        <v>4.4633000000000003</v>
      </c>
      <c r="D97" s="147">
        <v>6.1051000000000002</v>
      </c>
      <c r="E97" s="116">
        <v>4.8717594123825796</v>
      </c>
      <c r="F97" s="116">
        <v>2.9513017839379798</v>
      </c>
      <c r="G97" s="116">
        <v>85.741</v>
      </c>
      <c r="H97" s="194">
        <v>1.3525</v>
      </c>
      <c r="I97" s="191">
        <v>1.1692</v>
      </c>
      <c r="J97" s="192">
        <v>72.8</v>
      </c>
      <c r="K97" s="191">
        <v>0.68799999999999994</v>
      </c>
      <c r="L97" s="193">
        <v>6667.4511499999999</v>
      </c>
      <c r="M97" s="195"/>
    </row>
    <row r="98" spans="1:13" ht="15.75" customHeight="1" x14ac:dyDescent="0.25">
      <c r="A98" s="23"/>
      <c r="B98" s="47" t="s">
        <v>646</v>
      </c>
      <c r="C98" s="147">
        <v>4.4988000000000001</v>
      </c>
      <c r="D98" s="147">
        <v>6.1284999999999998</v>
      </c>
      <c r="E98" s="116">
        <v>4.9042643089608307</v>
      </c>
      <c r="F98" s="116">
        <v>2.9903456580672718</v>
      </c>
      <c r="G98" s="116">
        <v>85.741</v>
      </c>
      <c r="H98" s="194">
        <v>1.3525</v>
      </c>
      <c r="I98" s="191">
        <v>1.1692</v>
      </c>
      <c r="J98" s="192">
        <v>73.099999999999994</v>
      </c>
      <c r="K98" s="191">
        <v>0.69099999999999995</v>
      </c>
      <c r="L98" s="193">
        <v>6722.8306300000004</v>
      </c>
      <c r="M98" s="195"/>
    </row>
    <row r="99" spans="1:13" ht="15.75" customHeight="1" x14ac:dyDescent="0.25">
      <c r="A99" s="23"/>
      <c r="B99" s="47" t="s">
        <v>647</v>
      </c>
      <c r="C99" s="147">
        <v>4.5365000000000002</v>
      </c>
      <c r="D99" s="147">
        <v>6.1506999999999996</v>
      </c>
      <c r="E99" s="116">
        <v>4.9368156176796196</v>
      </c>
      <c r="F99" s="116">
        <v>3.0300902118732411</v>
      </c>
      <c r="G99" s="116">
        <v>85.741</v>
      </c>
      <c r="H99" s="194">
        <v>1.3525</v>
      </c>
      <c r="I99" s="191">
        <v>1.1692</v>
      </c>
      <c r="J99" s="192">
        <v>73.5</v>
      </c>
      <c r="K99" s="191">
        <v>0.69499999999999995</v>
      </c>
      <c r="L99" s="193">
        <v>6778.4556599999996</v>
      </c>
      <c r="M99" s="195"/>
    </row>
    <row r="100" spans="1:13" ht="15.75" customHeight="1" x14ac:dyDescent="0.25">
      <c r="A100" s="23"/>
      <c r="B100" s="47" t="s">
        <v>648</v>
      </c>
      <c r="C100" s="147">
        <v>4.5763999999999996</v>
      </c>
      <c r="D100" s="147">
        <v>6.1718000000000002</v>
      </c>
      <c r="E100" s="116">
        <v>4.9693370308660398</v>
      </c>
      <c r="F100" s="116">
        <v>3.0705735450881209</v>
      </c>
      <c r="G100" s="116">
        <v>85.741</v>
      </c>
      <c r="H100" s="194">
        <v>1.3525</v>
      </c>
      <c r="I100" s="191">
        <v>1.1692</v>
      </c>
      <c r="J100" s="192">
        <v>73.900000000000006</v>
      </c>
      <c r="K100" s="191">
        <v>0.69899999999999995</v>
      </c>
      <c r="L100" s="193">
        <v>6834.1897300000001</v>
      </c>
      <c r="M100" s="195"/>
    </row>
    <row r="101" spans="1:13" ht="15.75" customHeight="1" x14ac:dyDescent="0.25">
      <c r="A101" s="23"/>
      <c r="B101" s="128">
        <v>2008</v>
      </c>
      <c r="C101" s="330">
        <v>4.6874500000000001</v>
      </c>
      <c r="D101" s="395">
        <v>4.6816999999999993</v>
      </c>
      <c r="E101" s="396">
        <v>5.7008333333333328</v>
      </c>
      <c r="F101" s="396">
        <v>3.586169680846429</v>
      </c>
      <c r="G101" s="396">
        <v>91.135800000000003</v>
      </c>
      <c r="H101" s="397">
        <v>1.8541000000000001</v>
      </c>
      <c r="I101" s="397">
        <v>1.25925</v>
      </c>
      <c r="J101" s="395">
        <v>97.6</v>
      </c>
      <c r="K101" s="397">
        <f ca="1">AVERAGE(OFFSET(K$4:K$7,4*ROWS(K$4:K4)-4,,4))</f>
        <v>0.6181821310770339</v>
      </c>
      <c r="L101" s="503">
        <v>2618.9249500000005</v>
      </c>
      <c r="M101" s="195"/>
    </row>
    <row r="102" spans="1:13" ht="15.75" customHeight="1" x14ac:dyDescent="0.25">
      <c r="B102" s="8">
        <v>2009</v>
      </c>
      <c r="C102" s="147">
        <v>0.64284999999999992</v>
      </c>
      <c r="D102" s="192">
        <v>4.2543499999999996</v>
      </c>
      <c r="E102" s="116">
        <v>3.708333333333333</v>
      </c>
      <c r="F102" s="116">
        <v>1.523821012717038</v>
      </c>
      <c r="G102" s="116">
        <v>80.633300000000006</v>
      </c>
      <c r="H102" s="191">
        <v>1.5655999999999999</v>
      </c>
      <c r="I102" s="191">
        <v>1.1233</v>
      </c>
      <c r="J102" s="192">
        <v>61.9</v>
      </c>
      <c r="K102" s="191">
        <f ca="1">AVERAGE(OFFSET(K$4:K$7,4*ROWS(K$4:K5)-4,,4))</f>
        <v>0.31063764328063243</v>
      </c>
      <c r="L102" s="193">
        <v>2387.9750250000002</v>
      </c>
    </row>
    <row r="103" spans="1:13" ht="15.75" customHeight="1" x14ac:dyDescent="0.25">
      <c r="B103" s="8">
        <v>2010</v>
      </c>
      <c r="C103" s="147">
        <v>0.5</v>
      </c>
      <c r="D103" s="116">
        <v>4.24925</v>
      </c>
      <c r="E103" s="116">
        <v>3.6008333333333331</v>
      </c>
      <c r="F103" s="116">
        <v>1.4409630720081144</v>
      </c>
      <c r="G103" s="116">
        <v>80.394449999999992</v>
      </c>
      <c r="H103" s="191">
        <v>1.54535</v>
      </c>
      <c r="I103" s="191">
        <v>1.16625</v>
      </c>
      <c r="J103" s="192">
        <v>79.599999999999994</v>
      </c>
      <c r="K103" s="191">
        <f ca="1">AVERAGE(OFFSET(K$4:K$7,4*ROWS(K$4:K6)-4,,4))</f>
        <v>0.42446666666666666</v>
      </c>
      <c r="L103" s="193">
        <v>2846.05</v>
      </c>
    </row>
    <row r="104" spans="1:13" ht="15.75" customHeight="1" x14ac:dyDescent="0.25">
      <c r="B104" s="8">
        <v>2011</v>
      </c>
      <c r="C104" s="147">
        <v>0.5</v>
      </c>
      <c r="D104" s="116">
        <v>3.8380749999999999</v>
      </c>
      <c r="E104" s="116">
        <v>3.4333333333333336</v>
      </c>
      <c r="F104" s="116">
        <v>1.6127511244178365</v>
      </c>
      <c r="G104" s="116">
        <v>79.943950000000001</v>
      </c>
      <c r="H104" s="191">
        <v>1.603275</v>
      </c>
      <c r="I104" s="191">
        <v>1.152525</v>
      </c>
      <c r="J104" s="192">
        <v>111.1</v>
      </c>
      <c r="K104" s="191">
        <f ca="1">AVERAGE(OFFSET(K$4:K$7,4*ROWS(K$4:K7)-4,,4))</f>
        <v>0.56302500000000011</v>
      </c>
      <c r="L104" s="193">
        <v>2919.17</v>
      </c>
    </row>
    <row r="105" spans="1:13" ht="15.75" customHeight="1" x14ac:dyDescent="0.25">
      <c r="B105" s="8">
        <v>2012</v>
      </c>
      <c r="C105" s="147">
        <v>0.5</v>
      </c>
      <c r="D105" s="116">
        <v>2.8654500000000001</v>
      </c>
      <c r="E105" s="116">
        <v>3.375</v>
      </c>
      <c r="F105" s="116">
        <v>1.7476551324629912</v>
      </c>
      <c r="G105" s="116">
        <v>83.008775</v>
      </c>
      <c r="H105" s="191">
        <v>1.5850750000000002</v>
      </c>
      <c r="I105" s="191">
        <v>1.2336499999999999</v>
      </c>
      <c r="J105" s="192">
        <v>112</v>
      </c>
      <c r="K105" s="191">
        <v>0.59699999999999998</v>
      </c>
      <c r="L105" s="193">
        <v>2996.625</v>
      </c>
    </row>
    <row r="106" spans="1:13" ht="15.75" customHeight="1" x14ac:dyDescent="0.25">
      <c r="B106" s="8">
        <v>2013</v>
      </c>
      <c r="C106" s="147">
        <v>0.5</v>
      </c>
      <c r="D106" s="116">
        <v>3.1872250000000002</v>
      </c>
      <c r="E106" s="116">
        <v>3.3266666666666667</v>
      </c>
      <c r="F106" s="116">
        <v>1.5136602141152649</v>
      </c>
      <c r="G106" s="116">
        <v>81.405924999999996</v>
      </c>
      <c r="H106" s="191">
        <v>1.5641499999999999</v>
      </c>
      <c r="I106" s="191">
        <v>1.1776249999999999</v>
      </c>
      <c r="J106" s="192">
        <v>108.9</v>
      </c>
      <c r="K106" s="191">
        <v>0.68100000000000005</v>
      </c>
      <c r="L106" s="193">
        <v>3405.9575000000004</v>
      </c>
    </row>
    <row r="107" spans="1:13" ht="15.75" customHeight="1" x14ac:dyDescent="0.25">
      <c r="B107" s="8">
        <v>2014</v>
      </c>
      <c r="C107" s="147">
        <v>0.5</v>
      </c>
      <c r="D107" s="116">
        <v>3.1020250000000003</v>
      </c>
      <c r="E107" s="116">
        <v>3.2208333333333337</v>
      </c>
      <c r="F107" s="116">
        <v>1.1190038600123464</v>
      </c>
      <c r="G107" s="116">
        <v>86.935399999999987</v>
      </c>
      <c r="H107" s="191">
        <v>1.6480250000000001</v>
      </c>
      <c r="I107" s="191">
        <v>1.240675</v>
      </c>
      <c r="J107" s="192">
        <v>98.9</v>
      </c>
      <c r="K107" s="191">
        <v>0.501</v>
      </c>
      <c r="L107" s="193">
        <v>3552.7325000000001</v>
      </c>
    </row>
    <row r="108" spans="1:13" ht="15.75" customHeight="1" x14ac:dyDescent="0.25">
      <c r="B108" s="8">
        <v>2015</v>
      </c>
      <c r="C108" s="147">
        <v>0.5</v>
      </c>
      <c r="D108" s="116">
        <v>2.4080749999999997</v>
      </c>
      <c r="E108" s="116">
        <v>3.081666666666667</v>
      </c>
      <c r="F108" s="116">
        <v>0.9819606028800929</v>
      </c>
      <c r="G108" s="116">
        <v>91.381349999999998</v>
      </c>
      <c r="H108" s="191">
        <v>1.5285000000000002</v>
      </c>
      <c r="I108" s="191">
        <v>1.3781250000000003</v>
      </c>
      <c r="J108" s="192">
        <v>52.4</v>
      </c>
      <c r="K108" s="191">
        <v>0.42699999999999999</v>
      </c>
      <c r="L108" s="193">
        <v>3503.585</v>
      </c>
    </row>
    <row r="109" spans="1:13" ht="15.75" customHeight="1" x14ac:dyDescent="0.25">
      <c r="B109" s="8">
        <v>2016</v>
      </c>
      <c r="C109" s="147">
        <v>0.39807500000000001</v>
      </c>
      <c r="D109" s="116">
        <v>1.911675</v>
      </c>
      <c r="E109" s="116">
        <v>2.8399999999999985</v>
      </c>
      <c r="F109" s="116">
        <v>0.79001941908168805</v>
      </c>
      <c r="G109" s="116">
        <v>81.953099999999992</v>
      </c>
      <c r="H109" s="191">
        <v>1.3547750000000001</v>
      </c>
      <c r="I109" s="191">
        <v>1.2240249999999999</v>
      </c>
      <c r="J109" s="192">
        <v>44</v>
      </c>
      <c r="K109" s="191">
        <v>0.34699999999999998</v>
      </c>
      <c r="L109" s="193">
        <v>3533.3647175000006</v>
      </c>
    </row>
    <row r="110" spans="1:13" ht="15.75" customHeight="1" x14ac:dyDescent="0.25">
      <c r="B110" s="8">
        <v>2017</v>
      </c>
      <c r="C110" s="147">
        <v>0.28967500000000002</v>
      </c>
      <c r="D110" s="116">
        <v>1.8226</v>
      </c>
      <c r="E110" s="116">
        <v>2.5658333333333276</v>
      </c>
      <c r="F110" s="116">
        <v>0.47750615395604257</v>
      </c>
      <c r="G110" s="116">
        <v>77.306474999999992</v>
      </c>
      <c r="H110" s="191">
        <v>1.2888999999999999</v>
      </c>
      <c r="I110" s="191">
        <v>1.1415249999999999</v>
      </c>
      <c r="J110" s="192">
        <v>54.4</v>
      </c>
      <c r="K110" s="191">
        <v>0.45100000000000001</v>
      </c>
      <c r="L110" s="193">
        <v>4035.9707824999996</v>
      </c>
    </row>
    <row r="111" spans="1:13" ht="15.75" customHeight="1" x14ac:dyDescent="0.25">
      <c r="B111" s="8">
        <v>2018</v>
      </c>
      <c r="C111" s="147">
        <v>0.60255000000000003</v>
      </c>
      <c r="D111" s="116">
        <v>1.8363499999999999</v>
      </c>
      <c r="E111" s="116">
        <v>2.4941666666666649</v>
      </c>
      <c r="F111" s="116">
        <v>0.54098735807089615</v>
      </c>
      <c r="G111" s="116">
        <v>78.422075000000007</v>
      </c>
      <c r="H111" s="191">
        <v>1.335575</v>
      </c>
      <c r="I111" s="191">
        <v>1.1305749999999999</v>
      </c>
      <c r="J111" s="192">
        <v>71.099999999999994</v>
      </c>
      <c r="K111" s="191">
        <v>0.60399999999999998</v>
      </c>
      <c r="L111" s="193">
        <v>4045.8626075000002</v>
      </c>
    </row>
    <row r="112" spans="1:13" ht="15.75" customHeight="1" x14ac:dyDescent="0.25">
      <c r="B112" s="8">
        <v>2019</v>
      </c>
      <c r="C112" s="147">
        <v>0.75</v>
      </c>
      <c r="D112" s="116">
        <v>1.313075</v>
      </c>
      <c r="E112" s="116">
        <v>2.4249999999999949</v>
      </c>
      <c r="F112" s="116">
        <v>0.57342337170054836</v>
      </c>
      <c r="G112" s="116">
        <v>78.069625000000002</v>
      </c>
      <c r="H112" s="191">
        <v>1.2769499999999998</v>
      </c>
      <c r="I112" s="191">
        <v>1.140525</v>
      </c>
      <c r="J112" s="192">
        <v>64</v>
      </c>
      <c r="K112" s="191">
        <v>0.34699999999999998</v>
      </c>
      <c r="L112" s="193">
        <v>3994.2248774999998</v>
      </c>
    </row>
    <row r="113" spans="1:13" ht="15.75" customHeight="1" x14ac:dyDescent="0.25">
      <c r="B113" s="8">
        <v>2020</v>
      </c>
      <c r="C113" s="147">
        <v>0.22792499999999999</v>
      </c>
      <c r="D113" s="116">
        <v>0.73817500000000003</v>
      </c>
      <c r="E113" s="116">
        <v>2.2008333333333301</v>
      </c>
      <c r="F113" s="116">
        <v>0.33646269975484711</v>
      </c>
      <c r="G113" s="116">
        <v>78.001149999999996</v>
      </c>
      <c r="H113" s="191">
        <v>1.2832000000000001</v>
      </c>
      <c r="I113" s="191">
        <v>1.1250749999999998</v>
      </c>
      <c r="J113" s="192">
        <v>42.3</v>
      </c>
      <c r="K113" s="191">
        <v>0.248</v>
      </c>
      <c r="L113" s="193">
        <v>3495.0491775</v>
      </c>
    </row>
    <row r="114" spans="1:13" ht="15.75" customHeight="1" x14ac:dyDescent="0.25">
      <c r="B114" s="8">
        <v>2021</v>
      </c>
      <c r="C114" s="147">
        <v>0.10585000000000001</v>
      </c>
      <c r="D114" s="116">
        <v>1.1460750000000002</v>
      </c>
      <c r="E114" s="116">
        <v>2.0591666666666653</v>
      </c>
      <c r="F114" s="116">
        <v>0.14111881923996311</v>
      </c>
      <c r="G114" s="116">
        <v>81.40979999999999</v>
      </c>
      <c r="H114" s="191">
        <v>1.37595</v>
      </c>
      <c r="I114" s="191">
        <v>1.1632000000000002</v>
      </c>
      <c r="J114" s="192">
        <v>70.400000000000006</v>
      </c>
      <c r="K114" s="191">
        <v>1.159</v>
      </c>
      <c r="L114" s="193">
        <v>3996.5506449999993</v>
      </c>
    </row>
    <row r="115" spans="1:13" ht="15.75" customHeight="1" x14ac:dyDescent="0.25">
      <c r="B115" s="8">
        <v>2022</v>
      </c>
      <c r="C115" s="147">
        <v>1.4593500000000001</v>
      </c>
      <c r="D115" s="116">
        <v>2.6239750000000002</v>
      </c>
      <c r="E115" s="192">
        <v>2.1733333333333276</v>
      </c>
      <c r="F115" s="192">
        <v>0.38333924722797036</v>
      </c>
      <c r="G115" s="192">
        <v>79.691749999999999</v>
      </c>
      <c r="H115" s="191">
        <v>1.236675</v>
      </c>
      <c r="I115" s="191">
        <v>1.1732750000000001</v>
      </c>
      <c r="J115" s="192">
        <v>99.8</v>
      </c>
      <c r="K115" s="191">
        <v>2.1150000000000002</v>
      </c>
      <c r="L115" s="193">
        <v>4068.6290600000007</v>
      </c>
    </row>
    <row r="116" spans="1:13" ht="15.75" customHeight="1" x14ac:dyDescent="0.25">
      <c r="B116" s="8">
        <v>2023</v>
      </c>
      <c r="C116" s="147">
        <v>4.681</v>
      </c>
      <c r="D116" s="116">
        <v>4.2034500000000001</v>
      </c>
      <c r="E116" s="192">
        <v>2.9625000000000004</v>
      </c>
      <c r="F116" s="192">
        <v>1.8215772606300158</v>
      </c>
      <c r="G116" s="192">
        <v>80.509950000000003</v>
      </c>
      <c r="H116" s="191">
        <v>1.2435499999999999</v>
      </c>
      <c r="I116" s="191">
        <v>1.15005</v>
      </c>
      <c r="J116" s="192">
        <v>82.2</v>
      </c>
      <c r="K116" s="191">
        <v>0.99199999999999999</v>
      </c>
      <c r="L116" s="193">
        <v>4152.3004099999998</v>
      </c>
    </row>
    <row r="117" spans="1:13" ht="15.75" customHeight="1" x14ac:dyDescent="0.25">
      <c r="B117" s="8">
        <v>2024</v>
      </c>
      <c r="C117" s="147">
        <v>5.1109999999999998</v>
      </c>
      <c r="D117" s="116">
        <v>4.383775</v>
      </c>
      <c r="E117" s="192">
        <v>3.6549999999999976</v>
      </c>
      <c r="F117" s="192">
        <v>2.5392445232056104</v>
      </c>
      <c r="G117" s="192">
        <v>83.615025000000003</v>
      </c>
      <c r="H117" s="191">
        <v>1.278025</v>
      </c>
      <c r="I117" s="191">
        <v>1.1812999999999998</v>
      </c>
      <c r="J117" s="192">
        <v>80.099999999999994</v>
      </c>
      <c r="K117" s="191">
        <v>0.85</v>
      </c>
      <c r="L117" s="193">
        <v>4410.955535000001</v>
      </c>
    </row>
    <row r="118" spans="1:13" ht="15.75" customHeight="1" x14ac:dyDescent="0.25">
      <c r="A118" s="196"/>
      <c r="B118" s="8">
        <v>2025</v>
      </c>
      <c r="C118" s="147">
        <v>4.2550499999999989</v>
      </c>
      <c r="D118" s="116">
        <v>5.0258500000000002</v>
      </c>
      <c r="E118" s="192">
        <v>3.8816666666666597</v>
      </c>
      <c r="F118" s="192">
        <v>2.2674023548107258</v>
      </c>
      <c r="G118" s="192">
        <v>84.672574999999995</v>
      </c>
      <c r="H118" s="191">
        <v>1.3184</v>
      </c>
      <c r="I118" s="191">
        <v>1.1676249999999999</v>
      </c>
      <c r="J118" s="192">
        <v>68.400000000000006</v>
      </c>
      <c r="K118" s="191">
        <v>0.89200000000000002</v>
      </c>
      <c r="L118" s="193">
        <v>4864.4399174999999</v>
      </c>
      <c r="M118" s="195"/>
    </row>
    <row r="119" spans="1:13" ht="15.75" customHeight="1" x14ac:dyDescent="0.25">
      <c r="B119" s="8">
        <v>2026</v>
      </c>
      <c r="C119" s="147">
        <v>3.7772999999999999</v>
      </c>
      <c r="D119" s="116">
        <v>5.3699500000000002</v>
      </c>
      <c r="E119" s="192">
        <v>4.012738905408832</v>
      </c>
      <c r="F119" s="192">
        <v>2.0637045424854628</v>
      </c>
      <c r="G119" s="192">
        <v>85.258825000000002</v>
      </c>
      <c r="H119" s="191">
        <v>1.3475249999999999</v>
      </c>
      <c r="I119" s="191">
        <v>1.1613500000000001</v>
      </c>
      <c r="J119" s="192">
        <v>85.8</v>
      </c>
      <c r="K119" s="191">
        <v>1.266</v>
      </c>
      <c r="L119" s="193">
        <v>5613.0184074999997</v>
      </c>
      <c r="M119" s="195"/>
    </row>
    <row r="120" spans="1:13" ht="15.75" customHeight="1" x14ac:dyDescent="0.25">
      <c r="B120" s="8">
        <v>2027</v>
      </c>
      <c r="C120" s="147">
        <v>4.2341749999999996</v>
      </c>
      <c r="D120" s="116">
        <v>5.6479249999999999</v>
      </c>
      <c r="E120" s="192">
        <v>4.3636472925464354</v>
      </c>
      <c r="F120" s="192">
        <v>2.40951838339809</v>
      </c>
      <c r="G120" s="192">
        <v>85.741</v>
      </c>
      <c r="H120" s="191">
        <v>1.3525</v>
      </c>
      <c r="I120" s="191">
        <v>1.1692</v>
      </c>
      <c r="J120" s="192">
        <v>78</v>
      </c>
      <c r="K120" s="191">
        <v>1.077</v>
      </c>
      <c r="L120" s="193">
        <v>5795.4566125000001</v>
      </c>
      <c r="M120" s="195"/>
    </row>
    <row r="121" spans="1:13" ht="15.75" customHeight="1" x14ac:dyDescent="0.25">
      <c r="B121" s="8">
        <v>2028</v>
      </c>
      <c r="C121" s="147">
        <v>4.344875</v>
      </c>
      <c r="D121" s="116">
        <v>5.7761749999999994</v>
      </c>
      <c r="E121" s="192">
        <v>4.5303152250684251</v>
      </c>
      <c r="F121" s="192">
        <v>2.5986027387079709</v>
      </c>
      <c r="G121" s="192">
        <v>85.741</v>
      </c>
      <c r="H121" s="191">
        <v>1.3525</v>
      </c>
      <c r="I121" s="191">
        <v>1.1692</v>
      </c>
      <c r="J121" s="192">
        <v>73.599999999999994</v>
      </c>
      <c r="K121" s="191">
        <v>0.76800000000000002</v>
      </c>
      <c r="L121" s="193">
        <v>6004.9286725000002</v>
      </c>
      <c r="M121" s="195"/>
    </row>
    <row r="122" spans="1:13" ht="15.75" customHeight="1" x14ac:dyDescent="0.25">
      <c r="B122" s="8">
        <v>2029</v>
      </c>
      <c r="C122" s="147">
        <v>4.3036250000000003</v>
      </c>
      <c r="D122" s="116">
        <v>5.899775</v>
      </c>
      <c r="E122" s="192">
        <v>4.6066941934018102</v>
      </c>
      <c r="F122" s="192">
        <v>2.6934783525314754</v>
      </c>
      <c r="G122" s="192">
        <v>85.741</v>
      </c>
      <c r="H122" s="191">
        <v>1.3525</v>
      </c>
      <c r="I122" s="191">
        <v>1.1692</v>
      </c>
      <c r="J122" s="192">
        <v>71.7</v>
      </c>
      <c r="K122" s="191">
        <v>0.67600000000000005</v>
      </c>
      <c r="L122" s="193">
        <v>6234.1563225000009</v>
      </c>
      <c r="M122" s="195"/>
    </row>
    <row r="123" spans="1:13" ht="15.75" customHeight="1" x14ac:dyDescent="0.25">
      <c r="B123" s="8">
        <v>2030</v>
      </c>
      <c r="C123" s="147">
        <v>4.3595249999999997</v>
      </c>
      <c r="D123" s="116">
        <v>6.0147250000000003</v>
      </c>
      <c r="E123" s="192">
        <v>4.7332842827119928</v>
      </c>
      <c r="F123" s="192">
        <v>2.8207666699436347</v>
      </c>
      <c r="G123" s="192">
        <v>85.741</v>
      </c>
      <c r="H123" s="191">
        <v>1.3525</v>
      </c>
      <c r="I123" s="191">
        <v>1.1692</v>
      </c>
      <c r="J123" s="192">
        <v>71.400000000000006</v>
      </c>
      <c r="K123" s="191">
        <v>0.69</v>
      </c>
      <c r="L123" s="193">
        <v>6463.9378825000003</v>
      </c>
      <c r="M123" s="195"/>
    </row>
    <row r="124" spans="1:13" ht="15.75" customHeight="1" x14ac:dyDescent="0.25">
      <c r="B124" s="8">
        <v>2031</v>
      </c>
      <c r="C124" s="147">
        <v>4.4821249999999999</v>
      </c>
      <c r="D124" s="116">
        <v>6.11625</v>
      </c>
      <c r="E124" s="192">
        <v>4.8878586168466498</v>
      </c>
      <c r="F124" s="192">
        <v>2.9711519290991291</v>
      </c>
      <c r="G124" s="192">
        <v>85.741</v>
      </c>
      <c r="H124" s="191">
        <v>1.3525</v>
      </c>
      <c r="I124" s="191">
        <v>1.1692</v>
      </c>
      <c r="J124" s="490">
        <v>72.900000000000006</v>
      </c>
      <c r="K124" s="191">
        <v>0.68899999999999995</v>
      </c>
      <c r="L124" s="193">
        <v>6694.4568524999995</v>
      </c>
      <c r="M124" s="195"/>
    </row>
    <row r="125" spans="1:13" ht="15.75" customHeight="1" x14ac:dyDescent="0.25">
      <c r="B125" s="128" t="s">
        <v>136</v>
      </c>
      <c r="C125" s="330">
        <v>3.6166</v>
      </c>
      <c r="D125" s="395">
        <v>4.5979499999999991</v>
      </c>
      <c r="E125" s="396">
        <v>5.2574999999999994</v>
      </c>
      <c r="F125" s="396">
        <v>3.0885952509680425</v>
      </c>
      <c r="G125" s="396">
        <v>86.641824999999997</v>
      </c>
      <c r="H125" s="397">
        <v>1.7181500000000001</v>
      </c>
      <c r="I125" s="397">
        <v>1.2042000000000002</v>
      </c>
      <c r="J125" s="395">
        <v>84.6</v>
      </c>
      <c r="K125" s="397">
        <f ca="1">AVERAGE(OFFSET(K$5:K$8,4*ROWS(K$5:K5)-4,,4))</f>
        <v>0.60005234401468099</v>
      </c>
      <c r="L125" s="398">
        <v>2383.21245</v>
      </c>
      <c r="M125" s="195"/>
    </row>
    <row r="126" spans="1:13" ht="15.75" customHeight="1" x14ac:dyDescent="0.25">
      <c r="B126" s="8" t="s">
        <v>137</v>
      </c>
      <c r="C126" s="147">
        <v>0.5</v>
      </c>
      <c r="D126" s="192">
        <v>4.3302249999999995</v>
      </c>
      <c r="E126" s="116">
        <v>3.6041666666666665</v>
      </c>
      <c r="F126" s="116">
        <v>1.425686076712025</v>
      </c>
      <c r="G126" s="116">
        <v>81.064025000000001</v>
      </c>
      <c r="H126" s="191">
        <v>1.5966500000000001</v>
      </c>
      <c r="I126" s="191">
        <v>1.129775</v>
      </c>
      <c r="J126" s="192">
        <v>69.8</v>
      </c>
      <c r="K126" s="191">
        <f ca="1">AVERAGE(OFFSET(K$5:K$8,4*ROWS(K$5:K6)-4,,4))</f>
        <v>0.28660173960097873</v>
      </c>
      <c r="L126" s="193">
        <v>2619.4750250000002</v>
      </c>
      <c r="M126" s="195"/>
    </row>
    <row r="127" spans="1:13" ht="15.75" customHeight="1" x14ac:dyDescent="0.25">
      <c r="B127" s="47" t="s">
        <v>138</v>
      </c>
      <c r="C127" s="147">
        <v>0.5</v>
      </c>
      <c r="D127" s="116">
        <v>4.2088749999999999</v>
      </c>
      <c r="E127" s="192">
        <v>3.5583333333333331</v>
      </c>
      <c r="F127" s="192">
        <v>1.4722674944667362</v>
      </c>
      <c r="G127" s="116">
        <v>80.694400000000002</v>
      </c>
      <c r="H127" s="191">
        <v>1.5566</v>
      </c>
      <c r="I127" s="194">
        <v>1.1772750000000001</v>
      </c>
      <c r="J127" s="192">
        <v>86.7</v>
      </c>
      <c r="K127" s="191">
        <f ca="1">AVERAGE(OFFSET(K$5:K$8,4*ROWS(K$5:K7)-4,,4))</f>
        <v>0.47648333333333337</v>
      </c>
      <c r="L127" s="156">
        <v>2885.4250000000002</v>
      </c>
    </row>
    <row r="128" spans="1:13" ht="15.75" customHeight="1" x14ac:dyDescent="0.25">
      <c r="B128" s="47" t="s">
        <v>139</v>
      </c>
      <c r="C128" s="147">
        <v>0.5</v>
      </c>
      <c r="D128" s="116">
        <v>3.5166249999999994</v>
      </c>
      <c r="E128" s="192">
        <v>3.4008333333333334</v>
      </c>
      <c r="F128" s="192">
        <v>1.6593954302841789</v>
      </c>
      <c r="G128" s="116">
        <v>80.032375000000002</v>
      </c>
      <c r="H128" s="191">
        <v>1.5952500000000001</v>
      </c>
      <c r="I128" s="194">
        <v>1.1594</v>
      </c>
      <c r="J128" s="192">
        <v>114.5</v>
      </c>
      <c r="K128" s="191">
        <f ca="1">AVERAGE(OFFSET(K$5:K$8,4*ROWS(K$5:K8)-4,,4))</f>
        <v>0.56976666666666664</v>
      </c>
      <c r="L128" s="156">
        <v>2902.94</v>
      </c>
    </row>
    <row r="129" spans="2:13" ht="15.75" customHeight="1" x14ac:dyDescent="0.25">
      <c r="B129" s="47" t="s">
        <v>140</v>
      </c>
      <c r="C129" s="147">
        <v>0.5</v>
      </c>
      <c r="D129" s="116">
        <v>2.8570500000000001</v>
      </c>
      <c r="E129" s="192">
        <v>3.375</v>
      </c>
      <c r="F129" s="192">
        <v>1.7426339996297597</v>
      </c>
      <c r="G129" s="116">
        <v>82.796275000000009</v>
      </c>
      <c r="H129" s="191">
        <v>1.580225</v>
      </c>
      <c r="I129" s="194">
        <v>1.2278</v>
      </c>
      <c r="J129" s="192">
        <v>110.5</v>
      </c>
      <c r="K129" s="191">
        <v>0.63400000000000001</v>
      </c>
      <c r="L129" s="156">
        <v>3066.0899999999997</v>
      </c>
    </row>
    <row r="130" spans="2:13" ht="15.75" customHeight="1" x14ac:dyDescent="0.25">
      <c r="B130" s="47" t="s">
        <v>141</v>
      </c>
      <c r="C130" s="147">
        <v>0.5</v>
      </c>
      <c r="D130" s="116">
        <v>3.2765</v>
      </c>
      <c r="E130" s="116">
        <v>3.2975000000000003</v>
      </c>
      <c r="F130" s="116">
        <v>1.3948988995478979</v>
      </c>
      <c r="G130" s="116">
        <v>82.715774999999994</v>
      </c>
      <c r="H130" s="191">
        <v>1.58995</v>
      </c>
      <c r="I130" s="194">
        <v>1.1858249999999999</v>
      </c>
      <c r="J130" s="192">
        <v>107.6</v>
      </c>
      <c r="K130" s="191">
        <v>0.64600000000000002</v>
      </c>
      <c r="L130" s="156">
        <v>3474.6949999999997</v>
      </c>
    </row>
    <row r="131" spans="2:13" ht="15.75" customHeight="1" x14ac:dyDescent="0.25">
      <c r="B131" s="47" t="s">
        <v>142</v>
      </c>
      <c r="C131" s="147">
        <v>0.5</v>
      </c>
      <c r="D131" s="116">
        <v>2.8106249999999999</v>
      </c>
      <c r="E131" s="116">
        <v>3.1966666666666672</v>
      </c>
      <c r="F131" s="116">
        <v>1.0659645046487034</v>
      </c>
      <c r="G131" s="116">
        <v>87.889525000000006</v>
      </c>
      <c r="H131" s="191">
        <v>1.6127250000000002</v>
      </c>
      <c r="I131" s="194">
        <v>1.2752750000000002</v>
      </c>
      <c r="J131" s="192">
        <v>85.5</v>
      </c>
      <c r="K131" s="191">
        <v>0.47</v>
      </c>
      <c r="L131" s="156">
        <v>3579.73</v>
      </c>
    </row>
    <row r="132" spans="2:13" ht="15.75" customHeight="1" x14ac:dyDescent="0.25">
      <c r="B132" s="47" t="s">
        <v>143</v>
      </c>
      <c r="C132" s="147">
        <v>0.5</v>
      </c>
      <c r="D132" s="116">
        <v>2.4206500000000002</v>
      </c>
      <c r="E132" s="116">
        <v>3.0308333333333328</v>
      </c>
      <c r="F132" s="116">
        <v>0.95504008575521093</v>
      </c>
      <c r="G132" s="116">
        <v>90.774874999999994</v>
      </c>
      <c r="H132" s="191">
        <v>1.5076999999999998</v>
      </c>
      <c r="I132" s="194">
        <v>1.3660749999999999</v>
      </c>
      <c r="J132" s="192">
        <v>47.5</v>
      </c>
      <c r="K132" s="191">
        <v>0.38300000000000001</v>
      </c>
      <c r="L132" s="156">
        <v>3410.4872300000002</v>
      </c>
    </row>
    <row r="133" spans="2:13" ht="15.75" customHeight="1" x14ac:dyDescent="0.25">
      <c r="B133" s="47" t="s">
        <v>144</v>
      </c>
      <c r="C133" s="147">
        <v>0.33557500000000001</v>
      </c>
      <c r="D133" s="116">
        <v>1.820325</v>
      </c>
      <c r="E133" s="116">
        <v>2.7591666666666637</v>
      </c>
      <c r="F133" s="116">
        <v>0.68833245364189444</v>
      </c>
      <c r="G133" s="116">
        <v>79.474774999999994</v>
      </c>
      <c r="H133" s="191">
        <v>1.3069250000000001</v>
      </c>
      <c r="I133" s="194">
        <v>1.190175</v>
      </c>
      <c r="J133" s="192">
        <v>49</v>
      </c>
      <c r="K133" s="191">
        <v>0.39200000000000002</v>
      </c>
      <c r="L133" s="156">
        <v>3698.4221375000006</v>
      </c>
    </row>
    <row r="134" spans="2:13" ht="15.75" customHeight="1" x14ac:dyDescent="0.25">
      <c r="B134" s="47" t="s">
        <v>145</v>
      </c>
      <c r="C134" s="147">
        <v>0.35217500000000002</v>
      </c>
      <c r="D134" s="116">
        <v>1.8175000000000001</v>
      </c>
      <c r="E134" s="116">
        <v>2.5391666666666626</v>
      </c>
      <c r="F134" s="116">
        <v>0.4856710780602837</v>
      </c>
      <c r="G134" s="116">
        <v>77.799849999999992</v>
      </c>
      <c r="H134" s="191">
        <v>1.3270499999999998</v>
      </c>
      <c r="I134" s="194">
        <v>1.13395</v>
      </c>
      <c r="J134" s="192">
        <v>57.6</v>
      </c>
      <c r="K134" s="191">
        <v>0.47399999999999998</v>
      </c>
      <c r="L134" s="156">
        <v>4059.3482275000001</v>
      </c>
    </row>
    <row r="135" spans="2:13" ht="15.75" customHeight="1" x14ac:dyDescent="0.25">
      <c r="B135" s="47" t="s">
        <v>146</v>
      </c>
      <c r="C135" s="147">
        <v>0.66505000000000003</v>
      </c>
      <c r="D135" s="116">
        <v>1.7802249999999999</v>
      </c>
      <c r="E135" s="116">
        <v>2.4799999999999973</v>
      </c>
      <c r="F135" s="116">
        <v>0.55181826042794535</v>
      </c>
      <c r="G135" s="116">
        <v>78.353825000000001</v>
      </c>
      <c r="H135" s="191">
        <v>1.31325</v>
      </c>
      <c r="I135" s="194">
        <v>1.1342749999999999</v>
      </c>
      <c r="J135" s="192">
        <v>70.2</v>
      </c>
      <c r="K135" s="191">
        <v>0.57899999999999996</v>
      </c>
      <c r="L135" s="156">
        <v>4003.8596474999999</v>
      </c>
    </row>
    <row r="136" spans="2:13" ht="15.75" customHeight="1" x14ac:dyDescent="0.25">
      <c r="B136" s="47" t="s">
        <v>147</v>
      </c>
      <c r="C136" s="147">
        <v>0.71542499999999998</v>
      </c>
      <c r="D136" s="116">
        <v>1.1260999999999999</v>
      </c>
      <c r="E136" s="116">
        <v>2.3983333333333277</v>
      </c>
      <c r="F136" s="116">
        <v>0.56493901987968387</v>
      </c>
      <c r="G136" s="116">
        <v>78.19135</v>
      </c>
      <c r="H136" s="191">
        <v>1.2711000000000001</v>
      </c>
      <c r="I136" s="194">
        <v>1.1439750000000002</v>
      </c>
      <c r="J136" s="192">
        <v>60.8</v>
      </c>
      <c r="K136" s="191">
        <v>0.28899999999999998</v>
      </c>
      <c r="L136" s="156">
        <v>3978.5611774999998</v>
      </c>
    </row>
    <row r="137" spans="2:13" ht="15.75" customHeight="1" x14ac:dyDescent="0.25">
      <c r="B137" s="47" t="s">
        <v>148</v>
      </c>
      <c r="C137" s="147">
        <v>0.1</v>
      </c>
      <c r="D137" s="116">
        <v>0.77589999999999992</v>
      </c>
      <c r="E137" s="116">
        <v>2.134166666666665</v>
      </c>
      <c r="F137" s="116">
        <v>0.24336606412992895</v>
      </c>
      <c r="G137" s="116">
        <v>78.307424999999995</v>
      </c>
      <c r="H137" s="191">
        <v>1.3081750000000001</v>
      </c>
      <c r="I137" s="194">
        <v>1.121075</v>
      </c>
      <c r="J137" s="192">
        <v>44.8</v>
      </c>
      <c r="K137" s="191">
        <v>0.311</v>
      </c>
      <c r="L137" s="156">
        <v>3488.5681875</v>
      </c>
    </row>
    <row r="138" spans="2:13" ht="15.75" customHeight="1" x14ac:dyDescent="0.25">
      <c r="B138" s="47" t="s">
        <v>149</v>
      </c>
      <c r="C138" s="147">
        <v>0.19492500000000001</v>
      </c>
      <c r="D138" s="116">
        <v>1.26915</v>
      </c>
      <c r="E138" s="116">
        <v>2.0433333333333299</v>
      </c>
      <c r="F138" s="116">
        <v>0.13415598516156396</v>
      </c>
      <c r="G138" s="116">
        <v>81.884249999999994</v>
      </c>
      <c r="H138" s="191">
        <v>1.3664750000000001</v>
      </c>
      <c r="I138" s="194">
        <v>1.1758</v>
      </c>
      <c r="J138" s="192">
        <v>80</v>
      </c>
      <c r="K138" s="191">
        <v>1.6220000000000001</v>
      </c>
      <c r="L138" s="156">
        <v>4092.7482199999999</v>
      </c>
    </row>
    <row r="139" spans="2:13" ht="15.75" customHeight="1" x14ac:dyDescent="0.25">
      <c r="B139" s="47" t="s">
        <v>150</v>
      </c>
      <c r="C139" s="147">
        <v>2.3091499999999998</v>
      </c>
      <c r="D139" s="116">
        <v>3.176825</v>
      </c>
      <c r="E139" s="116">
        <v>2.3291666666666622</v>
      </c>
      <c r="F139" s="116">
        <v>0.64716959055274303</v>
      </c>
      <c r="G139" s="116">
        <v>78.648425000000003</v>
      </c>
      <c r="H139" s="191">
        <v>1.2051750000000001</v>
      </c>
      <c r="I139" s="194">
        <v>1.1575500000000001</v>
      </c>
      <c r="J139" s="192">
        <v>95.4</v>
      </c>
      <c r="K139" s="191">
        <v>1.857</v>
      </c>
      <c r="L139" s="156">
        <v>4086.6584775000001</v>
      </c>
    </row>
    <row r="140" spans="2:13" ht="15.75" customHeight="1" x14ac:dyDescent="0.25">
      <c r="B140" s="47" t="s">
        <v>151</v>
      </c>
      <c r="C140" s="147">
        <v>5.0296249999999993</v>
      </c>
      <c r="D140" s="116">
        <v>4.3295499999999993</v>
      </c>
      <c r="E140" s="116">
        <v>3.1683333333333321</v>
      </c>
      <c r="F140" s="116">
        <v>2.1477471221802995</v>
      </c>
      <c r="G140" s="116">
        <v>81.609774999999999</v>
      </c>
      <c r="H140" s="191">
        <v>1.25675</v>
      </c>
      <c r="I140" s="194">
        <v>1.1589749999999999</v>
      </c>
      <c r="J140" s="192">
        <v>82.4</v>
      </c>
      <c r="K140" s="191">
        <v>0.83399999999999996</v>
      </c>
      <c r="L140" s="156">
        <v>4138.1848774999999</v>
      </c>
    </row>
    <row r="141" spans="2:13" ht="15.75" customHeight="1" x14ac:dyDescent="0.25">
      <c r="B141" s="47" t="s">
        <v>152</v>
      </c>
      <c r="C141" s="147">
        <v>4.9482999999999997</v>
      </c>
      <c r="D141" s="116">
        <v>4.5478499999999995</v>
      </c>
      <c r="E141" s="116">
        <v>3.7483333333333304</v>
      </c>
      <c r="F141" s="116">
        <v>2.5202017987000742</v>
      </c>
      <c r="G141" s="116">
        <v>83.986850000000004</v>
      </c>
      <c r="H141" s="191">
        <v>1.2759750000000001</v>
      </c>
      <c r="I141" s="194">
        <v>1.188375</v>
      </c>
      <c r="J141" s="192">
        <v>78.3</v>
      </c>
      <c r="K141" s="191">
        <v>0.97099999999999997</v>
      </c>
      <c r="L141" s="159">
        <v>4527.7754349999996</v>
      </c>
    </row>
    <row r="142" spans="2:13" ht="15.75" customHeight="1" x14ac:dyDescent="0.25">
      <c r="B142" s="47" t="s">
        <v>153</v>
      </c>
      <c r="C142" s="147">
        <v>4.0427499999999998</v>
      </c>
      <c r="D142" s="116">
        <v>5.0601500000000001</v>
      </c>
      <c r="E142" s="116">
        <v>3.9024999999999945</v>
      </c>
      <c r="F142" s="116">
        <v>2.1754895723034817</v>
      </c>
      <c r="G142" s="116">
        <v>84.853149999999999</v>
      </c>
      <c r="H142" s="191">
        <v>1.340325</v>
      </c>
      <c r="I142" s="194">
        <v>1.156425</v>
      </c>
      <c r="J142" s="192">
        <v>68.900000000000006</v>
      </c>
      <c r="K142" s="191">
        <v>0.85199999999999998</v>
      </c>
      <c r="L142" s="159">
        <v>5085.0520049999996</v>
      </c>
      <c r="M142" s="205"/>
    </row>
    <row r="143" spans="2:13" ht="15.75" customHeight="1" x14ac:dyDescent="0.25">
      <c r="B143" s="47" t="s">
        <v>154</v>
      </c>
      <c r="C143" s="147">
        <v>3.8561749999999999</v>
      </c>
      <c r="D143" s="116">
        <v>5.5044750000000002</v>
      </c>
      <c r="E143" s="116">
        <v>4.0913821262105667</v>
      </c>
      <c r="F143" s="116">
        <v>2.1173782467513895</v>
      </c>
      <c r="G143" s="116">
        <v>85.497699999999995</v>
      </c>
      <c r="H143" s="191">
        <v>1.3487750000000001</v>
      </c>
      <c r="I143" s="194">
        <v>1.1657250000000001</v>
      </c>
      <c r="J143" s="192">
        <v>86.9</v>
      </c>
      <c r="K143" s="191">
        <v>1.379</v>
      </c>
      <c r="L143" s="159">
        <v>5659.9766325000001</v>
      </c>
      <c r="M143" s="204"/>
    </row>
    <row r="144" spans="2:13" ht="15.75" customHeight="1" x14ac:dyDescent="0.25">
      <c r="B144" s="47" t="s">
        <v>155</v>
      </c>
      <c r="C144" s="147">
        <v>4.3096749999999995</v>
      </c>
      <c r="D144" s="116">
        <v>5.6803499999999998</v>
      </c>
      <c r="E144" s="116">
        <v>4.4317370427458087</v>
      </c>
      <c r="F144" s="116">
        <v>2.4817985717448208</v>
      </c>
      <c r="G144" s="116">
        <v>85.741</v>
      </c>
      <c r="H144" s="191">
        <v>1.3525</v>
      </c>
      <c r="I144" s="194">
        <v>1.1692</v>
      </c>
      <c r="J144" s="192">
        <v>76.400000000000006</v>
      </c>
      <c r="K144" s="191">
        <v>0.94599999999999995</v>
      </c>
      <c r="L144" s="159">
        <v>5843.7633800000003</v>
      </c>
    </row>
    <row r="145" spans="2:12" ht="15.75" customHeight="1" x14ac:dyDescent="0.25">
      <c r="B145" s="47" t="s">
        <v>156</v>
      </c>
      <c r="C145" s="147">
        <v>4.3294250000000005</v>
      </c>
      <c r="D145" s="116">
        <v>5.8076249999999998</v>
      </c>
      <c r="E145" s="116">
        <v>4.5435355159893298</v>
      </c>
      <c r="F145" s="116">
        <v>2.6216152196552529</v>
      </c>
      <c r="G145" s="116">
        <v>85.741</v>
      </c>
      <c r="H145" s="191">
        <v>1.3525</v>
      </c>
      <c r="I145" s="194">
        <v>1.1692</v>
      </c>
      <c r="J145" s="192">
        <v>73</v>
      </c>
      <c r="K145" s="191">
        <v>0.72799999999999998</v>
      </c>
      <c r="L145" s="159">
        <v>6062.3075724999999</v>
      </c>
    </row>
    <row r="146" spans="2:12" ht="15.75" customHeight="1" x14ac:dyDescent="0.25">
      <c r="B146" s="47" t="s">
        <v>157</v>
      </c>
      <c r="C146" s="147">
        <v>4.3082500000000001</v>
      </c>
      <c r="D146" s="116">
        <v>5.9295249999999999</v>
      </c>
      <c r="E146" s="116">
        <v>4.6329870574783527</v>
      </c>
      <c r="F146" s="116">
        <v>2.72187444056964</v>
      </c>
      <c r="G146" s="116">
        <v>85.741</v>
      </c>
      <c r="H146" s="191">
        <v>1.3525</v>
      </c>
      <c r="I146" s="194">
        <v>1.1692</v>
      </c>
      <c r="J146" s="192">
        <v>71.3</v>
      </c>
      <c r="K146" s="191">
        <v>0.66400000000000003</v>
      </c>
      <c r="L146" s="159">
        <v>6291.1039250000003</v>
      </c>
    </row>
    <row r="147" spans="2:12" ht="15.75" customHeight="1" x14ac:dyDescent="0.25">
      <c r="B147" s="47" t="s">
        <v>158</v>
      </c>
      <c r="C147" s="147">
        <v>4.3859499999999993</v>
      </c>
      <c r="D147" s="116">
        <v>6.04155</v>
      </c>
      <c r="E147" s="116">
        <v>4.7741869388043296</v>
      </c>
      <c r="F147" s="116">
        <v>2.8570388578278751</v>
      </c>
      <c r="G147" s="116">
        <v>85.741</v>
      </c>
      <c r="H147" s="191">
        <v>1.3525</v>
      </c>
      <c r="I147" s="194">
        <v>1.1692</v>
      </c>
      <c r="J147" s="192">
        <v>71.8</v>
      </c>
      <c r="K147" s="191">
        <v>0.67900000000000005</v>
      </c>
      <c r="L147" s="159">
        <v>6521.9909875000003</v>
      </c>
    </row>
    <row r="148" spans="2:12" ht="15.75" customHeight="1" thickBot="1" x14ac:dyDescent="0.3">
      <c r="B148" s="47" t="s">
        <v>649</v>
      </c>
      <c r="C148" s="147">
        <v>4.5187499999999998</v>
      </c>
      <c r="D148" s="116">
        <v>6.1390250000000002</v>
      </c>
      <c r="E148" s="116">
        <v>4.9205440924722676</v>
      </c>
      <c r="F148" s="116">
        <v>3.010577799741653</v>
      </c>
      <c r="G148" s="116">
        <v>85.741</v>
      </c>
      <c r="H148" s="191">
        <v>1.3525</v>
      </c>
      <c r="I148" s="194">
        <v>1.1692</v>
      </c>
      <c r="J148" s="491">
        <v>73.3</v>
      </c>
      <c r="K148" s="191">
        <v>0.69299999999999995</v>
      </c>
      <c r="L148" s="159">
        <v>6750.7317925000007</v>
      </c>
    </row>
    <row r="149" spans="2:12" x14ac:dyDescent="0.25">
      <c r="B149" s="593" t="s">
        <v>159</v>
      </c>
      <c r="C149" s="594"/>
      <c r="D149" s="594"/>
      <c r="E149" s="594"/>
      <c r="F149" s="594"/>
      <c r="G149" s="594"/>
      <c r="H149" s="594"/>
      <c r="I149" s="594"/>
      <c r="J149" s="594"/>
      <c r="K149" s="594"/>
      <c r="L149" s="595"/>
    </row>
    <row r="150" spans="2:12" x14ac:dyDescent="0.25">
      <c r="B150" s="355" t="s">
        <v>320</v>
      </c>
      <c r="C150" s="399"/>
      <c r="D150" s="399"/>
      <c r="E150" s="399"/>
      <c r="F150" s="399"/>
      <c r="G150" s="399"/>
      <c r="H150" s="399"/>
      <c r="I150" s="399"/>
      <c r="J150" s="399"/>
      <c r="K150" s="399"/>
      <c r="L150" s="356"/>
    </row>
    <row r="151" spans="2:12" ht="15.6" customHeight="1" x14ac:dyDescent="0.25">
      <c r="B151" s="596" t="s">
        <v>321</v>
      </c>
      <c r="C151" s="597"/>
      <c r="D151" s="597"/>
      <c r="E151" s="597"/>
      <c r="F151" s="597"/>
      <c r="G151" s="597"/>
      <c r="H151" s="597"/>
      <c r="I151" s="597"/>
      <c r="J151" s="597"/>
      <c r="K151" s="597"/>
      <c r="L151" s="598"/>
    </row>
    <row r="152" spans="2:12" ht="15.6" customHeight="1" x14ac:dyDescent="0.25">
      <c r="B152" s="596" t="s">
        <v>322</v>
      </c>
      <c r="C152" s="597"/>
      <c r="D152" s="597"/>
      <c r="E152" s="597"/>
      <c r="F152" s="597"/>
      <c r="G152" s="597"/>
      <c r="H152" s="597"/>
      <c r="I152" s="597"/>
      <c r="J152" s="597"/>
      <c r="K152" s="597"/>
      <c r="L152" s="598"/>
    </row>
    <row r="153" spans="2:12" ht="15.75" customHeight="1" x14ac:dyDescent="0.25">
      <c r="B153" s="596" t="s">
        <v>323</v>
      </c>
      <c r="C153" s="597"/>
      <c r="D153" s="597"/>
      <c r="E153" s="597"/>
      <c r="F153" s="597"/>
      <c r="G153" s="597"/>
      <c r="H153" s="597"/>
      <c r="I153" s="597"/>
      <c r="J153" s="597"/>
      <c r="K153" s="597"/>
      <c r="L153" s="598"/>
    </row>
    <row r="154" spans="2:12" ht="15.6" customHeight="1" x14ac:dyDescent="0.25">
      <c r="B154" s="596" t="s">
        <v>324</v>
      </c>
      <c r="C154" s="597"/>
      <c r="D154" s="597"/>
      <c r="E154" s="597"/>
      <c r="F154" s="597"/>
      <c r="G154" s="597"/>
      <c r="H154" s="597"/>
      <c r="I154" s="597"/>
      <c r="J154" s="597"/>
      <c r="K154" s="597"/>
      <c r="L154" s="598"/>
    </row>
    <row r="155" spans="2:12" ht="15.75" customHeight="1" x14ac:dyDescent="0.25">
      <c r="B155" s="596" t="s">
        <v>325</v>
      </c>
      <c r="C155" s="597"/>
      <c r="D155" s="597"/>
      <c r="E155" s="597"/>
      <c r="F155" s="597"/>
      <c r="G155" s="597"/>
      <c r="H155" s="597"/>
      <c r="I155" s="597"/>
      <c r="J155" s="597"/>
      <c r="K155" s="597"/>
      <c r="L155" s="598"/>
    </row>
    <row r="156" spans="2:12" ht="15.6" customHeight="1" x14ac:dyDescent="0.25">
      <c r="B156" s="596" t="s">
        <v>326</v>
      </c>
      <c r="C156" s="597"/>
      <c r="D156" s="597"/>
      <c r="E156" s="597"/>
      <c r="F156" s="597"/>
      <c r="G156" s="597"/>
      <c r="H156" s="597"/>
      <c r="I156" s="597"/>
      <c r="J156" s="597"/>
      <c r="K156" s="597"/>
      <c r="L156" s="598"/>
    </row>
    <row r="157" spans="2:12" ht="15.6" customHeight="1" x14ac:dyDescent="0.25">
      <c r="B157" s="596" t="s">
        <v>327</v>
      </c>
      <c r="C157" s="597"/>
      <c r="D157" s="597"/>
      <c r="E157" s="597"/>
      <c r="F157" s="597"/>
      <c r="G157" s="597"/>
      <c r="H157" s="597"/>
      <c r="I157" s="597"/>
      <c r="J157" s="597"/>
      <c r="K157" s="597"/>
      <c r="L157" s="598"/>
    </row>
    <row r="158" spans="2:12" ht="15.6" customHeight="1" thickBot="1" x14ac:dyDescent="0.3">
      <c r="B158" s="599" t="s">
        <v>328</v>
      </c>
      <c r="C158" s="600"/>
      <c r="D158" s="600"/>
      <c r="E158" s="600"/>
      <c r="F158" s="600"/>
      <c r="G158" s="600"/>
      <c r="H158" s="600"/>
      <c r="I158" s="600"/>
      <c r="J158" s="600"/>
      <c r="K158" s="600"/>
      <c r="L158" s="601"/>
    </row>
    <row r="159" spans="2:12" x14ac:dyDescent="0.25">
      <c r="K159" s="204"/>
      <c r="L159" s="204"/>
    </row>
    <row r="160" spans="2:12" x14ac:dyDescent="0.25">
      <c r="B160" s="602"/>
      <c r="C160" s="602"/>
      <c r="D160" s="602"/>
      <c r="E160" s="602"/>
      <c r="F160" s="602"/>
      <c r="G160" s="602"/>
      <c r="H160" s="602"/>
      <c r="I160" s="603"/>
      <c r="J160" s="603"/>
    </row>
  </sheetData>
  <mergeCells count="11">
    <mergeCell ref="B156:L156"/>
    <mergeCell ref="B157:L157"/>
    <mergeCell ref="B158:L158"/>
    <mergeCell ref="B160:J160"/>
    <mergeCell ref="B155:L155"/>
    <mergeCell ref="B2:L2"/>
    <mergeCell ref="B149:L149"/>
    <mergeCell ref="B152:L152"/>
    <mergeCell ref="B153:L153"/>
    <mergeCell ref="B154:L154"/>
    <mergeCell ref="B151:L151"/>
  </mergeCells>
  <phoneticPr fontId="91" type="noConversion"/>
  <hyperlinks>
    <hyperlink ref="A1" location="Contents!A1" display="Back to contents" xr:uid="{E5150E30-5207-4047-9E13-8F2C052AD1C9}"/>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5A817-2A88-4B0E-99F9-DAA254D9ECC9}">
  <sheetPr codeName="Sheet11">
    <tabColor theme="5"/>
    <pageSetUpPr fitToPage="1"/>
  </sheetPr>
  <dimension ref="A1:T156"/>
  <sheetViews>
    <sheetView zoomScaleNormal="100" zoomScaleSheetLayoutView="100" workbookViewId="0"/>
  </sheetViews>
  <sheetFormatPr defaultColWidth="8.77734375" defaultRowHeight="15.75" x14ac:dyDescent="0.25"/>
  <cols>
    <col min="1" max="1" width="9.21875" style="2" customWidth="1"/>
    <col min="2" max="2" width="7.21875" style="2" customWidth="1"/>
    <col min="3" max="12" width="11.21875" style="2" customWidth="1"/>
    <col min="13" max="13" width="14.21875" style="2" customWidth="1"/>
    <col min="14" max="16" width="8.77734375" style="2"/>
    <col min="17" max="17" width="13.21875" style="2" customWidth="1"/>
    <col min="18" max="18" width="7.77734375" style="2" customWidth="1"/>
    <col min="19" max="16384" width="8.77734375" style="2"/>
  </cols>
  <sheetData>
    <row r="1" spans="1:20" ht="35.1" customHeight="1" thickBot="1" x14ac:dyDescent="0.3">
      <c r="A1" s="9" t="s">
        <v>22</v>
      </c>
      <c r="B1" s="5"/>
      <c r="C1" s="478"/>
      <c r="D1" s="7"/>
      <c r="E1" s="7"/>
      <c r="F1" s="7"/>
      <c r="G1" s="7"/>
      <c r="H1" s="7"/>
      <c r="I1" s="7"/>
      <c r="J1" s="7"/>
      <c r="K1" s="7"/>
      <c r="L1" s="7"/>
      <c r="M1" s="7"/>
      <c r="N1" s="7"/>
      <c r="O1" s="7"/>
      <c r="P1" s="7"/>
    </row>
    <row r="2" spans="1:20" ht="19.5" thickBot="1" x14ac:dyDescent="0.35">
      <c r="A2" s="7"/>
      <c r="B2" s="606" t="s">
        <v>329</v>
      </c>
      <c r="C2" s="607"/>
      <c r="D2" s="607"/>
      <c r="E2" s="607"/>
      <c r="F2" s="607"/>
      <c r="G2" s="607"/>
      <c r="H2" s="607"/>
      <c r="I2" s="607"/>
      <c r="J2" s="607"/>
      <c r="K2" s="607"/>
      <c r="L2" s="608"/>
      <c r="M2" s="143"/>
      <c r="N2" s="7"/>
      <c r="O2" s="7"/>
      <c r="P2" s="7"/>
    </row>
    <row r="3" spans="1:20" ht="18.75" x14ac:dyDescent="0.3">
      <c r="A3" s="7"/>
      <c r="B3" s="219"/>
      <c r="C3" s="609" t="s">
        <v>330</v>
      </c>
      <c r="D3" s="610"/>
      <c r="E3" s="610"/>
      <c r="F3" s="610"/>
      <c r="G3" s="220"/>
      <c r="H3" s="609" t="s">
        <v>331</v>
      </c>
      <c r="I3" s="610"/>
      <c r="J3" s="610"/>
      <c r="K3" s="610"/>
      <c r="L3" s="611"/>
      <c r="M3" s="143"/>
      <c r="N3" s="7"/>
      <c r="O3" s="7"/>
      <c r="P3" s="7"/>
    </row>
    <row r="4" spans="1:20" s="146" customFormat="1" ht="34.5" customHeight="1" x14ac:dyDescent="0.25">
      <c r="A4" s="144"/>
      <c r="B4" s="221"/>
      <c r="C4" s="68" t="s">
        <v>332</v>
      </c>
      <c r="D4" s="68" t="s">
        <v>333</v>
      </c>
      <c r="E4" s="68" t="s">
        <v>334</v>
      </c>
      <c r="F4" s="68" t="s">
        <v>335</v>
      </c>
      <c r="G4" s="222" t="s">
        <v>336</v>
      </c>
      <c r="H4" s="223" t="s">
        <v>332</v>
      </c>
      <c r="I4" s="223" t="s">
        <v>333</v>
      </c>
      <c r="J4" s="223" t="s">
        <v>334</v>
      </c>
      <c r="K4" s="223" t="s">
        <v>335</v>
      </c>
      <c r="L4" s="224" t="s">
        <v>336</v>
      </c>
      <c r="M4" s="145"/>
      <c r="N4" s="145"/>
      <c r="O4" s="144"/>
      <c r="P4" s="144"/>
    </row>
    <row r="5" spans="1:20" x14ac:dyDescent="0.25">
      <c r="A5" s="7"/>
      <c r="B5" s="126" t="s">
        <v>43</v>
      </c>
      <c r="C5" s="116">
        <v>0.68998989282390499</v>
      </c>
      <c r="D5" s="116">
        <v>-0.58416475697745418</v>
      </c>
      <c r="E5" s="116">
        <v>-3.5920503557525842</v>
      </c>
      <c r="F5" s="147">
        <v>3.4862252199061334</v>
      </c>
      <c r="G5" s="225">
        <f>0-SUM(C5:F5)</f>
        <v>0</v>
      </c>
      <c r="H5" s="116">
        <v>2.758</v>
      </c>
      <c r="I5" s="116">
        <v>-2.335</v>
      </c>
      <c r="J5" s="116">
        <v>-14.358000000000001</v>
      </c>
      <c r="K5" s="147">
        <v>13.935</v>
      </c>
      <c r="L5" s="147">
        <f>0-SUM(H5:K5)</f>
        <v>0</v>
      </c>
      <c r="M5" s="322"/>
      <c r="N5" s="149"/>
      <c r="O5" s="149"/>
      <c r="P5" s="149"/>
      <c r="T5" s="150"/>
    </row>
    <row r="6" spans="1:20" x14ac:dyDescent="0.25">
      <c r="A6" s="7"/>
      <c r="B6" s="126" t="s">
        <v>44</v>
      </c>
      <c r="C6" s="116">
        <v>1.8254872891352341</v>
      </c>
      <c r="D6" s="116">
        <v>-1.5508322841313475</v>
      </c>
      <c r="E6" s="116">
        <v>-4.416581613014575</v>
      </c>
      <c r="F6" s="147">
        <v>4.1419266080106878</v>
      </c>
      <c r="G6" s="225">
        <f t="shared" ref="G6:G69" si="0">0-SUM(C6:F6)</f>
        <v>0</v>
      </c>
      <c r="H6" s="116">
        <v>7.351</v>
      </c>
      <c r="I6" s="116">
        <v>-6.2450000000000001</v>
      </c>
      <c r="J6" s="116">
        <v>-17.785</v>
      </c>
      <c r="K6" s="147">
        <v>16.678999999999998</v>
      </c>
      <c r="L6" s="148">
        <f t="shared" ref="L6:L69" si="1">0-SUM(H6:K6)</f>
        <v>0</v>
      </c>
      <c r="M6" s="149"/>
      <c r="N6" s="149"/>
      <c r="O6" s="149"/>
      <c r="P6" s="149"/>
      <c r="T6" s="150"/>
    </row>
    <row r="7" spans="1:20" x14ac:dyDescent="0.25">
      <c r="A7" s="7"/>
      <c r="B7" s="126" t="s">
        <v>45</v>
      </c>
      <c r="C7" s="116">
        <v>1.4592042015532021</v>
      </c>
      <c r="D7" s="116">
        <v>0.79699206986673699</v>
      </c>
      <c r="E7" s="116">
        <v>-5.874117527111407</v>
      </c>
      <c r="F7" s="147">
        <v>3.6179212556914684</v>
      </c>
      <c r="G7" s="225">
        <f t="shared" si="0"/>
        <v>0</v>
      </c>
      <c r="H7" s="70">
        <v>5.8680000000000003</v>
      </c>
      <c r="I7" s="70">
        <v>3.2050000000000001</v>
      </c>
      <c r="J7" s="70">
        <v>-23.622</v>
      </c>
      <c r="K7" s="70">
        <v>14.548999999999999</v>
      </c>
      <c r="L7" s="148">
        <f t="shared" si="1"/>
        <v>0</v>
      </c>
      <c r="M7" s="149"/>
      <c r="N7" s="149"/>
      <c r="O7" s="149"/>
      <c r="P7" s="149"/>
      <c r="T7" s="150"/>
    </row>
    <row r="8" spans="1:20" x14ac:dyDescent="0.25">
      <c r="A8" s="7"/>
      <c r="B8" s="126" t="s">
        <v>46</v>
      </c>
      <c r="C8" s="116">
        <v>4.0193423305848714</v>
      </c>
      <c r="D8" s="116">
        <v>-0.38020805829856896</v>
      </c>
      <c r="E8" s="116">
        <v>-7.74070413928892</v>
      </c>
      <c r="F8" s="147">
        <v>4.1015698670026177</v>
      </c>
      <c r="G8" s="225">
        <f t="shared" si="0"/>
        <v>0</v>
      </c>
      <c r="H8" s="70">
        <v>15.984</v>
      </c>
      <c r="I8" s="70">
        <v>-1.512</v>
      </c>
      <c r="J8" s="70">
        <v>-30.783000000000001</v>
      </c>
      <c r="K8" s="70">
        <v>16.311</v>
      </c>
      <c r="L8" s="148">
        <f t="shared" si="1"/>
        <v>0</v>
      </c>
      <c r="M8" s="149"/>
      <c r="N8" s="149"/>
      <c r="O8" s="149"/>
      <c r="P8" s="149"/>
      <c r="T8" s="150"/>
    </row>
    <row r="9" spans="1:20" x14ac:dyDescent="0.25">
      <c r="A9" s="7"/>
      <c r="B9" s="126" t="s">
        <v>47</v>
      </c>
      <c r="C9" s="116">
        <v>3.821692001795908</v>
      </c>
      <c r="D9" s="116">
        <v>3.1643897120133411</v>
      </c>
      <c r="E9" s="116">
        <v>-10.95144634725162</v>
      </c>
      <c r="F9" s="147">
        <v>3.9653646334423707</v>
      </c>
      <c r="G9" s="225">
        <f t="shared" si="0"/>
        <v>0</v>
      </c>
      <c r="H9" s="70">
        <v>14.896000000000001</v>
      </c>
      <c r="I9" s="70">
        <v>12.334</v>
      </c>
      <c r="J9" s="70">
        <v>-42.686</v>
      </c>
      <c r="K9" s="70">
        <v>15.456</v>
      </c>
      <c r="L9" s="148">
        <f t="shared" si="1"/>
        <v>0</v>
      </c>
      <c r="M9" s="149"/>
      <c r="N9" s="149"/>
      <c r="O9" s="149"/>
      <c r="P9" s="149"/>
      <c r="T9" s="150"/>
    </row>
    <row r="10" spans="1:20" x14ac:dyDescent="0.25">
      <c r="A10" s="7"/>
      <c r="B10" s="126" t="s">
        <v>48</v>
      </c>
      <c r="C10" s="116">
        <v>5.3776040662878932</v>
      </c>
      <c r="D10" s="116">
        <v>0.59976718548840935</v>
      </c>
      <c r="E10" s="116">
        <v>-9.8270337221284283</v>
      </c>
      <c r="F10" s="147">
        <v>3.8496624703521256</v>
      </c>
      <c r="G10" s="225">
        <f t="shared" si="0"/>
        <v>0</v>
      </c>
      <c r="H10" s="70">
        <v>20.927</v>
      </c>
      <c r="I10" s="70">
        <v>2.3340000000000001</v>
      </c>
      <c r="J10" s="70">
        <v>-38.241999999999997</v>
      </c>
      <c r="K10" s="70">
        <v>14.981</v>
      </c>
      <c r="L10" s="148">
        <f t="shared" si="1"/>
        <v>0</v>
      </c>
      <c r="M10" s="149"/>
      <c r="N10" s="149"/>
      <c r="O10" s="149"/>
      <c r="P10" s="149"/>
      <c r="T10" s="150"/>
    </row>
    <row r="11" spans="1:20" x14ac:dyDescent="0.25">
      <c r="A11" s="7"/>
      <c r="B11" s="126" t="s">
        <v>49</v>
      </c>
      <c r="C11" s="116">
        <v>5.1454704879351905</v>
      </c>
      <c r="D11" s="116">
        <v>2.045866470337109</v>
      </c>
      <c r="E11" s="116">
        <v>-9.4123150782634042</v>
      </c>
      <c r="F11" s="147">
        <v>2.2209781199911038</v>
      </c>
      <c r="G11" s="225">
        <f t="shared" si="0"/>
        <v>0</v>
      </c>
      <c r="H11" s="70">
        <v>20.128</v>
      </c>
      <c r="I11" s="70">
        <v>8.0030000000000001</v>
      </c>
      <c r="J11" s="70">
        <v>-36.819000000000003</v>
      </c>
      <c r="K11" s="70">
        <v>8.6880000000000006</v>
      </c>
      <c r="L11" s="148">
        <f t="shared" si="1"/>
        <v>0</v>
      </c>
      <c r="M11" s="149"/>
      <c r="N11" s="149"/>
      <c r="O11" s="149"/>
      <c r="P11" s="149"/>
      <c r="T11" s="150"/>
    </row>
    <row r="12" spans="1:20" x14ac:dyDescent="0.25">
      <c r="A12" s="7"/>
      <c r="B12" s="126" t="s">
        <v>50</v>
      </c>
      <c r="C12" s="116">
        <v>5.7472386334446446</v>
      </c>
      <c r="D12" s="116">
        <v>3.3768302080657593</v>
      </c>
      <c r="E12" s="116">
        <v>-11.28975083483175</v>
      </c>
      <c r="F12" s="147">
        <v>2.1656819933213458</v>
      </c>
      <c r="G12" s="225">
        <f t="shared" si="0"/>
        <v>0</v>
      </c>
      <c r="H12" s="70">
        <v>22.373999999999999</v>
      </c>
      <c r="I12" s="70">
        <v>13.146000000000001</v>
      </c>
      <c r="J12" s="70">
        <v>-43.951000000000001</v>
      </c>
      <c r="K12" s="70">
        <v>8.4309999999999992</v>
      </c>
      <c r="L12" s="148">
        <f t="shared" si="1"/>
        <v>0</v>
      </c>
      <c r="M12" s="149"/>
      <c r="N12" s="149"/>
      <c r="O12" s="149"/>
      <c r="P12" s="149"/>
      <c r="T12" s="150"/>
    </row>
    <row r="13" spans="1:20" x14ac:dyDescent="0.25">
      <c r="A13" s="7"/>
      <c r="B13" s="126" t="s">
        <v>51</v>
      </c>
      <c r="C13" s="116">
        <v>7.0560576299965341</v>
      </c>
      <c r="D13" s="116">
        <v>0.32401802444452255</v>
      </c>
      <c r="E13" s="116">
        <v>-9.749174884333101</v>
      </c>
      <c r="F13" s="147">
        <v>2.3690992298920444</v>
      </c>
      <c r="G13" s="225">
        <f t="shared" si="0"/>
        <v>0</v>
      </c>
      <c r="H13" s="70">
        <v>28.091999999999999</v>
      </c>
      <c r="I13" s="70">
        <v>1.29</v>
      </c>
      <c r="J13" s="70">
        <v>-38.814</v>
      </c>
      <c r="K13" s="70">
        <v>9.4320000000000004</v>
      </c>
      <c r="L13" s="148">
        <f t="shared" si="1"/>
        <v>0</v>
      </c>
      <c r="M13" s="149"/>
      <c r="N13" s="149"/>
      <c r="O13" s="149"/>
      <c r="P13" s="149"/>
      <c r="T13" s="150"/>
    </row>
    <row r="14" spans="1:20" x14ac:dyDescent="0.25">
      <c r="A14" s="7"/>
      <c r="B14" s="126" t="s">
        <v>52</v>
      </c>
      <c r="C14" s="116">
        <v>5.479764826759518</v>
      </c>
      <c r="D14" s="116">
        <v>0.68918962517713678</v>
      </c>
      <c r="E14" s="116">
        <v>-8.4621169066131934</v>
      </c>
      <c r="F14" s="147">
        <v>2.2934106324313728</v>
      </c>
      <c r="G14" s="225">
        <f t="shared" si="0"/>
        <v>-2.4817775483398918E-4</v>
      </c>
      <c r="H14" s="70">
        <v>22.08</v>
      </c>
      <c r="I14" s="70">
        <v>2.7770000000000001</v>
      </c>
      <c r="J14" s="70">
        <v>-34.097000000000001</v>
      </c>
      <c r="K14" s="70">
        <v>9.2409999999999997</v>
      </c>
      <c r="L14" s="148">
        <f t="shared" si="1"/>
        <v>-9.9999999999766942E-4</v>
      </c>
      <c r="M14" s="149"/>
      <c r="N14" s="149"/>
      <c r="O14" s="149"/>
      <c r="P14" s="149"/>
      <c r="T14" s="150"/>
    </row>
    <row r="15" spans="1:20" x14ac:dyDescent="0.25">
      <c r="A15" s="7"/>
      <c r="B15" s="126" t="s">
        <v>53</v>
      </c>
      <c r="C15" s="116">
        <v>4.7486686838496519</v>
      </c>
      <c r="D15" s="116">
        <v>1.5114100502982688</v>
      </c>
      <c r="E15" s="116">
        <v>-9.6866636958764278</v>
      </c>
      <c r="F15" s="147">
        <v>3.4265849617285076</v>
      </c>
      <c r="G15" s="225">
        <f t="shared" si="0"/>
        <v>0</v>
      </c>
      <c r="H15" s="70">
        <v>19.288</v>
      </c>
      <c r="I15" s="70">
        <v>6.1390000000000002</v>
      </c>
      <c r="J15" s="70">
        <v>-39.344999999999999</v>
      </c>
      <c r="K15" s="70">
        <v>13.917999999999999</v>
      </c>
      <c r="L15" s="148">
        <f t="shared" si="1"/>
        <v>0</v>
      </c>
      <c r="M15" s="149"/>
      <c r="N15" s="149"/>
      <c r="O15" s="149"/>
      <c r="P15" s="149"/>
      <c r="T15" s="150"/>
    </row>
    <row r="16" spans="1:20" x14ac:dyDescent="0.25">
      <c r="A16" s="7"/>
      <c r="B16" s="126" t="s">
        <v>54</v>
      </c>
      <c r="C16" s="116">
        <v>4.7929632720589135</v>
      </c>
      <c r="D16" s="116">
        <v>1.9987812011287347</v>
      </c>
      <c r="E16" s="116">
        <v>-9.9302739360595602</v>
      </c>
      <c r="F16" s="147">
        <v>3.1382847241427414</v>
      </c>
      <c r="G16" s="225">
        <f t="shared" si="0"/>
        <v>2.4473872917019079E-4</v>
      </c>
      <c r="H16" s="70">
        <v>19.584</v>
      </c>
      <c r="I16" s="70">
        <v>8.1669999999999998</v>
      </c>
      <c r="J16" s="70">
        <v>-40.575000000000003</v>
      </c>
      <c r="K16" s="70">
        <v>12.823</v>
      </c>
      <c r="L16" s="148">
        <f t="shared" si="1"/>
        <v>1.0000000000047748E-3</v>
      </c>
      <c r="M16" s="149"/>
      <c r="N16" s="149"/>
      <c r="O16" s="149"/>
      <c r="P16" s="149"/>
      <c r="T16" s="150"/>
    </row>
    <row r="17" spans="1:20" x14ac:dyDescent="0.25">
      <c r="A17" s="7"/>
      <c r="B17" s="126" t="s">
        <v>55</v>
      </c>
      <c r="C17" s="116">
        <v>3.6581588923487653</v>
      </c>
      <c r="D17" s="116">
        <v>3.4814571174082456</v>
      </c>
      <c r="E17" s="116">
        <v>-8.0070392609256196</v>
      </c>
      <c r="F17" s="147">
        <v>0.86790341903529478</v>
      </c>
      <c r="G17" s="225">
        <f t="shared" si="0"/>
        <v>-4.8016786668658717E-4</v>
      </c>
      <c r="H17" s="70">
        <v>15.237</v>
      </c>
      <c r="I17" s="70">
        <v>14.500999999999999</v>
      </c>
      <c r="J17" s="70">
        <v>-33.350999999999999</v>
      </c>
      <c r="K17" s="70">
        <v>3.6150000000000002</v>
      </c>
      <c r="L17" s="148">
        <f t="shared" si="1"/>
        <v>-2.0000000000006679E-3</v>
      </c>
      <c r="M17" s="149"/>
      <c r="N17" s="149"/>
      <c r="O17" s="149"/>
      <c r="P17" s="149"/>
      <c r="T17" s="150"/>
    </row>
    <row r="18" spans="1:20" x14ac:dyDescent="0.25">
      <c r="A18" s="7"/>
      <c r="B18" s="126" t="s">
        <v>56</v>
      </c>
      <c r="C18" s="116">
        <v>4.5396580040575794</v>
      </c>
      <c r="D18" s="116">
        <v>1.6218239783595787</v>
      </c>
      <c r="E18" s="116">
        <v>-7.4029079316008115</v>
      </c>
      <c r="F18" s="147">
        <v>1.2419089943000676</v>
      </c>
      <c r="G18" s="225">
        <f t="shared" si="0"/>
        <v>-4.8304511641372727E-4</v>
      </c>
      <c r="H18" s="70">
        <v>18.795999999999999</v>
      </c>
      <c r="I18" s="70">
        <v>6.7149999999999999</v>
      </c>
      <c r="J18" s="70">
        <v>-30.651</v>
      </c>
      <c r="K18" s="70">
        <v>5.1420000000000003</v>
      </c>
      <c r="L18" s="148">
        <f t="shared" si="1"/>
        <v>-1.9999999999997797E-3</v>
      </c>
      <c r="M18" s="149"/>
      <c r="N18" s="149"/>
      <c r="O18" s="149"/>
      <c r="P18" s="149"/>
      <c r="T18" s="150"/>
    </row>
    <row r="19" spans="1:20" x14ac:dyDescent="0.25">
      <c r="A19" s="7"/>
      <c r="B19" s="126" t="s">
        <v>57</v>
      </c>
      <c r="C19" s="116">
        <v>3.7266902484699331</v>
      </c>
      <c r="D19" s="116">
        <v>1.0210011982234724</v>
      </c>
      <c r="E19" s="116">
        <v>-7.4268330307878854</v>
      </c>
      <c r="F19" s="147">
        <v>2.6789024177327505</v>
      </c>
      <c r="G19" s="225">
        <f t="shared" si="0"/>
        <v>2.3916636172938155E-4</v>
      </c>
      <c r="H19" s="70">
        <v>15.582000000000001</v>
      </c>
      <c r="I19" s="70">
        <v>4.2690000000000001</v>
      </c>
      <c r="J19" s="70">
        <v>-31.053000000000001</v>
      </c>
      <c r="K19" s="70">
        <v>11.201000000000001</v>
      </c>
      <c r="L19" s="148">
        <f t="shared" si="1"/>
        <v>1.0000000000012221E-3</v>
      </c>
      <c r="M19" s="149"/>
      <c r="N19" s="149"/>
      <c r="O19" s="149"/>
      <c r="P19" s="149"/>
      <c r="T19" s="150"/>
    </row>
    <row r="20" spans="1:20" x14ac:dyDescent="0.25">
      <c r="A20" s="7"/>
      <c r="B20" s="126" t="s">
        <v>58</v>
      </c>
      <c r="C20" s="116">
        <v>2.9145549713363321</v>
      </c>
      <c r="D20" s="116">
        <v>2.629698645745552</v>
      </c>
      <c r="E20" s="116">
        <v>-7.5054894187744052</v>
      </c>
      <c r="F20" s="147">
        <v>1.9614731819638469</v>
      </c>
      <c r="G20" s="225">
        <f t="shared" si="0"/>
        <v>-2.3738027132536033E-4</v>
      </c>
      <c r="H20" s="70">
        <v>12.278</v>
      </c>
      <c r="I20" s="70">
        <v>11.077999999999999</v>
      </c>
      <c r="J20" s="70">
        <v>-31.617999999999999</v>
      </c>
      <c r="K20" s="70">
        <v>8.2629999999999999</v>
      </c>
      <c r="L20" s="148">
        <f t="shared" si="1"/>
        <v>-1.0000000000029985E-3</v>
      </c>
      <c r="M20" s="149"/>
      <c r="N20" s="149"/>
      <c r="O20" s="149"/>
      <c r="P20" s="149"/>
      <c r="T20" s="150"/>
    </row>
    <row r="21" spans="1:20" x14ac:dyDescent="0.25">
      <c r="A21" s="7"/>
      <c r="B21" s="126" t="s">
        <v>59</v>
      </c>
      <c r="C21" s="116">
        <v>4.44811122856279</v>
      </c>
      <c r="D21" s="116">
        <v>2.0072517947840516</v>
      </c>
      <c r="E21" s="116">
        <v>-8.2512017963075373</v>
      </c>
      <c r="F21" s="147">
        <v>1.7958387729606964</v>
      </c>
      <c r="G21" s="225">
        <f t="shared" si="0"/>
        <v>0</v>
      </c>
      <c r="H21" s="70">
        <v>18.978000000000002</v>
      </c>
      <c r="I21" s="70">
        <v>8.5640000000000001</v>
      </c>
      <c r="J21" s="70">
        <v>-35.204000000000001</v>
      </c>
      <c r="K21" s="70">
        <v>7.6619999999999999</v>
      </c>
      <c r="L21" s="148">
        <f t="shared" si="1"/>
        <v>0</v>
      </c>
      <c r="M21" s="149"/>
      <c r="N21" s="149"/>
      <c r="O21" s="149"/>
      <c r="P21" s="149"/>
      <c r="T21" s="150"/>
    </row>
    <row r="22" spans="1:20" x14ac:dyDescent="0.25">
      <c r="A22" s="7"/>
      <c r="B22" s="126" t="s">
        <v>60</v>
      </c>
      <c r="C22" s="116">
        <v>3.5669255539046349</v>
      </c>
      <c r="D22" s="116">
        <v>1.8066641980979519</v>
      </c>
      <c r="E22" s="116">
        <v>-9.2196354330228871</v>
      </c>
      <c r="F22" s="147">
        <v>3.8460456810202999</v>
      </c>
      <c r="G22" s="225">
        <f t="shared" si="0"/>
        <v>0</v>
      </c>
      <c r="H22" s="70">
        <v>15.22</v>
      </c>
      <c r="I22" s="70">
        <v>7.7089999999999996</v>
      </c>
      <c r="J22" s="70">
        <v>-39.340000000000003</v>
      </c>
      <c r="K22" s="70">
        <v>16.411000000000001</v>
      </c>
      <c r="L22" s="148">
        <f t="shared" si="1"/>
        <v>0</v>
      </c>
      <c r="M22" s="149"/>
      <c r="N22" s="149"/>
      <c r="O22" s="149"/>
      <c r="P22" s="149"/>
      <c r="T22" s="150"/>
    </row>
    <row r="23" spans="1:20" x14ac:dyDescent="0.25">
      <c r="A23" s="7"/>
      <c r="B23" s="126" t="s">
        <v>61</v>
      </c>
      <c r="C23" s="116">
        <v>2.7302919312141838</v>
      </c>
      <c r="D23" s="116">
        <v>1.1696635255615793</v>
      </c>
      <c r="E23" s="116">
        <v>-6.845808898028328</v>
      </c>
      <c r="F23" s="147">
        <v>2.9458534412525648</v>
      </c>
      <c r="G23" s="225">
        <f t="shared" si="0"/>
        <v>0</v>
      </c>
      <c r="H23" s="70">
        <v>11.83</v>
      </c>
      <c r="I23" s="70">
        <v>5.0679999999999996</v>
      </c>
      <c r="J23" s="70">
        <v>-29.661999999999999</v>
      </c>
      <c r="K23" s="70">
        <v>12.763999999999999</v>
      </c>
      <c r="L23" s="148">
        <f t="shared" si="1"/>
        <v>0</v>
      </c>
      <c r="M23" s="149"/>
      <c r="N23" s="149"/>
      <c r="O23" s="149"/>
      <c r="P23" s="149"/>
      <c r="T23" s="150"/>
    </row>
    <row r="24" spans="1:20" x14ac:dyDescent="0.25">
      <c r="A24" s="7"/>
      <c r="B24" s="126" t="s">
        <v>62</v>
      </c>
      <c r="C24" s="116">
        <v>1.5252717953432782</v>
      </c>
      <c r="D24" s="116">
        <v>2.1440228009285862</v>
      </c>
      <c r="E24" s="116">
        <v>-7.7291010641965663</v>
      </c>
      <c r="F24" s="147">
        <v>4.0598064679247017</v>
      </c>
      <c r="G24" s="225">
        <f t="shared" si="0"/>
        <v>0</v>
      </c>
      <c r="H24" s="70">
        <v>6.6360000000000001</v>
      </c>
      <c r="I24" s="70">
        <v>9.3279999999999994</v>
      </c>
      <c r="J24" s="70">
        <v>-33.627000000000002</v>
      </c>
      <c r="K24" s="70">
        <v>17.663</v>
      </c>
      <c r="L24" s="148">
        <f t="shared" si="1"/>
        <v>0</v>
      </c>
      <c r="M24" s="149"/>
      <c r="N24" s="149"/>
      <c r="O24" s="149"/>
      <c r="P24" s="149"/>
      <c r="T24" s="150"/>
    </row>
    <row r="25" spans="1:20" x14ac:dyDescent="0.25">
      <c r="A25" s="7"/>
      <c r="B25" s="126" t="s">
        <v>63</v>
      </c>
      <c r="C25" s="116">
        <v>1.5053245401533504</v>
      </c>
      <c r="D25" s="116">
        <v>-0.6238097618842009</v>
      </c>
      <c r="E25" s="116">
        <v>-5.3359028083938203</v>
      </c>
      <c r="F25" s="147">
        <v>4.4543880301246714</v>
      </c>
      <c r="G25" s="225">
        <f t="shared" si="0"/>
        <v>0</v>
      </c>
      <c r="H25" s="70">
        <v>6.6239999999999997</v>
      </c>
      <c r="I25" s="70">
        <v>-2.7450000000000001</v>
      </c>
      <c r="J25" s="70">
        <v>-23.48</v>
      </c>
      <c r="K25" s="70">
        <v>19.600999999999999</v>
      </c>
      <c r="L25" s="148">
        <f t="shared" si="1"/>
        <v>0</v>
      </c>
      <c r="M25" s="149"/>
      <c r="N25" s="149"/>
      <c r="O25" s="149"/>
      <c r="P25" s="149"/>
      <c r="T25" s="150"/>
    </row>
    <row r="26" spans="1:20" x14ac:dyDescent="0.25">
      <c r="A26" s="7"/>
      <c r="B26" s="126" t="s">
        <v>64</v>
      </c>
      <c r="C26" s="116">
        <v>2.6993458453742565</v>
      </c>
      <c r="D26" s="116">
        <v>-3.244624976894952</v>
      </c>
      <c r="E26" s="116">
        <v>-3.4082763408817338</v>
      </c>
      <c r="F26" s="147">
        <v>3.9535554724024289</v>
      </c>
      <c r="G26" s="225">
        <f t="shared" si="0"/>
        <v>0</v>
      </c>
      <c r="H26" s="70">
        <v>11.975</v>
      </c>
      <c r="I26" s="70">
        <v>-14.394</v>
      </c>
      <c r="J26" s="70">
        <v>-15.12</v>
      </c>
      <c r="K26" s="70">
        <v>17.539000000000001</v>
      </c>
      <c r="L26" s="148">
        <f t="shared" si="1"/>
        <v>0</v>
      </c>
      <c r="M26" s="149"/>
      <c r="N26" s="149"/>
      <c r="O26" s="149"/>
      <c r="P26" s="149"/>
      <c r="T26" s="150"/>
    </row>
    <row r="27" spans="1:20" x14ac:dyDescent="0.25">
      <c r="A27" s="7"/>
      <c r="B27" s="126" t="s">
        <v>65</v>
      </c>
      <c r="C27" s="116">
        <v>2.7617726995396308</v>
      </c>
      <c r="D27" s="116">
        <v>-1.2697320982860947</v>
      </c>
      <c r="E27" s="116">
        <v>-5.9524100061012817</v>
      </c>
      <c r="F27" s="147">
        <v>4.4603694048477456</v>
      </c>
      <c r="G27" s="225">
        <f t="shared" si="0"/>
        <v>0</v>
      </c>
      <c r="H27" s="70">
        <v>12.448</v>
      </c>
      <c r="I27" s="70">
        <v>-5.7229999999999999</v>
      </c>
      <c r="J27" s="70">
        <v>-26.829000000000001</v>
      </c>
      <c r="K27" s="70">
        <v>20.103999999999999</v>
      </c>
      <c r="L27" s="148">
        <f t="shared" si="1"/>
        <v>0</v>
      </c>
      <c r="M27" s="149"/>
      <c r="N27" s="149"/>
      <c r="O27" s="149"/>
      <c r="P27" s="149"/>
      <c r="T27" s="150"/>
    </row>
    <row r="28" spans="1:20" x14ac:dyDescent="0.25">
      <c r="A28" s="7"/>
      <c r="B28" s="126" t="s">
        <v>66</v>
      </c>
      <c r="C28" s="116">
        <v>3.0520164598192587</v>
      </c>
      <c r="D28" s="116">
        <v>-2.290606862363449</v>
      </c>
      <c r="E28" s="116">
        <v>-6.2496288623062659</v>
      </c>
      <c r="F28" s="147">
        <v>5.4882192648504562</v>
      </c>
      <c r="G28" s="225">
        <f t="shared" si="0"/>
        <v>0</v>
      </c>
      <c r="H28" s="70">
        <v>13.877000000000001</v>
      </c>
      <c r="I28" s="70">
        <v>-10.414999999999999</v>
      </c>
      <c r="J28" s="70">
        <v>-28.416</v>
      </c>
      <c r="K28" s="70">
        <v>24.954000000000001</v>
      </c>
      <c r="L28" s="148">
        <f t="shared" si="1"/>
        <v>0</v>
      </c>
      <c r="M28" s="149"/>
      <c r="N28" s="149"/>
      <c r="O28" s="149"/>
      <c r="P28" s="149"/>
      <c r="T28" s="150"/>
    </row>
    <row r="29" spans="1:20" x14ac:dyDescent="0.25">
      <c r="A29" s="7"/>
      <c r="B29" s="126" t="s">
        <v>67</v>
      </c>
      <c r="C29" s="116">
        <v>2.7407191945854188</v>
      </c>
      <c r="D29" s="116">
        <v>-0.53420797860563252</v>
      </c>
      <c r="E29" s="116">
        <v>-6.2016749080710776</v>
      </c>
      <c r="F29" s="147">
        <v>3.9951636920912907</v>
      </c>
      <c r="G29" s="225">
        <f t="shared" si="0"/>
        <v>0</v>
      </c>
      <c r="H29" s="70">
        <v>12.625999999999999</v>
      </c>
      <c r="I29" s="70">
        <v>-2.4609999999999999</v>
      </c>
      <c r="J29" s="70">
        <v>-28.57</v>
      </c>
      <c r="K29" s="70">
        <v>18.405000000000001</v>
      </c>
      <c r="L29" s="148">
        <f t="shared" si="1"/>
        <v>0</v>
      </c>
      <c r="M29" s="149"/>
      <c r="N29" s="149"/>
      <c r="O29" s="149"/>
      <c r="P29" s="149"/>
      <c r="T29" s="150"/>
    </row>
    <row r="30" spans="1:20" x14ac:dyDescent="0.25">
      <c r="A30" s="7"/>
      <c r="B30" s="126" t="s">
        <v>68</v>
      </c>
      <c r="C30" s="116">
        <v>2.4333554997449784</v>
      </c>
      <c r="D30" s="116">
        <v>-0.99877977132010665</v>
      </c>
      <c r="E30" s="116">
        <v>-5.3672845284902948</v>
      </c>
      <c r="F30" s="147">
        <v>3.9327088000654231</v>
      </c>
      <c r="G30" s="225">
        <f t="shared" si="0"/>
        <v>0</v>
      </c>
      <c r="H30" s="70">
        <v>11.307</v>
      </c>
      <c r="I30" s="70">
        <v>-4.641</v>
      </c>
      <c r="J30" s="70">
        <v>-24.94</v>
      </c>
      <c r="K30" s="70">
        <v>18.274000000000001</v>
      </c>
      <c r="L30" s="148">
        <f t="shared" si="1"/>
        <v>0</v>
      </c>
      <c r="M30" s="149"/>
      <c r="N30" s="149"/>
      <c r="O30" s="149"/>
      <c r="P30" s="149"/>
      <c r="T30" s="150"/>
    </row>
    <row r="31" spans="1:20" x14ac:dyDescent="0.25">
      <c r="A31" s="7"/>
      <c r="B31" s="126" t="s">
        <v>69</v>
      </c>
      <c r="C31" s="116">
        <v>0.8483173913501999</v>
      </c>
      <c r="D31" s="116">
        <v>0.1330900730835346</v>
      </c>
      <c r="E31" s="116">
        <v>-5.7270915284266479</v>
      </c>
      <c r="F31" s="147">
        <v>4.745684063992913</v>
      </c>
      <c r="G31" s="225">
        <f t="shared" si="0"/>
        <v>0</v>
      </c>
      <c r="H31" s="70">
        <v>4.0220000000000002</v>
      </c>
      <c r="I31" s="70">
        <v>0.63100000000000001</v>
      </c>
      <c r="J31" s="70">
        <v>-27.152999999999999</v>
      </c>
      <c r="K31" s="70">
        <v>22.5</v>
      </c>
      <c r="L31" s="148">
        <f t="shared" si="1"/>
        <v>0</v>
      </c>
      <c r="M31" s="150"/>
      <c r="N31" s="150"/>
      <c r="O31" s="150"/>
      <c r="P31" s="150"/>
      <c r="T31" s="150"/>
    </row>
    <row r="32" spans="1:20" x14ac:dyDescent="0.25">
      <c r="A32" s="7"/>
      <c r="B32" s="126" t="s">
        <v>70</v>
      </c>
      <c r="C32" s="116">
        <v>0.88876833991446624</v>
      </c>
      <c r="D32" s="116">
        <v>-2.8944369451768495</v>
      </c>
      <c r="E32" s="116">
        <v>-4.9795837696224998</v>
      </c>
      <c r="F32" s="147">
        <v>6.9852523748848832</v>
      </c>
      <c r="G32" s="225">
        <f t="shared" si="0"/>
        <v>0</v>
      </c>
      <c r="H32" s="70">
        <v>4.2270000000000003</v>
      </c>
      <c r="I32" s="70">
        <v>-13.766</v>
      </c>
      <c r="J32" s="70">
        <v>-23.683</v>
      </c>
      <c r="K32" s="70">
        <v>33.222000000000001</v>
      </c>
      <c r="L32" s="148">
        <f t="shared" si="1"/>
        <v>0</v>
      </c>
      <c r="M32" s="150"/>
      <c r="N32" s="150"/>
      <c r="O32" s="150"/>
      <c r="P32" s="150"/>
      <c r="T32" s="150"/>
    </row>
    <row r="33" spans="1:20" x14ac:dyDescent="0.25">
      <c r="A33" s="7"/>
      <c r="B33" s="126" t="s">
        <v>71</v>
      </c>
      <c r="C33" s="116">
        <v>2.1620615209532734</v>
      </c>
      <c r="D33" s="116">
        <v>-3.0530358816441292</v>
      </c>
      <c r="E33" s="116">
        <v>-4.508426496184228</v>
      </c>
      <c r="F33" s="147">
        <v>5.3994008568750838</v>
      </c>
      <c r="G33" s="225">
        <f t="shared" si="0"/>
        <v>0</v>
      </c>
      <c r="H33" s="70">
        <v>10.335000000000001</v>
      </c>
      <c r="I33" s="70">
        <v>-14.593999999999999</v>
      </c>
      <c r="J33" s="70">
        <v>-21.550999999999998</v>
      </c>
      <c r="K33" s="70">
        <v>25.81</v>
      </c>
      <c r="L33" s="148">
        <f t="shared" si="1"/>
        <v>0</v>
      </c>
      <c r="M33" s="150"/>
      <c r="N33" s="150"/>
      <c r="O33" s="150"/>
      <c r="P33" s="150"/>
      <c r="T33" s="150"/>
    </row>
    <row r="34" spans="1:20" x14ac:dyDescent="0.25">
      <c r="A34" s="7"/>
      <c r="B34" s="126" t="s">
        <v>72</v>
      </c>
      <c r="C34" s="116">
        <v>3.8931374144210671</v>
      </c>
      <c r="D34" s="116">
        <v>-2.5943819334059266</v>
      </c>
      <c r="E34" s="116">
        <v>-4.4282013091855763</v>
      </c>
      <c r="F34" s="147">
        <v>3.1294458281704363</v>
      </c>
      <c r="G34" s="225">
        <f t="shared" si="0"/>
        <v>0</v>
      </c>
      <c r="H34" s="70">
        <v>18.663</v>
      </c>
      <c r="I34" s="70">
        <v>-12.436999999999999</v>
      </c>
      <c r="J34" s="70">
        <v>-21.228000000000002</v>
      </c>
      <c r="K34" s="70">
        <v>15.002000000000001</v>
      </c>
      <c r="L34" s="148">
        <f t="shared" si="1"/>
        <v>0</v>
      </c>
      <c r="M34" s="150"/>
      <c r="N34" s="150"/>
      <c r="O34" s="150"/>
      <c r="P34" s="150"/>
      <c r="T34" s="150"/>
    </row>
    <row r="35" spans="1:20" x14ac:dyDescent="0.25">
      <c r="A35" s="7"/>
      <c r="B35" s="126" t="s">
        <v>73</v>
      </c>
      <c r="C35" s="116">
        <v>3.660527460689055</v>
      </c>
      <c r="D35" s="116">
        <v>-3.0591062586753397</v>
      </c>
      <c r="E35" s="116">
        <v>-4.9242785224471195</v>
      </c>
      <c r="F35" s="147">
        <v>4.3228573204334042</v>
      </c>
      <c r="G35" s="225">
        <f t="shared" si="0"/>
        <v>0</v>
      </c>
      <c r="H35" s="70">
        <v>17.669</v>
      </c>
      <c r="I35" s="70">
        <v>-14.766</v>
      </c>
      <c r="J35" s="70">
        <v>-23.768999999999998</v>
      </c>
      <c r="K35" s="70">
        <v>20.866</v>
      </c>
      <c r="L35" s="148">
        <f t="shared" si="1"/>
        <v>0</v>
      </c>
      <c r="M35" s="150"/>
      <c r="N35" s="150"/>
      <c r="O35" s="150"/>
      <c r="P35" s="150"/>
      <c r="T35" s="150"/>
    </row>
    <row r="36" spans="1:20" x14ac:dyDescent="0.25">
      <c r="A36" s="7"/>
      <c r="B36" s="126" t="s">
        <v>74</v>
      </c>
      <c r="C36" s="116">
        <v>3.9454591661064748</v>
      </c>
      <c r="D36" s="116">
        <v>-6.3872128674722504</v>
      </c>
      <c r="E36" s="116">
        <v>-4.1948812119820955</v>
      </c>
      <c r="F36" s="147">
        <v>6.636634913347871</v>
      </c>
      <c r="G36" s="225">
        <f t="shared" si="0"/>
        <v>0</v>
      </c>
      <c r="H36" s="70">
        <v>19.251000000000001</v>
      </c>
      <c r="I36" s="70">
        <v>-31.164999999999999</v>
      </c>
      <c r="J36" s="70">
        <v>-20.468</v>
      </c>
      <c r="K36" s="70">
        <v>32.381999999999998</v>
      </c>
      <c r="L36" s="148">
        <f t="shared" si="1"/>
        <v>0</v>
      </c>
      <c r="M36" s="150"/>
      <c r="N36" s="150"/>
      <c r="O36" s="150"/>
      <c r="P36" s="150"/>
      <c r="T36" s="150"/>
    </row>
    <row r="37" spans="1:20" x14ac:dyDescent="0.25">
      <c r="A37" s="7"/>
      <c r="B37" s="126" t="s">
        <v>75</v>
      </c>
      <c r="C37" s="116">
        <v>2.3138412322082478</v>
      </c>
      <c r="D37" s="116">
        <v>-4.1376734518232237</v>
      </c>
      <c r="E37" s="116">
        <v>-3.7936116140661409</v>
      </c>
      <c r="F37" s="147">
        <v>5.6174438336811168</v>
      </c>
      <c r="G37" s="225">
        <f t="shared" si="0"/>
        <v>0</v>
      </c>
      <c r="H37" s="70">
        <v>11.398999999999999</v>
      </c>
      <c r="I37" s="70">
        <v>-20.384</v>
      </c>
      <c r="J37" s="70">
        <v>-18.689</v>
      </c>
      <c r="K37" s="70">
        <v>27.673999999999999</v>
      </c>
      <c r="L37" s="148">
        <f t="shared" si="1"/>
        <v>0</v>
      </c>
      <c r="M37" s="150"/>
      <c r="N37" s="150"/>
      <c r="O37" s="150"/>
      <c r="P37" s="150"/>
      <c r="T37" s="150"/>
    </row>
    <row r="38" spans="1:20" x14ac:dyDescent="0.25">
      <c r="A38" s="7"/>
      <c r="B38" s="126" t="s">
        <v>76</v>
      </c>
      <c r="C38" s="116">
        <v>1.5841273417884505</v>
      </c>
      <c r="D38" s="116">
        <v>-3.3535456769458571</v>
      </c>
      <c r="E38" s="116">
        <v>-3.3461018476791349</v>
      </c>
      <c r="F38" s="147">
        <v>5.1155201828365415</v>
      </c>
      <c r="G38" s="225">
        <f t="shared" si="0"/>
        <v>0</v>
      </c>
      <c r="H38" s="70">
        <v>7.8739999999999997</v>
      </c>
      <c r="I38" s="70">
        <v>-16.669</v>
      </c>
      <c r="J38" s="70">
        <v>-16.632000000000001</v>
      </c>
      <c r="K38" s="70">
        <v>25.427</v>
      </c>
      <c r="L38" s="148">
        <f t="shared" si="1"/>
        <v>0</v>
      </c>
      <c r="M38" s="150"/>
      <c r="N38" s="150"/>
      <c r="O38" s="150"/>
      <c r="P38" s="150"/>
      <c r="T38" s="150"/>
    </row>
    <row r="39" spans="1:20" x14ac:dyDescent="0.25">
      <c r="A39" s="7"/>
      <c r="B39" s="126" t="s">
        <v>77</v>
      </c>
      <c r="C39" s="116">
        <v>6.8996556120172969E-2</v>
      </c>
      <c r="D39" s="116">
        <v>-2.8199368324632763</v>
      </c>
      <c r="E39" s="116">
        <v>-3.9357776883377977</v>
      </c>
      <c r="F39" s="147">
        <v>6.6867179646809012</v>
      </c>
      <c r="G39" s="225">
        <f t="shared" si="0"/>
        <v>0</v>
      </c>
      <c r="H39" s="70">
        <v>0.34799999999999998</v>
      </c>
      <c r="I39" s="70">
        <v>-14.223000000000001</v>
      </c>
      <c r="J39" s="70">
        <v>-19.850999999999999</v>
      </c>
      <c r="K39" s="70">
        <v>33.725999999999999</v>
      </c>
      <c r="L39" s="148">
        <f t="shared" si="1"/>
        <v>0</v>
      </c>
      <c r="M39" s="150"/>
      <c r="N39" s="150"/>
      <c r="O39" s="150"/>
      <c r="P39" s="150"/>
      <c r="T39" s="150"/>
    </row>
    <row r="40" spans="1:20" x14ac:dyDescent="0.25">
      <c r="A40" s="7"/>
      <c r="B40" s="126" t="s">
        <v>78</v>
      </c>
      <c r="C40" s="116">
        <v>-0.37831762231682337</v>
      </c>
      <c r="D40" s="116">
        <v>-1.0675919652543069</v>
      </c>
      <c r="E40" s="116">
        <v>-2.4553440301400871</v>
      </c>
      <c r="F40" s="147">
        <v>3.9012536177112174</v>
      </c>
      <c r="G40" s="225">
        <f t="shared" si="0"/>
        <v>0</v>
      </c>
      <c r="H40" s="70">
        <v>-1.9319999999999999</v>
      </c>
      <c r="I40" s="70">
        <v>-5.452</v>
      </c>
      <c r="J40" s="70">
        <v>-12.539</v>
      </c>
      <c r="K40" s="70">
        <v>19.922999999999998</v>
      </c>
      <c r="L40" s="148">
        <f t="shared" si="1"/>
        <v>0</v>
      </c>
      <c r="M40" s="150"/>
      <c r="N40" s="150"/>
      <c r="O40" s="150"/>
      <c r="P40" s="150"/>
      <c r="T40" s="150"/>
    </row>
    <row r="41" spans="1:20" x14ac:dyDescent="0.25">
      <c r="A41" s="7"/>
      <c r="B41" s="126" t="s">
        <v>79</v>
      </c>
      <c r="C41" s="116">
        <v>-1.061460721507193</v>
      </c>
      <c r="D41" s="116">
        <v>9.4334881095521794E-2</v>
      </c>
      <c r="E41" s="116">
        <v>-2.0500438811844441</v>
      </c>
      <c r="F41" s="147">
        <v>3.0171697215961153</v>
      </c>
      <c r="G41" s="225">
        <f t="shared" si="0"/>
        <v>0</v>
      </c>
      <c r="H41" s="70">
        <v>-5.4909999999999997</v>
      </c>
      <c r="I41" s="70">
        <v>0.48799999999999999</v>
      </c>
      <c r="J41" s="70">
        <v>-10.605</v>
      </c>
      <c r="K41" s="70">
        <v>15.608000000000001</v>
      </c>
      <c r="L41" s="148">
        <f t="shared" si="1"/>
        <v>0</v>
      </c>
      <c r="M41" s="150"/>
      <c r="N41" s="150"/>
      <c r="O41" s="150"/>
      <c r="P41" s="150"/>
      <c r="T41" s="150"/>
    </row>
    <row r="42" spans="1:20" x14ac:dyDescent="0.25">
      <c r="A42" s="7"/>
      <c r="B42" s="126" t="s">
        <v>80</v>
      </c>
      <c r="C42" s="116">
        <v>0.50784485138492685</v>
      </c>
      <c r="D42" s="116">
        <v>-1.5929342658200669</v>
      </c>
      <c r="E42" s="116">
        <v>-3.3722125088187478</v>
      </c>
      <c r="F42" s="147">
        <v>4.4573019232538877</v>
      </c>
      <c r="G42" s="225">
        <f t="shared" si="0"/>
        <v>0</v>
      </c>
      <c r="H42" s="70">
        <v>2.649</v>
      </c>
      <c r="I42" s="70">
        <v>-8.3089999999999993</v>
      </c>
      <c r="J42" s="70">
        <v>-17.59</v>
      </c>
      <c r="K42" s="70">
        <v>23.25</v>
      </c>
      <c r="L42" s="148">
        <f t="shared" si="1"/>
        <v>0</v>
      </c>
      <c r="M42" s="150"/>
      <c r="N42" s="150"/>
      <c r="O42" s="150"/>
      <c r="P42" s="150"/>
      <c r="T42" s="150"/>
    </row>
    <row r="43" spans="1:20" x14ac:dyDescent="0.25">
      <c r="A43" s="7"/>
      <c r="B43" s="126" t="s">
        <v>81</v>
      </c>
      <c r="C43" s="116">
        <v>-5.5982831931540994E-2</v>
      </c>
      <c r="D43" s="116">
        <v>-1.6619665207431624</v>
      </c>
      <c r="E43" s="116">
        <v>-3.165886271067349</v>
      </c>
      <c r="F43" s="147">
        <v>4.8838356237420522</v>
      </c>
      <c r="G43" s="225">
        <f t="shared" si="0"/>
        <v>0</v>
      </c>
      <c r="H43" s="70">
        <v>-0.29399999999999998</v>
      </c>
      <c r="I43" s="70">
        <v>-8.7279999999999998</v>
      </c>
      <c r="J43" s="70">
        <v>-16.626000000000001</v>
      </c>
      <c r="K43" s="70">
        <v>25.648</v>
      </c>
      <c r="L43" s="148">
        <f t="shared" si="1"/>
        <v>0</v>
      </c>
      <c r="M43" s="150"/>
      <c r="N43" s="150"/>
      <c r="O43" s="150"/>
      <c r="P43" s="150"/>
      <c r="T43" s="150"/>
    </row>
    <row r="44" spans="1:20" x14ac:dyDescent="0.25">
      <c r="A44" s="7"/>
      <c r="B44" s="126" t="s">
        <v>82</v>
      </c>
      <c r="C44" s="116">
        <v>-0.69512828736971033</v>
      </c>
      <c r="D44" s="116">
        <v>-0.51937674790251698</v>
      </c>
      <c r="E44" s="116">
        <v>-1.8117226464392964</v>
      </c>
      <c r="F44" s="147">
        <v>3.0262276817115237</v>
      </c>
      <c r="G44" s="225">
        <f t="shared" si="0"/>
        <v>0</v>
      </c>
      <c r="H44" s="70">
        <v>-3.706</v>
      </c>
      <c r="I44" s="70">
        <v>-2.7690000000000001</v>
      </c>
      <c r="J44" s="70">
        <v>-9.6590000000000007</v>
      </c>
      <c r="K44" s="70">
        <v>16.134</v>
      </c>
      <c r="L44" s="148">
        <f t="shared" si="1"/>
        <v>0</v>
      </c>
      <c r="M44" s="150"/>
      <c r="N44" s="150"/>
      <c r="O44" s="150"/>
      <c r="P44" s="150"/>
      <c r="T44" s="150"/>
    </row>
    <row r="45" spans="1:20" x14ac:dyDescent="0.25">
      <c r="A45" s="7"/>
      <c r="B45" s="126" t="s">
        <v>83</v>
      </c>
      <c r="C45" s="116">
        <v>8.1283646290943132E-2</v>
      </c>
      <c r="D45" s="116">
        <v>-0.80143806653300032</v>
      </c>
      <c r="E45" s="116">
        <v>-3.2352759813365273</v>
      </c>
      <c r="F45" s="147">
        <v>3.9554304015785844</v>
      </c>
      <c r="G45" s="225">
        <f t="shared" si="0"/>
        <v>0</v>
      </c>
      <c r="H45" s="70">
        <v>0.435</v>
      </c>
      <c r="I45" s="70">
        <v>-4.2889999999999997</v>
      </c>
      <c r="J45" s="70">
        <v>-17.314</v>
      </c>
      <c r="K45" s="70">
        <v>21.167999999999999</v>
      </c>
      <c r="L45" s="148">
        <f t="shared" si="1"/>
        <v>0</v>
      </c>
      <c r="M45" s="150"/>
      <c r="N45" s="150"/>
      <c r="O45" s="150"/>
      <c r="P45" s="150"/>
      <c r="T45" s="150"/>
    </row>
    <row r="46" spans="1:20" x14ac:dyDescent="0.25">
      <c r="A46" s="7"/>
      <c r="B46" s="126" t="s">
        <v>84</v>
      </c>
      <c r="C46" s="116">
        <v>-0.35748697567498089</v>
      </c>
      <c r="D46" s="116">
        <v>-1.4519556368464952</v>
      </c>
      <c r="E46" s="116">
        <v>-1.4623122176213523</v>
      </c>
      <c r="F46" s="147">
        <v>3.2717548301428283</v>
      </c>
      <c r="G46" s="225">
        <f t="shared" si="0"/>
        <v>0</v>
      </c>
      <c r="H46" s="70">
        <v>-1.9330000000000001</v>
      </c>
      <c r="I46" s="70">
        <v>-7.851</v>
      </c>
      <c r="J46" s="70">
        <v>-7.907</v>
      </c>
      <c r="K46" s="70">
        <v>17.690999999999999</v>
      </c>
      <c r="L46" s="148">
        <f t="shared" si="1"/>
        <v>0</v>
      </c>
      <c r="M46" s="150"/>
      <c r="N46" s="150"/>
      <c r="O46" s="150"/>
      <c r="P46" s="150"/>
      <c r="T46" s="150"/>
    </row>
    <row r="47" spans="1:20" x14ac:dyDescent="0.25">
      <c r="A47" s="7"/>
      <c r="B47" s="126" t="s">
        <v>85</v>
      </c>
      <c r="C47" s="116">
        <v>-0.5864333406706288</v>
      </c>
      <c r="D47" s="116">
        <v>-0.98888399735857369</v>
      </c>
      <c r="E47" s="116">
        <v>-1.9273240883410374</v>
      </c>
      <c r="F47" s="147">
        <v>3.5026414263702401</v>
      </c>
      <c r="G47" s="225">
        <f t="shared" si="0"/>
        <v>0</v>
      </c>
      <c r="H47" s="70">
        <v>-3.1970000000000001</v>
      </c>
      <c r="I47" s="70">
        <v>-5.391</v>
      </c>
      <c r="J47" s="70">
        <v>-10.507</v>
      </c>
      <c r="K47" s="70">
        <v>19.094999999999999</v>
      </c>
      <c r="L47" s="148">
        <f t="shared" si="1"/>
        <v>0</v>
      </c>
      <c r="M47" s="150"/>
      <c r="N47" s="150"/>
      <c r="O47" s="150"/>
      <c r="P47" s="150"/>
      <c r="T47" s="150"/>
    </row>
    <row r="48" spans="1:20" x14ac:dyDescent="0.25">
      <c r="A48" s="7"/>
      <c r="B48" s="126" t="s">
        <v>86</v>
      </c>
      <c r="C48" s="116">
        <v>-1.2335677190713457</v>
      </c>
      <c r="D48" s="116">
        <v>-1.5327410416027116</v>
      </c>
      <c r="E48" s="116">
        <v>-1.8845921197710516</v>
      </c>
      <c r="F48" s="147">
        <v>4.6509008804451089</v>
      </c>
      <c r="G48" s="225">
        <f t="shared" si="0"/>
        <v>0</v>
      </c>
      <c r="H48" s="70">
        <v>-6.7910000000000004</v>
      </c>
      <c r="I48" s="70">
        <v>-8.4380000000000006</v>
      </c>
      <c r="J48" s="70">
        <v>-10.375</v>
      </c>
      <c r="K48" s="70">
        <v>25.603999999999999</v>
      </c>
      <c r="L48" s="148">
        <f t="shared" si="1"/>
        <v>0</v>
      </c>
      <c r="M48" s="150"/>
      <c r="N48" s="150"/>
      <c r="O48" s="150"/>
      <c r="P48" s="150"/>
      <c r="T48" s="150"/>
    </row>
    <row r="49" spans="1:20" x14ac:dyDescent="0.25">
      <c r="A49" s="7"/>
      <c r="B49" s="126" t="s">
        <v>87</v>
      </c>
      <c r="C49" s="116">
        <v>-0.6267329020332717</v>
      </c>
      <c r="D49" s="116">
        <v>-3.4838551293900188</v>
      </c>
      <c r="E49" s="116">
        <v>-1.8558297712569316</v>
      </c>
      <c r="F49" s="147">
        <v>5.9664178026802217</v>
      </c>
      <c r="G49" s="225">
        <f t="shared" si="0"/>
        <v>0</v>
      </c>
      <c r="H49" s="70">
        <v>-3.472</v>
      </c>
      <c r="I49" s="70">
        <v>-19.3</v>
      </c>
      <c r="J49" s="70">
        <v>-10.281000000000001</v>
      </c>
      <c r="K49" s="70">
        <v>33.052999999999997</v>
      </c>
      <c r="L49" s="148">
        <f t="shared" si="1"/>
        <v>0</v>
      </c>
      <c r="M49" s="150"/>
      <c r="N49" s="150"/>
      <c r="O49" s="150"/>
      <c r="P49" s="150"/>
      <c r="T49" s="150"/>
    </row>
    <row r="50" spans="1:20" x14ac:dyDescent="0.25">
      <c r="A50" s="7"/>
      <c r="B50" s="126" t="s">
        <v>88</v>
      </c>
      <c r="C50" s="116">
        <v>0.23975258246508435</v>
      </c>
      <c r="D50" s="116">
        <v>-0.11889589033770354</v>
      </c>
      <c r="E50" s="116">
        <v>-2.4522500200536546</v>
      </c>
      <c r="F50" s="147">
        <v>2.331393327926274</v>
      </c>
      <c r="G50" s="225">
        <f t="shared" si="0"/>
        <v>0</v>
      </c>
      <c r="H50" s="70">
        <v>1.345</v>
      </c>
      <c r="I50" s="70">
        <v>-0.66700000000000004</v>
      </c>
      <c r="J50" s="70">
        <v>-13.757</v>
      </c>
      <c r="K50" s="70">
        <v>13.079000000000001</v>
      </c>
      <c r="L50" s="148">
        <f t="shared" si="1"/>
        <v>0</v>
      </c>
      <c r="M50" s="150"/>
      <c r="N50" s="150"/>
      <c r="O50" s="150"/>
      <c r="P50" s="150"/>
      <c r="T50" s="150"/>
    </row>
    <row r="51" spans="1:20" x14ac:dyDescent="0.25">
      <c r="A51" s="7"/>
      <c r="B51" s="126" t="s">
        <v>89</v>
      </c>
      <c r="C51" s="116">
        <v>-0.23949204424699225</v>
      </c>
      <c r="D51" s="116">
        <v>0.42611608755645858</v>
      </c>
      <c r="E51" s="116">
        <v>-2.5022424843731002</v>
      </c>
      <c r="F51" s="147">
        <v>2.3156184410636338</v>
      </c>
      <c r="G51" s="225">
        <f t="shared" si="0"/>
        <v>0</v>
      </c>
      <c r="H51" s="70">
        <v>-1.359</v>
      </c>
      <c r="I51" s="70">
        <v>2.4180000000000001</v>
      </c>
      <c r="J51" s="70">
        <v>-14.199</v>
      </c>
      <c r="K51" s="70">
        <v>13.14</v>
      </c>
      <c r="L51" s="148">
        <f t="shared" si="1"/>
        <v>0</v>
      </c>
      <c r="M51" s="150"/>
      <c r="N51" s="150"/>
      <c r="O51" s="150"/>
      <c r="P51" s="150"/>
      <c r="T51" s="150"/>
    </row>
    <row r="52" spans="1:20" x14ac:dyDescent="0.25">
      <c r="A52" s="7"/>
      <c r="B52" s="126" t="s">
        <v>90</v>
      </c>
      <c r="C52" s="116">
        <v>-7.642003677276081E-2</v>
      </c>
      <c r="D52" s="116">
        <v>3.162843035698323</v>
      </c>
      <c r="E52" s="116">
        <v>-2.7204481439220656</v>
      </c>
      <c r="F52" s="147">
        <v>-0.36597485500349675</v>
      </c>
      <c r="G52" s="225">
        <f t="shared" si="0"/>
        <v>0</v>
      </c>
      <c r="H52" s="70">
        <v>-0.436</v>
      </c>
      <c r="I52" s="70">
        <v>18.045000000000002</v>
      </c>
      <c r="J52" s="70">
        <v>-15.521000000000001</v>
      </c>
      <c r="K52" s="70">
        <v>-2.0880000000000001</v>
      </c>
      <c r="L52" s="148">
        <f t="shared" si="1"/>
        <v>0</v>
      </c>
      <c r="M52" s="150"/>
      <c r="N52" s="150"/>
      <c r="O52" s="150"/>
      <c r="P52" s="150"/>
      <c r="T52" s="150"/>
    </row>
    <row r="53" spans="1:20" x14ac:dyDescent="0.25">
      <c r="A53" s="7"/>
      <c r="B53" s="126" t="s">
        <v>91</v>
      </c>
      <c r="C53" s="116">
        <v>1.0368900449616976</v>
      </c>
      <c r="D53" s="116">
        <v>0.66950917558302692</v>
      </c>
      <c r="E53" s="116">
        <v>-4.0149097637499667</v>
      </c>
      <c r="F53" s="147">
        <v>2.3072591241854603</v>
      </c>
      <c r="G53" s="225">
        <f t="shared" si="0"/>
        <v>1.2514190197818742E-3</v>
      </c>
      <c r="H53" s="70">
        <v>5.8</v>
      </c>
      <c r="I53" s="70">
        <v>3.7450000000000001</v>
      </c>
      <c r="J53" s="70">
        <v>-22.457999999999998</v>
      </c>
      <c r="K53" s="70">
        <v>12.906000000000001</v>
      </c>
      <c r="L53" s="148">
        <f t="shared" si="1"/>
        <v>6.9999999999978968E-3</v>
      </c>
      <c r="M53" s="150"/>
      <c r="N53" s="150"/>
      <c r="O53" s="150"/>
      <c r="P53" s="150"/>
      <c r="T53" s="150"/>
    </row>
    <row r="54" spans="1:20" x14ac:dyDescent="0.25">
      <c r="A54" s="7"/>
      <c r="B54" s="126" t="s">
        <v>92</v>
      </c>
      <c r="C54" s="116">
        <v>18.381346017575904</v>
      </c>
      <c r="D54" s="116">
        <v>5.1283489912245157</v>
      </c>
      <c r="E54" s="116">
        <v>-25.243180453299587</v>
      </c>
      <c r="F54" s="147">
        <v>1.7334854444991656</v>
      </c>
      <c r="G54" s="225">
        <f t="shared" si="0"/>
        <v>0</v>
      </c>
      <c r="H54" s="70">
        <v>88.456000000000003</v>
      </c>
      <c r="I54" s="70">
        <v>24.678999999999998</v>
      </c>
      <c r="J54" s="70">
        <v>-121.477</v>
      </c>
      <c r="K54" s="70">
        <v>8.3420000000000005</v>
      </c>
      <c r="L54" s="148">
        <f t="shared" si="1"/>
        <v>0</v>
      </c>
      <c r="M54" s="150"/>
      <c r="N54" s="150"/>
      <c r="O54" s="150"/>
      <c r="P54" s="150"/>
      <c r="T54" s="150"/>
    </row>
    <row r="55" spans="1:20" x14ac:dyDescent="0.25">
      <c r="A55" s="7"/>
      <c r="B55" s="126" t="s">
        <v>93</v>
      </c>
      <c r="C55" s="116">
        <v>7.2335046518815735</v>
      </c>
      <c r="D55" s="116">
        <v>4.3809305243754153</v>
      </c>
      <c r="E55" s="116">
        <v>-13.556991332897788</v>
      </c>
      <c r="F55" s="147">
        <v>1.9425561566407992</v>
      </c>
      <c r="G55" s="225">
        <f t="shared" si="0"/>
        <v>0</v>
      </c>
      <c r="H55" s="70">
        <v>39.084000000000003</v>
      </c>
      <c r="I55" s="70">
        <v>23.670999999999999</v>
      </c>
      <c r="J55" s="70">
        <v>-73.251000000000005</v>
      </c>
      <c r="K55" s="70">
        <v>10.496</v>
      </c>
      <c r="L55" s="148">
        <f t="shared" si="1"/>
        <v>0</v>
      </c>
      <c r="M55" s="150"/>
      <c r="N55" s="150"/>
      <c r="O55" s="150"/>
      <c r="P55" s="150"/>
      <c r="T55" s="150"/>
    </row>
    <row r="56" spans="1:20" x14ac:dyDescent="0.25">
      <c r="A56" s="7"/>
      <c r="B56" s="126" t="s">
        <v>94</v>
      </c>
      <c r="C56" s="116">
        <v>7.3009089588440057</v>
      </c>
      <c r="D56" s="116">
        <v>-2.4767887254532379</v>
      </c>
      <c r="E56" s="116">
        <v>-10.170114874891736</v>
      </c>
      <c r="F56" s="147">
        <v>5.345994641500968</v>
      </c>
      <c r="G56" s="225">
        <f t="shared" si="0"/>
        <v>0</v>
      </c>
      <c r="H56" s="70">
        <v>39.703000000000003</v>
      </c>
      <c r="I56" s="70">
        <v>-13.468999999999999</v>
      </c>
      <c r="J56" s="70">
        <v>-55.305999999999997</v>
      </c>
      <c r="K56" s="70">
        <v>29.071999999999999</v>
      </c>
      <c r="L56" s="148">
        <f t="shared" si="1"/>
        <v>0</v>
      </c>
      <c r="M56" s="150"/>
      <c r="N56" s="150"/>
      <c r="O56" s="150"/>
      <c r="P56" s="150"/>
      <c r="T56" s="150"/>
    </row>
    <row r="57" spans="1:20" x14ac:dyDescent="0.25">
      <c r="A57" s="7"/>
      <c r="B57" s="126" t="s">
        <v>95</v>
      </c>
      <c r="C57" s="116">
        <v>11.888295335304779</v>
      </c>
      <c r="D57" s="116">
        <v>-0.28177488828065944</v>
      </c>
      <c r="E57" s="116">
        <v>-12.311874903690224</v>
      </c>
      <c r="F57" s="147">
        <v>0.70535445666610408</v>
      </c>
      <c r="G57" s="225">
        <f t="shared" si="0"/>
        <v>1.5543122344752192E-15</v>
      </c>
      <c r="H57" s="70">
        <v>64.805000000000007</v>
      </c>
      <c r="I57" s="70">
        <v>-1.536</v>
      </c>
      <c r="J57" s="70">
        <v>-67.114000000000004</v>
      </c>
      <c r="K57" s="70">
        <v>3.8450000000000002</v>
      </c>
      <c r="L57" s="148">
        <f t="shared" si="1"/>
        <v>0</v>
      </c>
      <c r="M57" s="150"/>
      <c r="N57" s="150"/>
      <c r="O57" s="150"/>
      <c r="P57" s="150"/>
      <c r="T57" s="150"/>
    </row>
    <row r="58" spans="1:20" x14ac:dyDescent="0.25">
      <c r="A58" s="7"/>
      <c r="B58" s="126" t="s">
        <v>96</v>
      </c>
      <c r="C58" s="116">
        <v>4.9132301287888644</v>
      </c>
      <c r="D58" s="116">
        <v>5.0447075148519147</v>
      </c>
      <c r="E58" s="116">
        <v>-9.1435757339230737</v>
      </c>
      <c r="F58" s="147">
        <v>-0.81436190971770517</v>
      </c>
      <c r="G58" s="225">
        <f t="shared" si="0"/>
        <v>0</v>
      </c>
      <c r="H58" s="70">
        <v>28.326000000000001</v>
      </c>
      <c r="I58" s="70">
        <v>29.084</v>
      </c>
      <c r="J58" s="70">
        <v>-52.715000000000003</v>
      </c>
      <c r="K58" s="70">
        <v>-4.6950000000000003</v>
      </c>
      <c r="L58" s="148">
        <f t="shared" si="1"/>
        <v>7.1054273576010019E-15</v>
      </c>
      <c r="M58" s="150"/>
      <c r="N58" s="150"/>
      <c r="O58" s="150"/>
      <c r="P58" s="150"/>
      <c r="T58" s="150"/>
    </row>
    <row r="59" spans="1:20" x14ac:dyDescent="0.25">
      <c r="A59" s="7"/>
      <c r="B59" s="126" t="s">
        <v>97</v>
      </c>
      <c r="C59" s="116">
        <v>2.4504519096281974</v>
      </c>
      <c r="D59" s="116">
        <v>1.1633066591081258</v>
      </c>
      <c r="E59" s="116">
        <v>-6.3717823477704831</v>
      </c>
      <c r="F59" s="147">
        <v>2.7580237790341604</v>
      </c>
      <c r="G59" s="225">
        <f t="shared" si="0"/>
        <v>0</v>
      </c>
      <c r="H59" s="70">
        <v>14.523999999999999</v>
      </c>
      <c r="I59" s="70">
        <v>6.8949999999999996</v>
      </c>
      <c r="J59" s="70">
        <v>-37.765999999999998</v>
      </c>
      <c r="K59" s="70">
        <v>16.347000000000001</v>
      </c>
      <c r="L59" s="148">
        <f t="shared" si="1"/>
        <v>0</v>
      </c>
      <c r="M59" s="150"/>
      <c r="N59" s="150"/>
      <c r="O59" s="150"/>
      <c r="P59" s="150"/>
      <c r="T59" s="150"/>
    </row>
    <row r="60" spans="1:20" x14ac:dyDescent="0.25">
      <c r="A60" s="7"/>
      <c r="B60" s="126" t="s">
        <v>98</v>
      </c>
      <c r="C60" s="116">
        <v>0.16011730976616956</v>
      </c>
      <c r="D60" s="116">
        <v>2.2566019621768065</v>
      </c>
      <c r="E60" s="116">
        <v>-3.1237670638365027</v>
      </c>
      <c r="F60" s="147">
        <v>0.70704779189352696</v>
      </c>
      <c r="G60" s="225">
        <f t="shared" si="0"/>
        <v>0</v>
      </c>
      <c r="H60" s="70">
        <v>0.97399999999999998</v>
      </c>
      <c r="I60" s="70">
        <v>13.727</v>
      </c>
      <c r="J60" s="70">
        <v>-19.001999999999999</v>
      </c>
      <c r="K60" s="70">
        <v>4.3010000000000002</v>
      </c>
      <c r="L60" s="148">
        <f t="shared" si="1"/>
        <v>0</v>
      </c>
      <c r="M60" s="150"/>
      <c r="N60" s="150"/>
      <c r="O60" s="150"/>
      <c r="P60" s="150"/>
      <c r="T60" s="150"/>
    </row>
    <row r="61" spans="1:20" x14ac:dyDescent="0.25">
      <c r="A61" s="7"/>
      <c r="B61" s="126" t="s">
        <v>99</v>
      </c>
      <c r="C61" s="70">
        <v>0.84267769263612058</v>
      </c>
      <c r="D61" s="70">
        <v>-1.7197045331244563</v>
      </c>
      <c r="E61" s="70">
        <v>-5.0624865572844273</v>
      </c>
      <c r="F61" s="70">
        <v>5.939513397772763</v>
      </c>
      <c r="G61" s="225">
        <f t="shared" si="0"/>
        <v>0</v>
      </c>
      <c r="H61" s="70">
        <v>5.25</v>
      </c>
      <c r="I61" s="70">
        <v>-10.714</v>
      </c>
      <c r="J61" s="70">
        <v>-31.54</v>
      </c>
      <c r="K61" s="70">
        <v>37.003999999999998</v>
      </c>
      <c r="L61" s="148">
        <f t="shared" si="1"/>
        <v>0</v>
      </c>
      <c r="M61" s="150"/>
      <c r="N61" s="150"/>
      <c r="O61" s="150"/>
      <c r="P61" s="150"/>
      <c r="T61" s="150"/>
    </row>
    <row r="62" spans="1:20" x14ac:dyDescent="0.25">
      <c r="A62" s="7"/>
      <c r="B62" s="126" t="s">
        <v>100</v>
      </c>
      <c r="C62" s="70">
        <v>-1.7153324062675488</v>
      </c>
      <c r="D62" s="70">
        <v>3.6035120046676563</v>
      </c>
      <c r="E62" s="70">
        <v>-4.4902728482870922</v>
      </c>
      <c r="F62" s="70">
        <v>2.6020932498869844</v>
      </c>
      <c r="G62" s="225">
        <f t="shared" si="0"/>
        <v>0</v>
      </c>
      <c r="H62" s="70">
        <v>-10.965999999999999</v>
      </c>
      <c r="I62" s="70">
        <v>23.036999999999999</v>
      </c>
      <c r="J62" s="70">
        <v>-28.706</v>
      </c>
      <c r="K62" s="70">
        <v>16.635000000000002</v>
      </c>
      <c r="L62" s="148">
        <f t="shared" si="1"/>
        <v>0</v>
      </c>
      <c r="M62" s="150"/>
      <c r="N62" s="150"/>
      <c r="O62" s="150"/>
      <c r="P62" s="150"/>
      <c r="T62" s="150"/>
    </row>
    <row r="63" spans="1:20" x14ac:dyDescent="0.25">
      <c r="A63" s="7"/>
      <c r="B63" s="126" t="s">
        <v>101</v>
      </c>
      <c r="C63" s="70">
        <v>-0.9941051899857436</v>
      </c>
      <c r="D63" s="70">
        <v>4.1617389458855518</v>
      </c>
      <c r="E63" s="70">
        <v>-3.6548437252492567</v>
      </c>
      <c r="F63" s="70">
        <v>0.4872099693494486</v>
      </c>
      <c r="G63" s="225">
        <f t="shared" si="0"/>
        <v>0</v>
      </c>
      <c r="H63" s="70">
        <v>-6.4640000000000004</v>
      </c>
      <c r="I63" s="70">
        <v>27.061</v>
      </c>
      <c r="J63" s="70">
        <v>-23.765000000000001</v>
      </c>
      <c r="K63" s="70">
        <v>3.1680000000000001</v>
      </c>
      <c r="L63" s="148">
        <f t="shared" si="1"/>
        <v>0</v>
      </c>
      <c r="M63" s="150"/>
      <c r="N63" s="150"/>
      <c r="O63" s="150"/>
      <c r="P63" s="150"/>
      <c r="T63" s="150"/>
    </row>
    <row r="64" spans="1:20" x14ac:dyDescent="0.25">
      <c r="A64" s="7"/>
      <c r="B64" s="126" t="s">
        <v>102</v>
      </c>
      <c r="C64" s="70">
        <v>-2.6422444940148919</v>
      </c>
      <c r="D64" s="70">
        <v>8.3647886249287495</v>
      </c>
      <c r="E64" s="70">
        <v>-5.1308405482272086</v>
      </c>
      <c r="F64" s="70">
        <v>-0.59170358268664847</v>
      </c>
      <c r="G64" s="225">
        <f t="shared" si="0"/>
        <v>0</v>
      </c>
      <c r="H64" s="70">
        <v>-17.661000000000001</v>
      </c>
      <c r="I64" s="70">
        <v>55.911000000000001</v>
      </c>
      <c r="J64" s="70">
        <v>-34.295000000000002</v>
      </c>
      <c r="K64" s="70">
        <v>-3.9550000000000001</v>
      </c>
      <c r="L64" s="148">
        <f t="shared" si="1"/>
        <v>0</v>
      </c>
      <c r="M64" s="150"/>
      <c r="N64" s="150"/>
      <c r="O64" s="150"/>
      <c r="P64" s="150"/>
      <c r="T64" s="150"/>
    </row>
    <row r="65" spans="1:20" x14ac:dyDescent="0.25">
      <c r="A65" s="7"/>
      <c r="B65" s="126" t="s">
        <v>103</v>
      </c>
      <c r="C65" s="70">
        <v>-0.52812598462295013</v>
      </c>
      <c r="D65" s="70">
        <v>4.6047226565605701</v>
      </c>
      <c r="E65" s="70">
        <v>-7.3046876150260456</v>
      </c>
      <c r="F65" s="70">
        <v>3.2280909430884255</v>
      </c>
      <c r="G65" s="225">
        <f t="shared" si="0"/>
        <v>0</v>
      </c>
      <c r="H65" s="226">
        <v>-3.5870000000000002</v>
      </c>
      <c r="I65" s="70">
        <v>31.274999999999999</v>
      </c>
      <c r="J65" s="70">
        <v>-49.613</v>
      </c>
      <c r="K65" s="70">
        <v>21.925000000000001</v>
      </c>
      <c r="L65" s="148">
        <f t="shared" si="1"/>
        <v>0</v>
      </c>
      <c r="M65" s="150"/>
      <c r="N65" s="150"/>
      <c r="O65" s="150"/>
      <c r="P65" s="150"/>
      <c r="T65" s="150"/>
    </row>
    <row r="66" spans="1:20" x14ac:dyDescent="0.25">
      <c r="A66" s="7"/>
      <c r="B66" s="126" t="s">
        <v>104</v>
      </c>
      <c r="C66" s="70">
        <v>0.27681992059372001</v>
      </c>
      <c r="D66" s="70">
        <v>1.1678929494299743</v>
      </c>
      <c r="E66" s="70">
        <v>-6.5988706791296048</v>
      </c>
      <c r="F66" s="70">
        <v>5.1541578091059108</v>
      </c>
      <c r="G66" s="225">
        <f t="shared" si="0"/>
        <v>0</v>
      </c>
      <c r="H66" s="226">
        <v>1.909</v>
      </c>
      <c r="I66" s="70">
        <v>8.0540000000000003</v>
      </c>
      <c r="J66" s="70">
        <v>-45.506999999999998</v>
      </c>
      <c r="K66" s="70">
        <v>35.543999999999997</v>
      </c>
      <c r="L66" s="148">
        <f t="shared" si="1"/>
        <v>0</v>
      </c>
      <c r="M66" s="150"/>
      <c r="N66" s="150"/>
      <c r="O66" s="150"/>
      <c r="P66" s="150"/>
      <c r="T66" s="150"/>
    </row>
    <row r="67" spans="1:20" x14ac:dyDescent="0.25">
      <c r="A67" s="7"/>
      <c r="B67" s="126" t="s">
        <v>105</v>
      </c>
      <c r="C67" s="70">
        <v>0.75903847430380589</v>
      </c>
      <c r="D67" s="70">
        <v>1.7867707963554609</v>
      </c>
      <c r="E67" s="70">
        <v>-4.9279779272766104</v>
      </c>
      <c r="F67" s="70">
        <v>2.3821686566173437</v>
      </c>
      <c r="G67" s="225">
        <f t="shared" si="0"/>
        <v>0</v>
      </c>
      <c r="H67" s="226">
        <v>5.26</v>
      </c>
      <c r="I67" s="70">
        <v>12.382</v>
      </c>
      <c r="J67" s="70">
        <v>-34.15</v>
      </c>
      <c r="K67" s="70">
        <v>16.507999999999999</v>
      </c>
      <c r="L67" s="148">
        <f t="shared" si="1"/>
        <v>0</v>
      </c>
      <c r="M67" s="150"/>
      <c r="N67" s="150"/>
      <c r="O67" s="150"/>
      <c r="P67" s="150"/>
      <c r="T67" s="150"/>
    </row>
    <row r="68" spans="1:20" x14ac:dyDescent="0.25">
      <c r="A68" s="7"/>
      <c r="B68" s="126" t="s">
        <v>106</v>
      </c>
      <c r="C68" s="70">
        <v>0.53406144531193422</v>
      </c>
      <c r="D68" s="70">
        <v>-2.5638425771687512E-2</v>
      </c>
      <c r="E68" s="70">
        <v>-4.7493373118762401</v>
      </c>
      <c r="F68" s="70">
        <v>4.2409142923359937</v>
      </c>
      <c r="G68" s="225">
        <f t="shared" si="0"/>
        <v>0</v>
      </c>
      <c r="H68" s="226">
        <v>3.6869999999999998</v>
      </c>
      <c r="I68" s="70">
        <v>-0.17699999999999999</v>
      </c>
      <c r="J68" s="70">
        <v>-32.787999999999997</v>
      </c>
      <c r="K68" s="70">
        <v>29.277999999999999</v>
      </c>
      <c r="L68" s="148">
        <f t="shared" si="1"/>
        <v>0</v>
      </c>
      <c r="M68" s="150"/>
      <c r="N68" s="150"/>
      <c r="O68" s="150"/>
      <c r="P68" s="150"/>
      <c r="T68" s="150"/>
    </row>
    <row r="69" spans="1:20" x14ac:dyDescent="0.25">
      <c r="A69" s="7"/>
      <c r="B69" s="126" t="s">
        <v>107</v>
      </c>
      <c r="C69" s="70">
        <v>2.5066662884375353</v>
      </c>
      <c r="D69" s="70">
        <v>0.5077726086463179</v>
      </c>
      <c r="E69" s="70">
        <v>-6.3979348689436062</v>
      </c>
      <c r="F69" s="70">
        <v>3.2846363326903436</v>
      </c>
      <c r="G69" s="225">
        <f t="shared" si="0"/>
        <v>9.885963916940943E-2</v>
      </c>
      <c r="H69" s="226">
        <v>17.672999999999998</v>
      </c>
      <c r="I69" s="70">
        <v>3.58</v>
      </c>
      <c r="J69" s="70">
        <v>-45.107999999999997</v>
      </c>
      <c r="K69" s="70">
        <v>23.158000000000001</v>
      </c>
      <c r="L69" s="148">
        <f t="shared" si="1"/>
        <v>0.69699999999999562</v>
      </c>
      <c r="M69" s="150"/>
      <c r="N69" s="150"/>
      <c r="O69" s="150"/>
      <c r="P69" s="150"/>
      <c r="T69" s="150"/>
    </row>
    <row r="70" spans="1:20" x14ac:dyDescent="0.25">
      <c r="A70" s="7"/>
      <c r="B70" s="126" t="s">
        <v>108</v>
      </c>
      <c r="C70" s="70">
        <v>2.4903739531151614</v>
      </c>
      <c r="D70" s="70">
        <v>-0.27262190670953568</v>
      </c>
      <c r="E70" s="70">
        <v>-5.6194660678364663</v>
      </c>
      <c r="F70" s="70">
        <v>3.3026674319211415</v>
      </c>
      <c r="G70" s="225">
        <f t="shared" ref="G70:G92" si="2">0-SUM(C70:F70)</f>
        <v>9.9046589509698801E-2</v>
      </c>
      <c r="H70" s="226">
        <v>17.876999999999999</v>
      </c>
      <c r="I70" s="70">
        <v>-1.9570000000000001</v>
      </c>
      <c r="J70" s="70">
        <v>-40.338999999999999</v>
      </c>
      <c r="K70" s="70">
        <v>23.707999999999998</v>
      </c>
      <c r="L70" s="148">
        <f t="shared" ref="L70:L92" si="3">0-SUM(H70:K70)</f>
        <v>0.71100000000000207</v>
      </c>
      <c r="M70" s="150"/>
      <c r="N70" s="150"/>
      <c r="O70" s="150"/>
      <c r="P70" s="150"/>
      <c r="T70" s="150"/>
    </row>
    <row r="71" spans="1:20" x14ac:dyDescent="0.25">
      <c r="A71" s="7"/>
      <c r="B71" s="126" t="s">
        <v>109</v>
      </c>
      <c r="C71" s="70">
        <v>2.8474293964074282</v>
      </c>
      <c r="D71" s="70">
        <v>0.81924548873931258</v>
      </c>
      <c r="E71" s="70">
        <v>-5.9099090214255776</v>
      </c>
      <c r="F71" s="70">
        <v>2.1214636565113647</v>
      </c>
      <c r="G71" s="225">
        <f t="shared" si="2"/>
        <v>0.12177047976747213</v>
      </c>
      <c r="H71" s="226">
        <v>20.788</v>
      </c>
      <c r="I71" s="70">
        <v>5.9809999999999999</v>
      </c>
      <c r="J71" s="70">
        <v>-43.146000000000001</v>
      </c>
      <c r="K71" s="70">
        <v>15.488</v>
      </c>
      <c r="L71" s="148">
        <f t="shared" si="3"/>
        <v>0.8890000000000029</v>
      </c>
      <c r="M71" s="150"/>
      <c r="N71" s="150"/>
      <c r="O71" s="150"/>
      <c r="P71" s="150"/>
      <c r="T71" s="150"/>
    </row>
    <row r="72" spans="1:20" x14ac:dyDescent="0.25">
      <c r="A72" s="7"/>
      <c r="B72" s="126" t="s">
        <v>110</v>
      </c>
      <c r="C72" s="70">
        <v>3.4056323815827305</v>
      </c>
      <c r="D72" s="70">
        <v>-0.95875807667894564</v>
      </c>
      <c r="E72" s="70">
        <v>-6.3440244782370465</v>
      </c>
      <c r="F72" s="70">
        <v>3.7453818485626087</v>
      </c>
      <c r="G72" s="225">
        <f t="shared" si="2"/>
        <v>0.15176832477065272</v>
      </c>
      <c r="H72" s="226">
        <v>25.11</v>
      </c>
      <c r="I72" s="70">
        <v>-7.069</v>
      </c>
      <c r="J72" s="70">
        <v>-46.774999999999999</v>
      </c>
      <c r="K72" s="70">
        <v>27.614999999999998</v>
      </c>
      <c r="L72" s="148">
        <f t="shared" si="3"/>
        <v>1.1189999999999998</v>
      </c>
      <c r="M72" s="150"/>
      <c r="N72" s="150"/>
      <c r="O72" s="150"/>
      <c r="P72" s="150"/>
      <c r="T72" s="150"/>
    </row>
    <row r="73" spans="1:20" x14ac:dyDescent="0.25">
      <c r="A73" s="7"/>
      <c r="B73" s="126" t="s">
        <v>111</v>
      </c>
      <c r="C73" s="70">
        <v>3.6505713548124756</v>
      </c>
      <c r="D73" s="70">
        <v>-1.2301885076289878</v>
      </c>
      <c r="E73" s="70">
        <v>-5.5726990980579423</v>
      </c>
      <c r="F73" s="70">
        <v>3.1729152538292076</v>
      </c>
      <c r="G73" s="227">
        <f t="shared" si="2"/>
        <v>-2.0599002954753143E-2</v>
      </c>
      <c r="H73" s="70">
        <v>27.292000000000002</v>
      </c>
      <c r="I73" s="70">
        <v>-9.1969999999999992</v>
      </c>
      <c r="J73" s="70">
        <v>-41.661999999999999</v>
      </c>
      <c r="K73" s="70">
        <v>23.721</v>
      </c>
      <c r="L73" s="148">
        <f t="shared" si="3"/>
        <v>-0.15400000000000347</v>
      </c>
      <c r="M73" s="150"/>
      <c r="N73" s="150"/>
      <c r="O73" s="150"/>
      <c r="P73" s="150"/>
      <c r="T73" s="150"/>
    </row>
    <row r="74" spans="1:20" x14ac:dyDescent="0.25">
      <c r="A74" s="7"/>
      <c r="B74" s="126" t="s">
        <v>112</v>
      </c>
      <c r="C74" s="70">
        <v>2.5655237734920568</v>
      </c>
      <c r="D74" s="70">
        <v>2.910256936002123E-3</v>
      </c>
      <c r="E74" s="70">
        <v>-5.8730307812584748</v>
      </c>
      <c r="F74" s="70">
        <v>3.47418535955563</v>
      </c>
      <c r="G74" s="225">
        <f t="shared" si="2"/>
        <v>-0.16958860872521431</v>
      </c>
      <c r="H74" s="70">
        <v>19.393999999999998</v>
      </c>
      <c r="I74" s="70">
        <v>2.1999999999999999E-2</v>
      </c>
      <c r="J74" s="70">
        <v>-44.396999999999998</v>
      </c>
      <c r="K74" s="70">
        <v>26.263000000000002</v>
      </c>
      <c r="L74" s="148">
        <f t="shared" si="3"/>
        <v>-1.282</v>
      </c>
      <c r="M74" s="150"/>
      <c r="N74" s="150"/>
      <c r="O74" s="150"/>
      <c r="P74" s="150"/>
      <c r="T74" s="150"/>
    </row>
    <row r="75" spans="1:20" x14ac:dyDescent="0.25">
      <c r="A75" s="7"/>
      <c r="B75" s="126" t="s">
        <v>113</v>
      </c>
      <c r="C75" s="70">
        <v>2.0730645804056462</v>
      </c>
      <c r="D75" s="70">
        <v>6.0825974788682173E-2</v>
      </c>
      <c r="E75" s="70">
        <v>-4.7956824045137072</v>
      </c>
      <c r="F75" s="70">
        <v>2.8812372842250982</v>
      </c>
      <c r="G75" s="225">
        <f t="shared" si="2"/>
        <v>-0.21944543490571933</v>
      </c>
      <c r="H75" s="70">
        <v>15.814</v>
      </c>
      <c r="I75" s="70">
        <v>0.46400000000000002</v>
      </c>
      <c r="J75" s="70">
        <v>-36.582999999999998</v>
      </c>
      <c r="K75" s="70">
        <v>21.978999999999999</v>
      </c>
      <c r="L75" s="148">
        <f t="shared" si="3"/>
        <v>-1.6739999999999995</v>
      </c>
      <c r="M75" s="150"/>
      <c r="N75" s="150"/>
      <c r="O75" s="150"/>
      <c r="P75" s="150"/>
      <c r="T75" s="150"/>
    </row>
    <row r="76" spans="1:20" x14ac:dyDescent="0.25">
      <c r="A76" s="7"/>
      <c r="B76" s="126" t="s">
        <v>114</v>
      </c>
      <c r="C76" s="70">
        <v>2.133872241289001</v>
      </c>
      <c r="D76" s="70">
        <v>-1.1185988393152637</v>
      </c>
      <c r="E76" s="70">
        <v>-4.4448179622086883</v>
      </c>
      <c r="F76" s="70">
        <v>3.6490948274738821</v>
      </c>
      <c r="G76" s="225">
        <f t="shared" si="2"/>
        <v>-0.21955026723893134</v>
      </c>
      <c r="H76" s="70">
        <v>16.376999999999999</v>
      </c>
      <c r="I76" s="70">
        <v>-8.5850000000000009</v>
      </c>
      <c r="J76" s="70">
        <v>-34.113</v>
      </c>
      <c r="K76" s="70">
        <v>28.006</v>
      </c>
      <c r="L76" s="148">
        <f t="shared" si="3"/>
        <v>-1.6849999999999987</v>
      </c>
      <c r="M76" s="150"/>
      <c r="N76" s="150"/>
      <c r="O76" s="150"/>
      <c r="P76" s="150"/>
      <c r="T76" s="150"/>
    </row>
    <row r="77" spans="1:20" x14ac:dyDescent="0.25">
      <c r="A77" s="7"/>
      <c r="B77" s="126" t="s">
        <v>115</v>
      </c>
      <c r="C77" s="70">
        <v>2.3184907903468384</v>
      </c>
      <c r="D77" s="70">
        <v>-1.4947591193373253</v>
      </c>
      <c r="E77" s="70">
        <v>-3.6409452288897941</v>
      </c>
      <c r="F77" s="70">
        <v>3.0370461469086361</v>
      </c>
      <c r="G77" s="225">
        <f t="shared" si="2"/>
        <v>-0.21983258902835479</v>
      </c>
      <c r="H77" s="70">
        <v>18.097999999999999</v>
      </c>
      <c r="I77" s="70">
        <v>-11.667999999999999</v>
      </c>
      <c r="J77" s="70">
        <v>-28.420999999999999</v>
      </c>
      <c r="K77" s="70">
        <v>23.707000000000001</v>
      </c>
      <c r="L77" s="148">
        <f t="shared" si="3"/>
        <v>-1.7160000000000011</v>
      </c>
      <c r="M77" s="150"/>
      <c r="N77" s="150"/>
      <c r="O77" s="150"/>
      <c r="P77" s="150"/>
      <c r="T77" s="150"/>
    </row>
    <row r="78" spans="1:20" x14ac:dyDescent="0.25">
      <c r="A78" s="7"/>
      <c r="B78" s="126" t="s">
        <v>116</v>
      </c>
      <c r="C78" s="70">
        <v>1.9467882190969314</v>
      </c>
      <c r="D78" s="70">
        <v>2.2087977814191948</v>
      </c>
      <c r="E78" s="70">
        <v>-6.9365609455028991</v>
      </c>
      <c r="F78" s="70">
        <v>3.0009007244838424</v>
      </c>
      <c r="G78" s="225">
        <f t="shared" si="2"/>
        <v>-0.21992577949706948</v>
      </c>
      <c r="H78" s="70">
        <v>15.314000700000001</v>
      </c>
      <c r="I78" s="70">
        <v>17.375043899999998</v>
      </c>
      <c r="J78" s="70">
        <v>-54.564999999999998</v>
      </c>
      <c r="K78" s="70">
        <v>23.605955360000003</v>
      </c>
      <c r="L78" s="148">
        <f t="shared" si="3"/>
        <v>-1.7299999600000078</v>
      </c>
      <c r="M78" s="150"/>
      <c r="N78" s="150"/>
      <c r="O78" s="150"/>
      <c r="P78" s="150"/>
      <c r="T78" s="150"/>
    </row>
    <row r="79" spans="1:20" x14ac:dyDescent="0.25">
      <c r="A79" s="7"/>
      <c r="B79" s="126" t="s">
        <v>117</v>
      </c>
      <c r="C79" s="70">
        <v>1.1692937488594586</v>
      </c>
      <c r="D79" s="70">
        <v>-0.99882364024664483</v>
      </c>
      <c r="E79" s="70">
        <v>-3.24747977729078</v>
      </c>
      <c r="F79" s="70">
        <v>3.2942868360498716</v>
      </c>
      <c r="G79" s="225">
        <f t="shared" si="2"/>
        <v>-0.21727716737190539</v>
      </c>
      <c r="H79" s="70">
        <v>9.2831422700000008</v>
      </c>
      <c r="I79" s="70">
        <v>-7.9297627000000004</v>
      </c>
      <c r="J79" s="70">
        <v>-25.782073</v>
      </c>
      <c r="K79" s="70">
        <v>26.153679011000001</v>
      </c>
      <c r="L79" s="148">
        <f t="shared" si="3"/>
        <v>-1.7249855810000021</v>
      </c>
      <c r="M79" s="150"/>
      <c r="N79" s="150"/>
      <c r="O79" s="150"/>
      <c r="P79" s="150"/>
      <c r="T79" s="150"/>
    </row>
    <row r="80" spans="1:20" x14ac:dyDescent="0.25">
      <c r="A80" s="7"/>
      <c r="B80" s="126" t="s">
        <v>118</v>
      </c>
      <c r="C80" s="70">
        <v>1.1806674156475085</v>
      </c>
      <c r="D80" s="70">
        <v>-1.2295641819564209</v>
      </c>
      <c r="E80" s="70">
        <v>-3.2247973717932292</v>
      </c>
      <c r="F80" s="70">
        <v>3.4886326601302589</v>
      </c>
      <c r="G80" s="225">
        <f t="shared" si="2"/>
        <v>-0.21493852202811725</v>
      </c>
      <c r="H80" s="70">
        <v>9.4491855499999993</v>
      </c>
      <c r="I80" s="70">
        <v>-9.8405189700000015</v>
      </c>
      <c r="J80" s="70">
        <v>-25.808884300000003</v>
      </c>
      <c r="K80" s="70">
        <v>27.920426095</v>
      </c>
      <c r="L80" s="148">
        <f t="shared" si="3"/>
        <v>-1.720208374999995</v>
      </c>
      <c r="M80" s="150"/>
      <c r="N80" s="150"/>
      <c r="O80" s="150"/>
      <c r="P80" s="150"/>
      <c r="T80" s="150"/>
    </row>
    <row r="81" spans="1:20" x14ac:dyDescent="0.25">
      <c r="A81" s="7"/>
      <c r="B81" s="47" t="s">
        <v>119</v>
      </c>
      <c r="C81" s="70">
        <v>1.3052437150486917</v>
      </c>
      <c r="D81" s="70">
        <v>-1.0336881183013726</v>
      </c>
      <c r="E81" s="70">
        <v>-3.3905842723948143</v>
      </c>
      <c r="F81" s="70">
        <v>3.3319093049092365</v>
      </c>
      <c r="G81" s="225">
        <f t="shared" si="2"/>
        <v>-0.21288062926174112</v>
      </c>
      <c r="H81" s="70">
        <v>10.523184800000003</v>
      </c>
      <c r="I81" s="70">
        <v>-8.3338390900000014</v>
      </c>
      <c r="J81" s="70">
        <v>-27.335695599999998</v>
      </c>
      <c r="K81" s="70">
        <v>26.862644077999999</v>
      </c>
      <c r="L81" s="148">
        <f t="shared" si="3"/>
        <v>-1.7162941880000027</v>
      </c>
      <c r="M81" s="150"/>
      <c r="N81" s="150"/>
      <c r="O81" s="150"/>
      <c r="P81" s="150"/>
      <c r="T81" s="150"/>
    </row>
    <row r="82" spans="1:20" x14ac:dyDescent="0.25">
      <c r="A82" s="7"/>
      <c r="B82" s="47" t="s">
        <v>120</v>
      </c>
      <c r="C82" s="70">
        <v>1.3363676611890625</v>
      </c>
      <c r="D82" s="70">
        <v>-0.54779222648067449</v>
      </c>
      <c r="E82" s="70">
        <v>-3.5839855500028386</v>
      </c>
      <c r="F82" s="70">
        <v>3.005969885953907</v>
      </c>
      <c r="G82" s="225">
        <f t="shared" si="2"/>
        <v>-0.21055977065945619</v>
      </c>
      <c r="H82" s="70">
        <v>10.864513999999998</v>
      </c>
      <c r="I82" s="70">
        <v>-4.4534872300000004</v>
      </c>
      <c r="J82" s="70">
        <v>-29.137386600000003</v>
      </c>
      <c r="K82" s="70">
        <v>24.438186330000001</v>
      </c>
      <c r="L82" s="148">
        <f t="shared" si="3"/>
        <v>-1.7118264999999937</v>
      </c>
      <c r="M82" s="150"/>
      <c r="N82" s="150"/>
      <c r="O82" s="150"/>
      <c r="P82" s="150"/>
      <c r="T82" s="150"/>
    </row>
    <row r="83" spans="1:20" x14ac:dyDescent="0.25">
      <c r="A83" s="7"/>
      <c r="B83" s="47" t="s">
        <v>121</v>
      </c>
      <c r="C83" s="70">
        <v>1.2582473264749638</v>
      </c>
      <c r="D83" s="70">
        <v>-0.53972232853953184</v>
      </c>
      <c r="E83" s="70">
        <v>-3.4208154031493878</v>
      </c>
      <c r="F83" s="70">
        <v>2.9109461721333956</v>
      </c>
      <c r="G83" s="225">
        <f t="shared" si="2"/>
        <v>-0.20865576691943977</v>
      </c>
      <c r="H83" s="70">
        <v>10.302417100000001</v>
      </c>
      <c r="I83" s="70">
        <v>-4.4191983800000001</v>
      </c>
      <c r="J83" s="70">
        <v>-28.009331999999997</v>
      </c>
      <c r="K83" s="70">
        <v>23.834568125000001</v>
      </c>
      <c r="L83" s="148">
        <f t="shared" si="3"/>
        <v>-1.7084548450000057</v>
      </c>
      <c r="M83" s="150"/>
      <c r="N83" s="150"/>
      <c r="O83" s="150"/>
      <c r="P83" s="150"/>
      <c r="T83" s="150"/>
    </row>
    <row r="84" spans="1:20" x14ac:dyDescent="0.25">
      <c r="A84" s="7"/>
      <c r="B84" s="47" t="s">
        <v>122</v>
      </c>
      <c r="C84" s="70">
        <v>1.1233120716968843</v>
      </c>
      <c r="D84" s="70">
        <v>-0.55056548650901704</v>
      </c>
      <c r="E84" s="70">
        <v>-3.3019981150417412</v>
      </c>
      <c r="F84" s="70">
        <v>2.9356934553282046</v>
      </c>
      <c r="G84" s="225">
        <f t="shared" si="2"/>
        <v>-0.20644192547433038</v>
      </c>
      <c r="H84" s="70">
        <v>9.2764628699999996</v>
      </c>
      <c r="I84" s="70">
        <v>-4.5466441799999995</v>
      </c>
      <c r="J84" s="70">
        <v>-27.268346600000001</v>
      </c>
      <c r="K84" s="70">
        <v>24.243353225</v>
      </c>
      <c r="L84" s="148">
        <f t="shared" si="3"/>
        <v>-1.7048253150000008</v>
      </c>
      <c r="M84" s="150"/>
      <c r="N84" s="150"/>
      <c r="O84" s="150"/>
      <c r="P84" s="150"/>
      <c r="T84" s="150"/>
    </row>
    <row r="85" spans="1:20" x14ac:dyDescent="0.25">
      <c r="A85" s="7"/>
      <c r="B85" s="126" t="s">
        <v>123</v>
      </c>
      <c r="C85" s="70">
        <v>0.97155830444029567</v>
      </c>
      <c r="D85" s="70">
        <v>-0.4310767674152074</v>
      </c>
      <c r="E85" s="70">
        <v>-3.2153181542794744</v>
      </c>
      <c r="F85" s="70">
        <v>2.87893888549169</v>
      </c>
      <c r="G85" s="225">
        <f t="shared" si="2"/>
        <v>-0.20410226823730371</v>
      </c>
      <c r="H85" s="70">
        <v>8.0972445999999998</v>
      </c>
      <c r="I85" s="70">
        <v>-3.5927169900000009</v>
      </c>
      <c r="J85" s="70">
        <v>-26.797380499999999</v>
      </c>
      <c r="K85" s="70">
        <v>23.99389953</v>
      </c>
      <c r="L85" s="148">
        <f t="shared" si="3"/>
        <v>-1.7010466400000013</v>
      </c>
      <c r="M85" s="150"/>
      <c r="N85" s="150"/>
      <c r="O85" s="150"/>
      <c r="P85" s="150"/>
      <c r="T85" s="150"/>
    </row>
    <row r="86" spans="1:20" x14ac:dyDescent="0.25">
      <c r="A86" s="7"/>
      <c r="B86" s="126" t="s">
        <v>124</v>
      </c>
      <c r="C86" s="70">
        <v>0.81523132646014707</v>
      </c>
      <c r="D86" s="70">
        <v>-0.30460908262922404</v>
      </c>
      <c r="E86" s="70">
        <v>-3.1318868546024388</v>
      </c>
      <c r="F86" s="70">
        <v>2.8229976522293847</v>
      </c>
      <c r="G86" s="225">
        <f t="shared" si="2"/>
        <v>-0.20173304145786908</v>
      </c>
      <c r="H86" s="70">
        <v>6.8586334500000001</v>
      </c>
      <c r="I86" s="70">
        <v>-2.5627106999999998</v>
      </c>
      <c r="J86" s="70">
        <v>-26.348918699999995</v>
      </c>
      <c r="K86" s="70">
        <v>23.750198867999998</v>
      </c>
      <c r="L86" s="148">
        <f t="shared" si="3"/>
        <v>-1.6972029180000021</v>
      </c>
      <c r="M86" s="150"/>
      <c r="N86" s="150"/>
      <c r="O86" s="150"/>
      <c r="P86" s="150"/>
      <c r="T86" s="150"/>
    </row>
    <row r="87" spans="1:20" x14ac:dyDescent="0.25">
      <c r="A87" s="7"/>
      <c r="B87" s="126" t="s">
        <v>125</v>
      </c>
      <c r="C87" s="70">
        <v>0.61794696299659257</v>
      </c>
      <c r="D87" s="70">
        <v>-0.17385649374861112</v>
      </c>
      <c r="E87" s="70">
        <v>-3.0074151799076851</v>
      </c>
      <c r="F87" s="70">
        <v>2.762635263860223</v>
      </c>
      <c r="G87" s="225">
        <f t="shared" si="2"/>
        <v>-0.19931055320051927</v>
      </c>
      <c r="H87" s="70">
        <v>5.2492841700000001</v>
      </c>
      <c r="I87" s="70">
        <v>-1.4768616000000001</v>
      </c>
      <c r="J87" s="70">
        <v>-25.547138900000004</v>
      </c>
      <c r="K87" s="70">
        <v>23.467802944999999</v>
      </c>
      <c r="L87" s="148">
        <f t="shared" si="3"/>
        <v>-1.693086614999995</v>
      </c>
      <c r="M87" s="150"/>
      <c r="N87" s="150"/>
      <c r="O87" s="150"/>
      <c r="P87" s="150"/>
      <c r="T87" s="150"/>
    </row>
    <row r="88" spans="1:20" x14ac:dyDescent="0.25">
      <c r="A88" s="7"/>
      <c r="B88" s="126" t="s">
        <v>126</v>
      </c>
      <c r="C88" s="70">
        <v>0.38052656430224407</v>
      </c>
      <c r="D88" s="70">
        <v>-9.8777723947841789E-2</v>
      </c>
      <c r="E88" s="70">
        <v>-2.8247484134334173</v>
      </c>
      <c r="F88" s="70">
        <v>2.7399553824915883</v>
      </c>
      <c r="G88" s="225">
        <f t="shared" si="2"/>
        <v>-0.1969558094125734</v>
      </c>
      <c r="H88" s="70">
        <v>3.26329388</v>
      </c>
      <c r="I88" s="70">
        <v>-0.84709129999999999</v>
      </c>
      <c r="J88" s="70">
        <v>-24.224285699999999</v>
      </c>
      <c r="K88" s="70">
        <v>23.497123381000005</v>
      </c>
      <c r="L88" s="148">
        <f t="shared" si="3"/>
        <v>-1.6890402610000059</v>
      </c>
      <c r="M88" s="150"/>
      <c r="N88" s="150"/>
      <c r="O88" s="150"/>
      <c r="P88" s="150"/>
      <c r="T88" s="150"/>
    </row>
    <row r="89" spans="1:20" x14ac:dyDescent="0.25">
      <c r="A89" s="7"/>
      <c r="B89" s="126" t="s">
        <v>127</v>
      </c>
      <c r="C89" s="70">
        <v>9.9632452281688877E-2</v>
      </c>
      <c r="D89" s="70">
        <v>-1.338707443666598E-2</v>
      </c>
      <c r="E89" s="70">
        <v>-2.5904245577726619</v>
      </c>
      <c r="F89" s="70">
        <v>2.698820856851194</v>
      </c>
      <c r="G89" s="225">
        <f t="shared" si="2"/>
        <v>-0.19464167692355483</v>
      </c>
      <c r="H89" s="70">
        <v>0.86256053599999993</v>
      </c>
      <c r="I89" s="70">
        <v>-0.11589760000000024</v>
      </c>
      <c r="J89" s="70">
        <v>-22.426407699999999</v>
      </c>
      <c r="K89" s="70">
        <v>23.364840587</v>
      </c>
      <c r="L89" s="148">
        <f t="shared" si="3"/>
        <v>-1.685095823000001</v>
      </c>
      <c r="M89" s="150"/>
      <c r="N89" s="150"/>
      <c r="O89" s="150"/>
      <c r="P89" s="150"/>
      <c r="T89" s="150"/>
    </row>
    <row r="90" spans="1:20" x14ac:dyDescent="0.25">
      <c r="A90" s="7"/>
      <c r="B90" s="126" t="s">
        <v>128</v>
      </c>
      <c r="C90" s="70">
        <v>-0.17546667719304276</v>
      </c>
      <c r="D90" s="70">
        <v>6.2389298209515553E-2</v>
      </c>
      <c r="E90" s="70">
        <v>-2.33687725245598</v>
      </c>
      <c r="F90" s="70">
        <v>2.642359111997969</v>
      </c>
      <c r="G90" s="225">
        <f t="shared" si="2"/>
        <v>-0.19240448055846171</v>
      </c>
      <c r="H90" s="70">
        <v>-1.5332143599999999</v>
      </c>
      <c r="I90" s="70">
        <v>0.54515290000000094</v>
      </c>
      <c r="J90" s="70">
        <v>-20.419454099999999</v>
      </c>
      <c r="K90" s="70">
        <v>23.088731145999997</v>
      </c>
      <c r="L90" s="148">
        <f t="shared" si="3"/>
        <v>-1.6812155860000004</v>
      </c>
      <c r="M90" s="150"/>
      <c r="N90" s="150"/>
      <c r="O90" s="150"/>
      <c r="P90" s="150"/>
      <c r="T90" s="150"/>
    </row>
    <row r="91" spans="1:20" x14ac:dyDescent="0.25">
      <c r="A91" s="7"/>
      <c r="B91" s="126" t="s">
        <v>129</v>
      </c>
      <c r="C91" s="70">
        <v>-0.39847910057596841</v>
      </c>
      <c r="D91" s="70">
        <v>0.11894762814637949</v>
      </c>
      <c r="E91" s="70">
        <v>-2.1205411905633302</v>
      </c>
      <c r="F91" s="70">
        <v>2.5903153317300012</v>
      </c>
      <c r="G91" s="225">
        <f t="shared" si="2"/>
        <v>-0.19024266873708218</v>
      </c>
      <c r="H91" s="70">
        <v>-3.5134252799999999</v>
      </c>
      <c r="I91" s="70">
        <v>1.0487716999999994</v>
      </c>
      <c r="J91" s="70">
        <v>-18.696998200000007</v>
      </c>
      <c r="K91" s="70">
        <v>22.839038123999998</v>
      </c>
      <c r="L91" s="148">
        <f t="shared" si="3"/>
        <v>-1.6773863439999914</v>
      </c>
      <c r="M91" s="150"/>
      <c r="N91" s="150"/>
      <c r="O91" s="150"/>
      <c r="P91" s="150"/>
      <c r="T91" s="150"/>
    </row>
    <row r="92" spans="1:20" x14ac:dyDescent="0.25">
      <c r="A92" s="7"/>
      <c r="B92" s="126" t="s">
        <v>130</v>
      </c>
      <c r="C92" s="70">
        <v>-0.5763567239970645</v>
      </c>
      <c r="D92" s="70">
        <v>0.19765593813133164</v>
      </c>
      <c r="E92" s="70">
        <v>-1.9721646566218212</v>
      </c>
      <c r="F92" s="70">
        <v>2.5389736263631639</v>
      </c>
      <c r="G92" s="225">
        <f t="shared" si="2"/>
        <v>-0.18810818387561001</v>
      </c>
      <c r="H92" s="70">
        <v>-5.12746996</v>
      </c>
      <c r="I92" s="70">
        <v>1.7584159999999993</v>
      </c>
      <c r="J92" s="70">
        <v>-17.545062999999995</v>
      </c>
      <c r="K92" s="70">
        <v>22.587592816000001</v>
      </c>
      <c r="L92" s="148">
        <f t="shared" si="3"/>
        <v>-1.6734758560000067</v>
      </c>
      <c r="M92" s="150"/>
      <c r="N92" s="150"/>
      <c r="O92" s="150"/>
      <c r="P92" s="150"/>
      <c r="T92" s="150"/>
    </row>
    <row r="93" spans="1:20" x14ac:dyDescent="0.25">
      <c r="A93" s="7"/>
      <c r="B93" s="47" t="s">
        <v>131</v>
      </c>
      <c r="C93" s="70">
        <v>-0.66709483125133673</v>
      </c>
      <c r="D93" s="70">
        <v>0.24935881180596464</v>
      </c>
      <c r="E93" s="70">
        <v>-1.8986934181429167</v>
      </c>
      <c r="F93" s="70">
        <v>2.502378178308565</v>
      </c>
      <c r="G93" s="225">
        <f t="shared" ref="G93:G97" si="4">0-SUM(C93:F93)</f>
        <v>-0.18594874072027645</v>
      </c>
      <c r="H93" s="70">
        <v>-5.9892683199999999</v>
      </c>
      <c r="I93" s="70">
        <v>2.2387774000000009</v>
      </c>
      <c r="J93" s="70">
        <v>-17.046728299999998</v>
      </c>
      <c r="K93" s="70">
        <v>22.466692359</v>
      </c>
      <c r="L93" s="148">
        <f t="shared" ref="L93:L97" si="5">0-SUM(H93:K93)</f>
        <v>-1.6694731390000044</v>
      </c>
      <c r="M93" s="150"/>
      <c r="N93" s="150"/>
      <c r="O93" s="150"/>
      <c r="P93" s="150"/>
      <c r="T93" s="150"/>
    </row>
    <row r="94" spans="1:20" x14ac:dyDescent="0.25">
      <c r="A94" s="7"/>
      <c r="B94" s="47" t="s">
        <v>132</v>
      </c>
      <c r="C94" s="70">
        <v>-0.72196396453392164</v>
      </c>
      <c r="D94" s="70">
        <v>0.30344066466526165</v>
      </c>
      <c r="E94" s="70">
        <v>-1.8854395649778684</v>
      </c>
      <c r="F94" s="70">
        <v>2.4877889339837203</v>
      </c>
      <c r="G94" s="225">
        <f t="shared" si="4"/>
        <v>-0.18382606913719179</v>
      </c>
      <c r="H94" s="70">
        <v>-6.5407258000000006</v>
      </c>
      <c r="I94" s="70">
        <v>2.7490599000000002</v>
      </c>
      <c r="J94" s="70">
        <v>-17.081383300000002</v>
      </c>
      <c r="K94" s="70">
        <v>22.53844522</v>
      </c>
      <c r="L94" s="148">
        <f t="shared" si="5"/>
        <v>-1.6653960199999958</v>
      </c>
      <c r="M94" s="150"/>
      <c r="N94" s="150"/>
      <c r="O94" s="150"/>
      <c r="P94" s="150"/>
      <c r="T94" s="150"/>
    </row>
    <row r="95" spans="1:20" x14ac:dyDescent="0.25">
      <c r="A95" s="7"/>
      <c r="B95" s="47" t="s">
        <v>133</v>
      </c>
      <c r="C95" s="70">
        <v>-0.77780599991480348</v>
      </c>
      <c r="D95" s="70">
        <v>0.37730445277814684</v>
      </c>
      <c r="E95" s="70">
        <v>-1.8944519979177483</v>
      </c>
      <c r="F95" s="70">
        <v>2.4766794814066331</v>
      </c>
      <c r="G95" s="225">
        <f t="shared" si="4"/>
        <v>-0.18172593635222833</v>
      </c>
      <c r="H95" s="70">
        <v>-7.1104544400000007</v>
      </c>
      <c r="I95" s="70">
        <v>3.4491970000000056</v>
      </c>
      <c r="J95" s="70">
        <v>-17.318476100000002</v>
      </c>
      <c r="K95" s="70">
        <v>22.641014105</v>
      </c>
      <c r="L95" s="148">
        <f t="shared" si="5"/>
        <v>-1.661280565000002</v>
      </c>
      <c r="M95" s="150"/>
      <c r="N95" s="150"/>
      <c r="O95" s="150"/>
      <c r="P95" s="150"/>
      <c r="T95" s="150"/>
    </row>
    <row r="96" spans="1:20" x14ac:dyDescent="0.25">
      <c r="A96" s="7"/>
      <c r="B96" s="47" t="s">
        <v>134</v>
      </c>
      <c r="C96" s="70">
        <v>-0.86084781669378196</v>
      </c>
      <c r="D96" s="70">
        <v>0.4850184932452255</v>
      </c>
      <c r="E96" s="70">
        <v>-1.9013033346605019</v>
      </c>
      <c r="F96" s="70">
        <v>2.456805228339626</v>
      </c>
      <c r="G96" s="225">
        <f t="shared" si="4"/>
        <v>-0.17967257023056771</v>
      </c>
      <c r="H96" s="70">
        <v>-7.9399391900000005</v>
      </c>
      <c r="I96" s="70">
        <v>4.4735170000000002</v>
      </c>
      <c r="J96" s="70">
        <v>-17.5364711</v>
      </c>
      <c r="K96" s="70">
        <v>22.660084321999999</v>
      </c>
      <c r="L96" s="148">
        <f t="shared" si="5"/>
        <v>-1.6571910320000001</v>
      </c>
      <c r="M96" s="150"/>
      <c r="N96" s="150"/>
      <c r="O96" s="150"/>
      <c r="P96" s="150"/>
      <c r="T96" s="150"/>
    </row>
    <row r="97" spans="1:20" x14ac:dyDescent="0.25">
      <c r="A97" s="7"/>
      <c r="B97" s="47" t="s">
        <v>135</v>
      </c>
      <c r="C97" s="70">
        <v>-0.98639363807758995</v>
      </c>
      <c r="D97" s="70">
        <v>0.62624435550770041</v>
      </c>
      <c r="E97" s="70">
        <v>-1.8931052268496298</v>
      </c>
      <c r="F97" s="70">
        <v>2.4309150991253978</v>
      </c>
      <c r="G97" s="225">
        <f t="shared" si="4"/>
        <v>-0.17766058970587872</v>
      </c>
      <c r="H97" s="70">
        <v>-9.178464739999999</v>
      </c>
      <c r="I97" s="70">
        <v>5.8272493999999986</v>
      </c>
      <c r="J97" s="70">
        <v>-17.615482199999999</v>
      </c>
      <c r="K97" s="70">
        <v>22.619842284000001</v>
      </c>
      <c r="L97" s="148">
        <f t="shared" si="5"/>
        <v>-1.6531447440000022</v>
      </c>
      <c r="M97" s="150"/>
      <c r="N97" s="150"/>
      <c r="O97" s="150"/>
      <c r="P97" s="150"/>
      <c r="T97" s="150"/>
    </row>
    <row r="98" spans="1:20" x14ac:dyDescent="0.25">
      <c r="A98" s="7"/>
      <c r="B98" s="47" t="s">
        <v>645</v>
      </c>
      <c r="C98" s="70">
        <v>-1.130513671928453</v>
      </c>
      <c r="D98" s="70">
        <v>0.77805219150854632</v>
      </c>
      <c r="E98" s="70">
        <v>-1.8678611551079169</v>
      </c>
      <c r="F98" s="70">
        <v>2.396001088426321</v>
      </c>
      <c r="G98" s="225">
        <f t="shared" ref="G98:G101" si="6">0-SUM(C98:F98)</f>
        <v>-0.17567845289849737</v>
      </c>
      <c r="H98" s="70">
        <v>-10.612404099999999</v>
      </c>
      <c r="I98" s="70">
        <v>7.3037633000000008</v>
      </c>
      <c r="J98" s="70">
        <v>-17.534062500000001</v>
      </c>
      <c r="K98" s="70">
        <v>22.491839245999998</v>
      </c>
      <c r="L98" s="148">
        <f t="shared" ref="L98:L101" si="7">0-SUM(H98:K98)</f>
        <v>-1.6491359459999977</v>
      </c>
      <c r="M98" s="150"/>
      <c r="N98" s="150"/>
      <c r="O98" s="150"/>
      <c r="P98" s="150"/>
      <c r="T98" s="150"/>
    </row>
    <row r="99" spans="1:20" x14ac:dyDescent="0.25">
      <c r="A99" s="7"/>
      <c r="B99" s="47" t="s">
        <v>646</v>
      </c>
      <c r="C99" s="70">
        <v>-1.2734069907743164</v>
      </c>
      <c r="D99" s="70">
        <v>0.92273305458961885</v>
      </c>
      <c r="E99" s="70">
        <v>-1.8350904394868031</v>
      </c>
      <c r="F99" s="70">
        <v>2.3595840968239958</v>
      </c>
      <c r="G99" s="225">
        <f t="shared" si="6"/>
        <v>-0.173819721152495</v>
      </c>
      <c r="H99" s="70">
        <v>-12.053065500000001</v>
      </c>
      <c r="I99" s="70">
        <v>8.733862800000006</v>
      </c>
      <c r="J99" s="70">
        <v>-17.369517699999999</v>
      </c>
      <c r="K99" s="70">
        <v>22.333960688000001</v>
      </c>
      <c r="L99" s="148">
        <f t="shared" si="7"/>
        <v>-1.6452402880000072</v>
      </c>
      <c r="M99" s="150"/>
      <c r="N99" s="150"/>
      <c r="O99" s="150"/>
      <c r="P99" s="150"/>
      <c r="T99" s="150"/>
    </row>
    <row r="100" spans="1:20" x14ac:dyDescent="0.25">
      <c r="A100" s="7"/>
      <c r="B100" s="47" t="s">
        <v>647</v>
      </c>
      <c r="C100" s="70">
        <v>-1.4062185424847899</v>
      </c>
      <c r="D100" s="70">
        <v>1.0466254656976202</v>
      </c>
      <c r="E100" s="70">
        <v>-1.7998639798378762</v>
      </c>
      <c r="F100" s="70">
        <v>2.3314443029032392</v>
      </c>
      <c r="G100" s="225">
        <f t="shared" si="6"/>
        <v>-0.17198724627819351</v>
      </c>
      <c r="H100" s="70">
        <v>-13.420283700000001</v>
      </c>
      <c r="I100" s="70">
        <v>9.9884977000000017</v>
      </c>
      <c r="J100" s="70">
        <v>-17.1770493</v>
      </c>
      <c r="K100" s="70">
        <v>22.250200114999998</v>
      </c>
      <c r="L100" s="148">
        <f t="shared" si="7"/>
        <v>-1.6413648149999993</v>
      </c>
      <c r="M100" s="150"/>
      <c r="N100" s="150"/>
      <c r="O100" s="150"/>
      <c r="P100" s="150"/>
      <c r="T100" s="150"/>
    </row>
    <row r="101" spans="1:20" x14ac:dyDescent="0.25">
      <c r="A101" s="7"/>
      <c r="B101" s="47" t="s">
        <v>648</v>
      </c>
      <c r="C101" s="70">
        <v>-1.5435975552962948</v>
      </c>
      <c r="D101" s="70">
        <v>1.1636076033575524</v>
      </c>
      <c r="E101" s="70">
        <v>-1.7659662733493617</v>
      </c>
      <c r="F101" s="70">
        <v>2.3161409896027099</v>
      </c>
      <c r="G101" s="225">
        <f t="shared" si="6"/>
        <v>-0.17018476431460572</v>
      </c>
      <c r="H101" s="70">
        <v>-14.8524887</v>
      </c>
      <c r="I101" s="70">
        <v>11.1962271</v>
      </c>
      <c r="J101" s="70">
        <v>-16.992119500000001</v>
      </c>
      <c r="K101" s="70">
        <v>22.285898133</v>
      </c>
      <c r="L101" s="148">
        <f t="shared" si="7"/>
        <v>-1.6375170329999982</v>
      </c>
      <c r="M101" s="150"/>
      <c r="N101" s="150"/>
      <c r="O101" s="150"/>
      <c r="P101" s="150"/>
      <c r="T101" s="150"/>
    </row>
    <row r="102" spans="1:20" x14ac:dyDescent="0.25">
      <c r="A102" s="7"/>
      <c r="B102" s="128">
        <v>2008</v>
      </c>
      <c r="C102" s="401">
        <v>1.9947984573874824</v>
      </c>
      <c r="D102" s="401">
        <v>-0.42984190031687342</v>
      </c>
      <c r="E102" s="401">
        <v>-5.4017651791236769</v>
      </c>
      <c r="F102" s="401">
        <v>3.8368086220530677</v>
      </c>
      <c r="G102" s="402">
        <f>0-SUM(C102:F102)</f>
        <v>0</v>
      </c>
      <c r="H102" s="403">
        <v>31.960999999999999</v>
      </c>
      <c r="I102" s="401">
        <v>-6.8869999999999996</v>
      </c>
      <c r="J102" s="401">
        <v>-86.548000000000002</v>
      </c>
      <c r="K102" s="401">
        <v>61.473999999999997</v>
      </c>
      <c r="L102" s="165">
        <f t="shared" ref="L102" si="8">0-SUM(H102:K102)</f>
        <v>0</v>
      </c>
      <c r="M102" s="150"/>
    </row>
    <row r="103" spans="1:20" x14ac:dyDescent="0.25">
      <c r="A103" s="7"/>
      <c r="B103" s="8">
        <v>2009</v>
      </c>
      <c r="C103" s="70">
        <v>5.0227490613407033</v>
      </c>
      <c r="D103" s="70">
        <v>2.2968375758702839</v>
      </c>
      <c r="E103" s="70">
        <v>-10.369211333810011</v>
      </c>
      <c r="F103" s="70">
        <v>3.0496246965990235</v>
      </c>
      <c r="G103" s="225">
        <f t="shared" ref="G103:G122" si="9">0-SUM(C103:F103)</f>
        <v>0</v>
      </c>
      <c r="H103" s="226">
        <v>78.325000000000003</v>
      </c>
      <c r="I103" s="70">
        <v>35.817</v>
      </c>
      <c r="J103" s="70">
        <v>-161.69800000000001</v>
      </c>
      <c r="K103" s="70">
        <v>47.555999999999997</v>
      </c>
      <c r="L103" s="148">
        <f t="shared" ref="L103:L122" si="10">0-SUM(H103:K103)</f>
        <v>0</v>
      </c>
      <c r="N103" s="150"/>
    </row>
    <row r="104" spans="1:20" x14ac:dyDescent="0.25">
      <c r="A104" s="7"/>
      <c r="B104" s="8">
        <v>2010</v>
      </c>
      <c r="C104" s="70">
        <v>5.5106975385542745</v>
      </c>
      <c r="D104" s="70">
        <v>1.1370563527678188</v>
      </c>
      <c r="E104" s="70">
        <v>-9.4583061802568196</v>
      </c>
      <c r="F104" s="70">
        <v>2.8105522889347268</v>
      </c>
      <c r="G104" s="225">
        <f t="shared" si="9"/>
        <v>0</v>
      </c>
      <c r="H104" s="226">
        <v>89.043999999999997</v>
      </c>
      <c r="I104" s="70">
        <v>18.373000000000001</v>
      </c>
      <c r="J104" s="70">
        <v>-152.83099999999999</v>
      </c>
      <c r="K104" s="70">
        <v>45.414000000000001</v>
      </c>
      <c r="L104" s="148">
        <f t="shared" si="10"/>
        <v>0</v>
      </c>
    </row>
    <row r="105" spans="1:20" x14ac:dyDescent="0.25">
      <c r="A105" s="7"/>
      <c r="B105" s="8">
        <v>2011</v>
      </c>
      <c r="C105" s="70">
        <v>3.7062897281048177</v>
      </c>
      <c r="D105" s="70">
        <v>2.1894733060070841</v>
      </c>
      <c r="E105" s="70">
        <v>-7.5854594013575296</v>
      </c>
      <c r="F105" s="70">
        <v>1.6899358960923863</v>
      </c>
      <c r="G105" s="225">
        <f t="shared" si="9"/>
        <v>-2.3952884675804142E-4</v>
      </c>
      <c r="H105" s="226">
        <v>61.893000000000001</v>
      </c>
      <c r="I105" s="70">
        <v>36.563000000000002</v>
      </c>
      <c r="J105" s="70">
        <v>-126.673</v>
      </c>
      <c r="K105" s="70">
        <v>28.221</v>
      </c>
      <c r="L105" s="148">
        <f t="shared" si="10"/>
        <v>-4.0000000000013358E-3</v>
      </c>
    </row>
    <row r="106" spans="1:20" x14ac:dyDescent="0.25">
      <c r="A106" s="7"/>
      <c r="B106" s="8">
        <v>2012</v>
      </c>
      <c r="C106" s="70">
        <v>3.058822982758981</v>
      </c>
      <c r="D106" s="70">
        <v>1.781312510599939</v>
      </c>
      <c r="E106" s="70">
        <v>-8.0055967678607516</v>
      </c>
      <c r="F106" s="70">
        <v>3.165461274501832</v>
      </c>
      <c r="G106" s="225">
        <f t="shared" si="9"/>
        <v>0</v>
      </c>
      <c r="H106" s="226">
        <v>52.664000000000001</v>
      </c>
      <c r="I106" s="70">
        <v>30.669</v>
      </c>
      <c r="J106" s="70">
        <v>-137.833</v>
      </c>
      <c r="K106" s="70">
        <v>54.5</v>
      </c>
      <c r="L106" s="148">
        <f t="shared" si="10"/>
        <v>0</v>
      </c>
    </row>
    <row r="107" spans="1:20" x14ac:dyDescent="0.25">
      <c r="A107" s="7"/>
      <c r="B107" s="8">
        <v>2013</v>
      </c>
      <c r="C107" s="70">
        <v>2.5110224742212721</v>
      </c>
      <c r="D107" s="70">
        <v>-1.8600145773898422</v>
      </c>
      <c r="E107" s="70">
        <v>-5.2454568625522056</v>
      </c>
      <c r="F107" s="70">
        <v>4.5944489657207761</v>
      </c>
      <c r="G107" s="225">
        <f t="shared" si="9"/>
        <v>0</v>
      </c>
      <c r="H107" s="226">
        <v>44.923999999999999</v>
      </c>
      <c r="I107" s="70">
        <v>-33.277000000000001</v>
      </c>
      <c r="J107" s="70">
        <v>-93.844999999999999</v>
      </c>
      <c r="K107" s="70">
        <v>82.197999999999993</v>
      </c>
      <c r="L107" s="148">
        <f t="shared" si="10"/>
        <v>0</v>
      </c>
    </row>
    <row r="108" spans="1:20" x14ac:dyDescent="0.25">
      <c r="A108" s="7"/>
      <c r="B108" s="8">
        <v>2014</v>
      </c>
      <c r="C108" s="70">
        <v>1.7163129191185804</v>
      </c>
      <c r="D108" s="70">
        <v>-1.0792686764092569</v>
      </c>
      <c r="E108" s="70">
        <v>-5.5649241146711637</v>
      </c>
      <c r="F108" s="70">
        <v>4.9278798719618404</v>
      </c>
      <c r="G108" s="225">
        <f t="shared" si="9"/>
        <v>0</v>
      </c>
      <c r="H108" s="226">
        <v>32.182000000000002</v>
      </c>
      <c r="I108" s="70">
        <v>-20.236999999999998</v>
      </c>
      <c r="J108" s="70">
        <v>-104.346</v>
      </c>
      <c r="K108" s="70">
        <v>92.400999999999996</v>
      </c>
      <c r="L108" s="148">
        <f t="shared" si="10"/>
        <v>0</v>
      </c>
    </row>
    <row r="109" spans="1:20" x14ac:dyDescent="0.25">
      <c r="B109" s="8">
        <v>2015</v>
      </c>
      <c r="C109" s="70">
        <v>3.4189550294188429</v>
      </c>
      <c r="D109" s="70">
        <v>-3.7843046945668499</v>
      </c>
      <c r="E109" s="70">
        <v>-4.5132405540202987</v>
      </c>
      <c r="F109" s="70">
        <v>4.8785902191683057</v>
      </c>
      <c r="G109" s="225">
        <f t="shared" si="9"/>
        <v>0</v>
      </c>
      <c r="H109" s="226">
        <v>65.918000000000006</v>
      </c>
      <c r="I109" s="70">
        <v>-72.962000000000003</v>
      </c>
      <c r="J109" s="70">
        <v>-87.016000000000005</v>
      </c>
      <c r="K109" s="70">
        <v>94.06</v>
      </c>
      <c r="L109" s="148">
        <f t="shared" si="10"/>
        <v>0</v>
      </c>
    </row>
    <row r="110" spans="1:20" x14ac:dyDescent="0.25">
      <c r="B110" s="8">
        <v>2016</v>
      </c>
      <c r="C110" s="70">
        <v>0.88235220762636835</v>
      </c>
      <c r="D110" s="70">
        <v>-2.8296724537412303</v>
      </c>
      <c r="E110" s="70">
        <v>-3.377519946327606</v>
      </c>
      <c r="F110" s="70">
        <v>5.3248401924424682</v>
      </c>
      <c r="G110" s="225">
        <f t="shared" si="9"/>
        <v>0</v>
      </c>
      <c r="H110" s="226">
        <v>17.689</v>
      </c>
      <c r="I110" s="70">
        <v>-56.728000000000002</v>
      </c>
      <c r="J110" s="70">
        <v>-67.710999999999999</v>
      </c>
      <c r="K110" s="70">
        <v>106.75</v>
      </c>
      <c r="L110" s="148">
        <f t="shared" si="10"/>
        <v>0</v>
      </c>
    </row>
    <row r="111" spans="1:20" x14ac:dyDescent="0.25">
      <c r="B111" s="8">
        <v>2017</v>
      </c>
      <c r="C111" s="70">
        <v>-0.32624109417124175</v>
      </c>
      <c r="D111" s="70">
        <v>-0.92112327641041336</v>
      </c>
      <c r="E111" s="70">
        <v>-2.5977221295599606</v>
      </c>
      <c r="F111" s="70">
        <v>3.8450865001416159</v>
      </c>
      <c r="G111" s="225">
        <f t="shared" si="9"/>
        <v>0</v>
      </c>
      <c r="H111" s="226">
        <v>-6.8419999999999996</v>
      </c>
      <c r="I111" s="70">
        <v>-19.318000000000001</v>
      </c>
      <c r="J111" s="70">
        <v>-54.48</v>
      </c>
      <c r="K111" s="70">
        <v>80.64</v>
      </c>
      <c r="L111" s="148">
        <f t="shared" si="10"/>
        <v>0</v>
      </c>
    </row>
    <row r="112" spans="1:20" x14ac:dyDescent="0.25">
      <c r="B112" s="8">
        <v>2018</v>
      </c>
      <c r="C112" s="70">
        <v>-0.52892875579249743</v>
      </c>
      <c r="D112" s="70">
        <v>-1.1958689586605753</v>
      </c>
      <c r="E112" s="70">
        <v>-2.1230369517936194</v>
      </c>
      <c r="F112" s="70">
        <v>3.8478346662466918</v>
      </c>
      <c r="G112" s="225">
        <f t="shared" si="9"/>
        <v>0</v>
      </c>
      <c r="H112" s="226">
        <v>-11.486000000000001</v>
      </c>
      <c r="I112" s="70">
        <v>-25.969000000000001</v>
      </c>
      <c r="J112" s="70">
        <v>-46.103000000000002</v>
      </c>
      <c r="K112" s="70">
        <v>83.558000000000007</v>
      </c>
      <c r="L112" s="148">
        <f t="shared" si="10"/>
        <v>0</v>
      </c>
    </row>
    <row r="113" spans="2:20" x14ac:dyDescent="0.25">
      <c r="B113" s="8">
        <v>2019</v>
      </c>
      <c r="C113" s="70">
        <v>-0.17408201917387828</v>
      </c>
      <c r="D113" s="70">
        <v>2.2015472083182941E-2</v>
      </c>
      <c r="E113" s="70">
        <v>-2.3861043311446579</v>
      </c>
      <c r="F113" s="70">
        <v>2.5381708782353534</v>
      </c>
      <c r="G113" s="225">
        <f t="shared" si="9"/>
        <v>0</v>
      </c>
      <c r="H113" s="226">
        <v>-3.9220000000000002</v>
      </c>
      <c r="I113" s="70">
        <v>0.496</v>
      </c>
      <c r="J113" s="70">
        <v>-53.758000000000003</v>
      </c>
      <c r="K113" s="70">
        <v>57.183999999999997</v>
      </c>
      <c r="L113" s="148">
        <f t="shared" si="10"/>
        <v>0</v>
      </c>
    </row>
    <row r="114" spans="2:20" x14ac:dyDescent="0.25">
      <c r="B114" s="8">
        <v>2020</v>
      </c>
      <c r="C114" s="70">
        <v>8.1442731277533031</v>
      </c>
      <c r="D114" s="70">
        <v>1.8179336571407054</v>
      </c>
      <c r="E114" s="70">
        <v>-12.824842802816372</v>
      </c>
      <c r="F114" s="70">
        <v>2.8623065627470914</v>
      </c>
      <c r="G114" s="225">
        <f t="shared" si="9"/>
        <v>3.294551752728303E-4</v>
      </c>
      <c r="H114" s="226">
        <v>173.04300000000001</v>
      </c>
      <c r="I114" s="70">
        <v>38.625999999999998</v>
      </c>
      <c r="J114" s="70">
        <v>-272.49200000000002</v>
      </c>
      <c r="K114" s="70">
        <v>60.816000000000003</v>
      </c>
      <c r="L114" s="148">
        <f t="shared" si="10"/>
        <v>7.0000000000050022E-3</v>
      </c>
    </row>
    <row r="115" spans="2:20" x14ac:dyDescent="0.25">
      <c r="B115" s="8">
        <v>2021</v>
      </c>
      <c r="C115" s="70">
        <v>4.6769382585079473</v>
      </c>
      <c r="D115" s="70">
        <v>2.0739223956064015</v>
      </c>
      <c r="E115" s="70">
        <v>-7.6032483557588479</v>
      </c>
      <c r="F115" s="70">
        <v>0.85238770164449951</v>
      </c>
      <c r="G115" s="225">
        <f t="shared" si="9"/>
        <v>0</v>
      </c>
      <c r="H115" s="226">
        <v>108.629</v>
      </c>
      <c r="I115" s="70">
        <v>48.17</v>
      </c>
      <c r="J115" s="70">
        <v>-176.59700000000001</v>
      </c>
      <c r="K115" s="70">
        <v>19.797999999999998</v>
      </c>
      <c r="L115" s="148">
        <f t="shared" si="10"/>
        <v>0</v>
      </c>
    </row>
    <row r="116" spans="2:20" x14ac:dyDescent="0.25">
      <c r="B116" s="8">
        <v>2022</v>
      </c>
      <c r="C116" s="70">
        <v>-1.1562026215938401</v>
      </c>
      <c r="D116" s="70">
        <v>3.6922465341236883</v>
      </c>
      <c r="E116" s="70">
        <v>-4.5838178127502713</v>
      </c>
      <c r="F116" s="70">
        <v>2.0477739002204229</v>
      </c>
      <c r="G116" s="225">
        <f t="shared" si="9"/>
        <v>0</v>
      </c>
      <c r="H116" s="226">
        <v>-29.841000000000001</v>
      </c>
      <c r="I116" s="70">
        <v>95.295000000000002</v>
      </c>
      <c r="J116" s="70">
        <v>-118.306</v>
      </c>
      <c r="K116" s="70">
        <v>52.851999999999997</v>
      </c>
      <c r="L116" s="148">
        <f t="shared" si="10"/>
        <v>0</v>
      </c>
    </row>
    <row r="117" spans="2:20" x14ac:dyDescent="0.25">
      <c r="B117" s="8">
        <v>2023</v>
      </c>
      <c r="C117" s="70">
        <v>0.26411943474298771</v>
      </c>
      <c r="D117" s="70">
        <v>1.8724901568365837</v>
      </c>
      <c r="E117" s="70">
        <v>-5.8883845584783465</v>
      </c>
      <c r="F117" s="70">
        <v>3.751774966898775</v>
      </c>
      <c r="G117" s="225">
        <f t="shared" si="9"/>
        <v>0</v>
      </c>
      <c r="H117" s="226">
        <v>7.2690000000000001</v>
      </c>
      <c r="I117" s="70">
        <v>51.533999999999999</v>
      </c>
      <c r="J117" s="70">
        <v>-162.05799999999999</v>
      </c>
      <c r="K117" s="70">
        <v>103.255</v>
      </c>
      <c r="L117" s="148">
        <f t="shared" si="10"/>
        <v>0</v>
      </c>
    </row>
    <row r="118" spans="2:20" x14ac:dyDescent="0.25">
      <c r="B118" s="8">
        <v>2024</v>
      </c>
      <c r="C118" s="70">
        <v>2.8180222222683544</v>
      </c>
      <c r="D118" s="70">
        <v>1.8510483853668269E-2</v>
      </c>
      <c r="E118" s="70">
        <v>-6.0675636120562411</v>
      </c>
      <c r="F118" s="70">
        <v>3.1128406015526662</v>
      </c>
      <c r="G118" s="225">
        <f t="shared" si="9"/>
        <v>0.1181903043815522</v>
      </c>
      <c r="H118" s="70">
        <v>81.447999999999993</v>
      </c>
      <c r="I118" s="70">
        <v>0.53500000000000003</v>
      </c>
      <c r="J118" s="70">
        <v>-175.36799999999999</v>
      </c>
      <c r="K118" s="70">
        <v>89.968999999999994</v>
      </c>
      <c r="L118" s="148">
        <f t="shared" si="10"/>
        <v>3.416000000000011</v>
      </c>
    </row>
    <row r="119" spans="2:20" x14ac:dyDescent="0.25">
      <c r="B119" s="8">
        <v>2025</v>
      </c>
      <c r="C119" s="70">
        <v>2.5998841082631863</v>
      </c>
      <c r="D119" s="70">
        <v>-0.57009769053741999</v>
      </c>
      <c r="E119" s="70">
        <v>-5.1668399329436436</v>
      </c>
      <c r="F119" s="70">
        <v>3.2951026841660114</v>
      </c>
      <c r="G119" s="225">
        <f t="shared" si="9"/>
        <v>-0.15804916894813426</v>
      </c>
      <c r="H119" s="70">
        <v>78.876999999999995</v>
      </c>
      <c r="I119" s="70">
        <v>-17.295999999999999</v>
      </c>
      <c r="J119" s="70">
        <v>-156.755</v>
      </c>
      <c r="K119" s="70">
        <v>99.968999999999994</v>
      </c>
      <c r="L119" s="148">
        <f t="shared" si="10"/>
        <v>-4.7949999999999875</v>
      </c>
    </row>
    <row r="120" spans="2:20" x14ac:dyDescent="0.25">
      <c r="B120" s="8">
        <v>2026</v>
      </c>
      <c r="C120" s="70">
        <v>1.6493754675691328</v>
      </c>
      <c r="D120" s="70">
        <v>-0.38157186029656032</v>
      </c>
      <c r="E120" s="70">
        <v>-4.2567991221822474</v>
      </c>
      <c r="F120" s="70">
        <v>3.206970633391689</v>
      </c>
      <c r="G120" s="225">
        <f t="shared" si="9"/>
        <v>-0.21797511848201401</v>
      </c>
      <c r="H120" s="70">
        <v>52.144328520000002</v>
      </c>
      <c r="I120" s="70">
        <v>-12.063237770000008</v>
      </c>
      <c r="J120" s="70">
        <v>-134.5769573</v>
      </c>
      <c r="K120" s="70">
        <v>101.38706046600001</v>
      </c>
      <c r="L120" s="148">
        <f t="shared" si="10"/>
        <v>-6.8911939159999918</v>
      </c>
    </row>
    <row r="121" spans="2:20" x14ac:dyDescent="0.25">
      <c r="B121" s="8">
        <v>2027</v>
      </c>
      <c r="C121" s="70">
        <v>1.2551739840278953</v>
      </c>
      <c r="D121" s="70">
        <v>-0.66649479815327128</v>
      </c>
      <c r="E121" s="70">
        <v>-3.4239287698147307</v>
      </c>
      <c r="F121" s="70">
        <v>3.0448630936970984</v>
      </c>
      <c r="G121" s="225">
        <f t="shared" si="9"/>
        <v>-0.20961350975699178</v>
      </c>
      <c r="H121" s="70">
        <v>40.966578769999991</v>
      </c>
      <c r="I121" s="70">
        <v>-21.753168880000004</v>
      </c>
      <c r="J121" s="70">
        <v>-111.75076080000001</v>
      </c>
      <c r="K121" s="70">
        <v>99.378751757999993</v>
      </c>
      <c r="L121" s="148">
        <f t="shared" si="10"/>
        <v>-6.8414008479999779</v>
      </c>
    </row>
    <row r="122" spans="2:20" x14ac:dyDescent="0.25">
      <c r="B122" s="8">
        <v>2028</v>
      </c>
      <c r="C122" s="70">
        <v>0.6939665835639105</v>
      </c>
      <c r="D122" s="70">
        <v>-0.25073685093330211</v>
      </c>
      <c r="E122" s="70">
        <v>-3.0432961107168941</v>
      </c>
      <c r="F122" s="70">
        <v>2.8005633621712431</v>
      </c>
      <c r="G122" s="225">
        <f t="shared" si="9"/>
        <v>-0.20049698408495731</v>
      </c>
      <c r="H122" s="70">
        <v>23.468456100000001</v>
      </c>
      <c r="I122" s="70">
        <v>-8.4793805900000159</v>
      </c>
      <c r="J122" s="70">
        <v>-102.9177238</v>
      </c>
      <c r="K122" s="70">
        <v>94.709024724000002</v>
      </c>
      <c r="L122" s="148">
        <f t="shared" si="10"/>
        <v>-6.7803764339999901</v>
      </c>
    </row>
    <row r="123" spans="2:20" x14ac:dyDescent="0.25">
      <c r="B123" s="8">
        <v>2029</v>
      </c>
      <c r="C123" s="70">
        <v>-0.26521991984530302</v>
      </c>
      <c r="D123" s="70">
        <v>9.2183281980706244E-2</v>
      </c>
      <c r="E123" s="70">
        <v>-2.2526533936106312</v>
      </c>
      <c r="F123" s="70">
        <v>2.6170146149490612</v>
      </c>
      <c r="G123" s="225">
        <f t="shared" ref="G123:G127" si="11">0-SUM(C123:F123)</f>
        <v>-0.19132458347383308</v>
      </c>
      <c r="H123" s="70">
        <v>-9.3115490640000012</v>
      </c>
      <c r="I123" s="70">
        <v>3.2364429999999995</v>
      </c>
      <c r="J123" s="70">
        <v>-79.087922999999989</v>
      </c>
      <c r="K123" s="70">
        <v>91.880202672999999</v>
      </c>
      <c r="L123" s="148">
        <f t="shared" ref="L123:L127" si="12">0-SUM(H123:K123)</f>
        <v>-6.7171736090000138</v>
      </c>
    </row>
    <row r="124" spans="2:20" x14ac:dyDescent="0.25">
      <c r="B124" s="8">
        <v>2030</v>
      </c>
      <c r="C124" s="70">
        <v>-0.75764381982038109</v>
      </c>
      <c r="D124" s="70">
        <v>0.35465779131110997</v>
      </c>
      <c r="E124" s="70">
        <v>-1.8949910583518152</v>
      </c>
      <c r="F124" s="70">
        <v>2.4807469068735872</v>
      </c>
      <c r="G124" s="225">
        <f t="shared" si="11"/>
        <v>-0.18276982001250097</v>
      </c>
      <c r="H124" s="70">
        <v>-27.580387750000003</v>
      </c>
      <c r="I124" s="70">
        <v>12.910551300000014</v>
      </c>
      <c r="J124" s="70">
        <v>-68.983058799999995</v>
      </c>
      <c r="K124" s="70">
        <v>90.30623600600002</v>
      </c>
      <c r="L124" s="148">
        <f t="shared" si="12"/>
        <v>-6.6533407560000342</v>
      </c>
      <c r="M124" s="150"/>
      <c r="N124" s="150"/>
      <c r="O124" s="150"/>
      <c r="P124" s="150"/>
      <c r="T124" s="150"/>
    </row>
    <row r="125" spans="2:20" x14ac:dyDescent="0.25">
      <c r="B125" s="8">
        <v>2031</v>
      </c>
      <c r="C125" s="70">
        <v>-1.200608923504801</v>
      </c>
      <c r="D125" s="70">
        <v>0.84489351111407585</v>
      </c>
      <c r="E125" s="70">
        <v>-1.8486517002604861</v>
      </c>
      <c r="F125" s="70">
        <v>2.3791337477897914</v>
      </c>
      <c r="G125" s="225">
        <f t="shared" ref="G125" si="13">0-SUM(C125:F125)</f>
        <v>-0.17476663513857993</v>
      </c>
      <c r="H125" s="70">
        <v>-45.264218040000003</v>
      </c>
      <c r="I125" s="70">
        <v>31.853373200000011</v>
      </c>
      <c r="J125" s="70">
        <v>-69.696111699999989</v>
      </c>
      <c r="K125" s="70">
        <v>89.695842332999987</v>
      </c>
      <c r="L125" s="148">
        <f t="shared" ref="L125" si="14">0-SUM(H125:K125)</f>
        <v>-6.5888857930000029</v>
      </c>
      <c r="M125" s="150"/>
      <c r="N125" s="150"/>
      <c r="O125" s="150"/>
      <c r="P125" s="150"/>
      <c r="T125" s="150"/>
    </row>
    <row r="126" spans="2:20" x14ac:dyDescent="0.25">
      <c r="B126" s="128" t="s">
        <v>136</v>
      </c>
      <c r="C126" s="401">
        <v>2.7695575390196172</v>
      </c>
      <c r="D126" s="401">
        <v>0.48873436514775082</v>
      </c>
      <c r="E126" s="401">
        <v>-7.214578377115525</v>
      </c>
      <c r="F126" s="401">
        <v>3.9562864729481571</v>
      </c>
      <c r="G126" s="402">
        <f t="shared" si="11"/>
        <v>0</v>
      </c>
      <c r="H126" s="401">
        <v>44.098999999999997</v>
      </c>
      <c r="I126" s="401">
        <v>7.782</v>
      </c>
      <c r="J126" s="401">
        <v>-114.876</v>
      </c>
      <c r="K126" s="401">
        <v>62.994999999999997</v>
      </c>
      <c r="L126" s="165">
        <f t="shared" si="12"/>
        <v>0</v>
      </c>
      <c r="M126" s="150"/>
    </row>
    <row r="127" spans="2:20" x14ac:dyDescent="0.25">
      <c r="B127" s="8" t="s">
        <v>137</v>
      </c>
      <c r="C127" s="70">
        <v>5.8377068880616623</v>
      </c>
      <c r="D127" s="70">
        <v>1.5801566060024645</v>
      </c>
      <c r="E127" s="70">
        <v>-10.067000221973318</v>
      </c>
      <c r="F127" s="70">
        <v>2.6491367279091897</v>
      </c>
      <c r="G127" s="225">
        <f t="shared" si="11"/>
        <v>0</v>
      </c>
      <c r="H127" s="70">
        <v>91.521000000000001</v>
      </c>
      <c r="I127" s="70">
        <v>24.773</v>
      </c>
      <c r="J127" s="70">
        <v>-157.82599999999999</v>
      </c>
      <c r="K127" s="70">
        <v>41.531999999999996</v>
      </c>
      <c r="L127" s="148">
        <f t="shared" si="12"/>
        <v>0</v>
      </c>
      <c r="M127" s="150"/>
    </row>
    <row r="128" spans="2:20" x14ac:dyDescent="0.25">
      <c r="B128" s="47" t="s">
        <v>138</v>
      </c>
      <c r="C128" s="70">
        <v>4.6620618589504321</v>
      </c>
      <c r="D128" s="70">
        <v>1.9326485680753187</v>
      </c>
      <c r="E128" s="70">
        <v>-9.0175580730788862</v>
      </c>
      <c r="F128" s="70">
        <v>2.4229700275480743</v>
      </c>
      <c r="G128" s="225">
        <f t="shared" ref="G128:G146" si="15">0-SUM(C128:F128)</f>
        <v>-1.2238149493892791E-4</v>
      </c>
      <c r="H128" s="70">
        <v>76.188999999999993</v>
      </c>
      <c r="I128" s="70">
        <v>31.584</v>
      </c>
      <c r="J128" s="70">
        <v>-147.36799999999999</v>
      </c>
      <c r="K128" s="70">
        <v>39.597000000000001</v>
      </c>
      <c r="L128" s="148">
        <f t="shared" ref="L128:L146" si="16">0-SUM(H128:K128)</f>
        <v>-2.0000000000024443E-3</v>
      </c>
    </row>
    <row r="129" spans="2:12" x14ac:dyDescent="0.25">
      <c r="B129" s="47" t="s">
        <v>139</v>
      </c>
      <c r="C129" s="70">
        <v>3.9066066614803963</v>
      </c>
      <c r="D129" s="70">
        <v>1.8228926412301343</v>
      </c>
      <c r="E129" s="70">
        <v>-7.6500065175584213</v>
      </c>
      <c r="F129" s="70">
        <v>1.9206262570108394</v>
      </c>
      <c r="G129" s="225">
        <f t="shared" si="15"/>
        <v>-1.190421629491123E-4</v>
      </c>
      <c r="H129" s="70">
        <v>65.634</v>
      </c>
      <c r="I129" s="70">
        <v>30.626000000000001</v>
      </c>
      <c r="J129" s="70">
        <v>-128.52600000000001</v>
      </c>
      <c r="K129" s="70">
        <v>32.268000000000001</v>
      </c>
      <c r="L129" s="148">
        <f t="shared" si="16"/>
        <v>-1.9999999999953388E-3</v>
      </c>
    </row>
    <row r="130" spans="2:12" x14ac:dyDescent="0.25">
      <c r="B130" s="47" t="s">
        <v>140</v>
      </c>
      <c r="C130" s="70">
        <v>2.3232184096183892</v>
      </c>
      <c r="D130" s="70">
        <v>1.1157903351578273</v>
      </c>
      <c r="E130" s="70">
        <v>-7.2681406702695472</v>
      </c>
      <c r="F130" s="70">
        <v>3.8291319254933307</v>
      </c>
      <c r="G130" s="225">
        <f t="shared" si="15"/>
        <v>0</v>
      </c>
      <c r="H130" s="70">
        <v>40.31</v>
      </c>
      <c r="I130" s="70">
        <v>19.36</v>
      </c>
      <c r="J130" s="70">
        <v>-126.10899999999999</v>
      </c>
      <c r="K130" s="70">
        <v>66.438999999999993</v>
      </c>
      <c r="L130" s="148">
        <f t="shared" si="16"/>
        <v>0</v>
      </c>
    </row>
    <row r="131" spans="2:12" x14ac:dyDescent="0.25">
      <c r="B131" s="47" t="s">
        <v>141</v>
      </c>
      <c r="C131" s="116">
        <v>2.8140326990533322</v>
      </c>
      <c r="D131" s="116">
        <v>-1.8231037356137649</v>
      </c>
      <c r="E131" s="116">
        <v>-5.4668798861257786</v>
      </c>
      <c r="F131" s="116">
        <v>4.475950922686212</v>
      </c>
      <c r="G131" s="225">
        <f t="shared" si="15"/>
        <v>0</v>
      </c>
      <c r="H131" s="70">
        <v>50.926000000000002</v>
      </c>
      <c r="I131" s="70">
        <v>-32.993000000000002</v>
      </c>
      <c r="J131" s="70">
        <v>-98.935000000000002</v>
      </c>
      <c r="K131" s="70">
        <v>81.001999999999995</v>
      </c>
      <c r="L131" s="148">
        <f t="shared" si="16"/>
        <v>0</v>
      </c>
    </row>
    <row r="132" spans="2:12" x14ac:dyDescent="0.25">
      <c r="B132" s="47" t="s">
        <v>142</v>
      </c>
      <c r="C132" s="116">
        <v>1.5795286408793068</v>
      </c>
      <c r="D132" s="116">
        <v>-1.7105263157894735</v>
      </c>
      <c r="E132" s="116">
        <v>-5.1430458676812512</v>
      </c>
      <c r="F132" s="116">
        <v>5.2740435425914187</v>
      </c>
      <c r="G132" s="225">
        <f t="shared" si="15"/>
        <v>0</v>
      </c>
      <c r="H132" s="70">
        <v>29.890999999999998</v>
      </c>
      <c r="I132" s="70">
        <v>-32.369999999999997</v>
      </c>
      <c r="J132" s="70">
        <v>-97.326999999999998</v>
      </c>
      <c r="K132" s="70">
        <v>99.805999999999997</v>
      </c>
      <c r="L132" s="148">
        <f t="shared" si="16"/>
        <v>0</v>
      </c>
    </row>
    <row r="133" spans="2:12" x14ac:dyDescent="0.25">
      <c r="B133" s="47" t="s">
        <v>143</v>
      </c>
      <c r="C133" s="116">
        <v>3.4479812049969012</v>
      </c>
      <c r="D133" s="116">
        <v>-4.0538564966097752</v>
      </c>
      <c r="E133" s="116">
        <v>-4.3319311206788278</v>
      </c>
      <c r="F133" s="116">
        <v>4.9378064122917014</v>
      </c>
      <c r="G133" s="225">
        <f t="shared" si="15"/>
        <v>0</v>
      </c>
      <c r="H133" s="70">
        <v>66.981999999999999</v>
      </c>
      <c r="I133" s="70">
        <v>-78.751999999999995</v>
      </c>
      <c r="J133" s="70">
        <v>-84.153999999999996</v>
      </c>
      <c r="K133" s="70">
        <v>95.924000000000007</v>
      </c>
      <c r="L133" s="148">
        <f t="shared" si="16"/>
        <v>0</v>
      </c>
    </row>
    <row r="134" spans="2:12" x14ac:dyDescent="0.25">
      <c r="B134" s="47" t="s">
        <v>144</v>
      </c>
      <c r="C134" s="116">
        <v>3.9370912927210129E-2</v>
      </c>
      <c r="D134" s="116">
        <v>-1.7668128334393571</v>
      </c>
      <c r="E134" s="116">
        <v>-2.9381344494502608</v>
      </c>
      <c r="F134" s="116">
        <v>4.665576369962408</v>
      </c>
      <c r="G134" s="225">
        <f t="shared" si="15"/>
        <v>0</v>
      </c>
      <c r="H134" s="70">
        <v>0.79900000000000004</v>
      </c>
      <c r="I134" s="70">
        <v>-35.856000000000002</v>
      </c>
      <c r="J134" s="70">
        <v>-59.627000000000002</v>
      </c>
      <c r="K134" s="70">
        <v>94.683999999999997</v>
      </c>
      <c r="L134" s="148">
        <f t="shared" si="16"/>
        <v>0</v>
      </c>
    </row>
    <row r="135" spans="2:12" x14ac:dyDescent="0.25">
      <c r="B135" s="47" t="s">
        <v>145</v>
      </c>
      <c r="C135" s="116">
        <v>-4.3308075017528896E-2</v>
      </c>
      <c r="D135" s="116">
        <v>-1.1392009471041034</v>
      </c>
      <c r="E135" s="116">
        <v>-2.8929888670825061</v>
      </c>
      <c r="F135" s="116">
        <v>4.0754978892041382</v>
      </c>
      <c r="G135" s="225">
        <f t="shared" si="15"/>
        <v>0</v>
      </c>
      <c r="H135" s="70">
        <v>-0.91600000000000004</v>
      </c>
      <c r="I135" s="70">
        <v>-24.094999999999999</v>
      </c>
      <c r="J135" s="70">
        <v>-61.189</v>
      </c>
      <c r="K135" s="70">
        <v>86.2</v>
      </c>
      <c r="L135" s="148">
        <f t="shared" si="16"/>
        <v>0</v>
      </c>
    </row>
    <row r="136" spans="2:12" x14ac:dyDescent="0.25">
      <c r="B136" s="47" t="s">
        <v>146</v>
      </c>
      <c r="C136" s="116">
        <v>-0.70275477314438595</v>
      </c>
      <c r="D136" s="116">
        <v>-1.8709082442315945</v>
      </c>
      <c r="E136" s="116">
        <v>-1.7837087628630648</v>
      </c>
      <c r="F136" s="116">
        <v>4.3573717802390455</v>
      </c>
      <c r="G136" s="225">
        <f t="shared" si="15"/>
        <v>0</v>
      </c>
      <c r="H136" s="70">
        <v>-15.393000000000001</v>
      </c>
      <c r="I136" s="70">
        <v>-40.98</v>
      </c>
      <c r="J136" s="70">
        <v>-39.07</v>
      </c>
      <c r="K136" s="70">
        <v>95.442999999999998</v>
      </c>
      <c r="L136" s="148">
        <f t="shared" si="16"/>
        <v>0</v>
      </c>
    </row>
    <row r="137" spans="2:12" x14ac:dyDescent="0.25">
      <c r="B137" s="47" t="s">
        <v>147</v>
      </c>
      <c r="C137" s="116">
        <v>0.2368994598692315</v>
      </c>
      <c r="D137" s="116">
        <v>1.0424019036974914</v>
      </c>
      <c r="E137" s="116">
        <v>-2.9196197918650055</v>
      </c>
      <c r="F137" s="116">
        <v>1.6400084663881733</v>
      </c>
      <c r="G137" s="225">
        <f t="shared" si="15"/>
        <v>3.0996191010923546E-4</v>
      </c>
      <c r="H137" s="70">
        <v>5.35</v>
      </c>
      <c r="I137" s="70">
        <v>23.541</v>
      </c>
      <c r="J137" s="70">
        <v>-65.935000000000002</v>
      </c>
      <c r="K137" s="70">
        <v>37.036999999999999</v>
      </c>
      <c r="L137" s="148">
        <f t="shared" si="16"/>
        <v>7.0000000000050022E-3</v>
      </c>
    </row>
    <row r="138" spans="2:12" x14ac:dyDescent="0.25">
      <c r="B138" s="47" t="s">
        <v>148</v>
      </c>
      <c r="C138" s="116">
        <v>10.9950811927764</v>
      </c>
      <c r="D138" s="116">
        <v>1.5799790662842561</v>
      </c>
      <c r="E138" s="116">
        <v>-15.027356452659145</v>
      </c>
      <c r="F138" s="116">
        <v>2.4522961935984906</v>
      </c>
      <c r="G138" s="225">
        <f t="shared" si="15"/>
        <v>0</v>
      </c>
      <c r="H138" s="70">
        <v>232.048</v>
      </c>
      <c r="I138" s="70">
        <v>33.344999999999999</v>
      </c>
      <c r="J138" s="70">
        <v>-317.14800000000002</v>
      </c>
      <c r="K138" s="70">
        <v>51.755000000000003</v>
      </c>
      <c r="L138" s="148">
        <f t="shared" si="16"/>
        <v>0</v>
      </c>
    </row>
    <row r="139" spans="2:12" x14ac:dyDescent="0.25">
      <c r="B139" s="47" t="s">
        <v>149</v>
      </c>
      <c r="C139" s="116">
        <v>2.0442815188186039</v>
      </c>
      <c r="D139" s="116">
        <v>1.6242944325258795</v>
      </c>
      <c r="E139" s="116">
        <v>-5.8746120680677345</v>
      </c>
      <c r="F139" s="116">
        <v>2.2060361167232507</v>
      </c>
      <c r="G139" s="225">
        <f t="shared" si="15"/>
        <v>0</v>
      </c>
      <c r="H139" s="70">
        <v>49.073999999999998</v>
      </c>
      <c r="I139" s="70">
        <v>38.991999999999997</v>
      </c>
      <c r="J139" s="70">
        <v>-141.023</v>
      </c>
      <c r="K139" s="70">
        <v>52.957000000000001</v>
      </c>
      <c r="L139" s="148">
        <f t="shared" si="16"/>
        <v>0</v>
      </c>
    </row>
    <row r="140" spans="2:12" x14ac:dyDescent="0.25">
      <c r="B140" s="47" t="s">
        <v>150</v>
      </c>
      <c r="C140" s="116">
        <v>-1.4666707620294646</v>
      </c>
      <c r="D140" s="116">
        <v>5.2058128366113303</v>
      </c>
      <c r="E140" s="116">
        <v>-5.1714952131655298</v>
      </c>
      <c r="F140" s="116">
        <v>1.4323531385836643</v>
      </c>
      <c r="G140" s="225">
        <f t="shared" si="15"/>
        <v>0</v>
      </c>
      <c r="H140" s="70">
        <v>-38.677999999999997</v>
      </c>
      <c r="I140" s="70">
        <v>137.28399999999999</v>
      </c>
      <c r="J140" s="70">
        <v>-136.37899999999999</v>
      </c>
      <c r="K140" s="70">
        <v>37.773000000000003</v>
      </c>
      <c r="L140" s="148">
        <f t="shared" si="16"/>
        <v>0</v>
      </c>
    </row>
    <row r="141" spans="2:12" x14ac:dyDescent="0.25">
      <c r="B141" s="47" t="s">
        <v>151</v>
      </c>
      <c r="C141" s="116">
        <v>1.0269581462989694</v>
      </c>
      <c r="D141" s="116">
        <v>0.85813226014305211</v>
      </c>
      <c r="E141" s="116">
        <v>-5.6714338681286245</v>
      </c>
      <c r="F141" s="116">
        <v>3.7612535592024505</v>
      </c>
      <c r="G141" s="225">
        <f t="shared" si="15"/>
        <v>2.508990248415266E-2</v>
      </c>
      <c r="H141" s="70">
        <v>28.529</v>
      </c>
      <c r="I141" s="70">
        <v>23.838999999999999</v>
      </c>
      <c r="J141" s="70">
        <v>-157.553</v>
      </c>
      <c r="K141" s="70">
        <v>104.488</v>
      </c>
      <c r="L141" s="148">
        <f t="shared" si="16"/>
        <v>0.69700000000000273</v>
      </c>
    </row>
    <row r="142" spans="2:12" x14ac:dyDescent="0.25">
      <c r="B142" s="47" t="s">
        <v>152</v>
      </c>
      <c r="C142" s="116">
        <v>3.1050970344954334</v>
      </c>
      <c r="D142" s="116">
        <v>-0.41741352955838118</v>
      </c>
      <c r="E142" s="116">
        <v>-5.861997127000163</v>
      </c>
      <c r="F142" s="116">
        <v>3.0868552244714391</v>
      </c>
      <c r="G142" s="227">
        <f t="shared" si="15"/>
        <v>8.7458397591671844E-2</v>
      </c>
      <c r="H142" s="70">
        <v>91.066999999999993</v>
      </c>
      <c r="I142" s="70">
        <v>-12.242000000000001</v>
      </c>
      <c r="J142" s="70">
        <v>-171.922</v>
      </c>
      <c r="K142" s="70">
        <v>90.531999999999996</v>
      </c>
      <c r="L142" s="148">
        <f t="shared" si="16"/>
        <v>2.5650000000000119</v>
      </c>
    </row>
    <row r="143" spans="2:12" x14ac:dyDescent="0.25">
      <c r="B143" s="47" t="s">
        <v>153</v>
      </c>
      <c r="C143" s="116">
        <v>2.2721351640493785</v>
      </c>
      <c r="D143" s="116">
        <v>-0.64453734465743528</v>
      </c>
      <c r="E143" s="116">
        <v>-4.6795230677982076</v>
      </c>
      <c r="F143" s="116">
        <v>3.2592062672754563</v>
      </c>
      <c r="G143" s="227">
        <f t="shared" si="15"/>
        <v>-0.20728101886919204</v>
      </c>
      <c r="H143" s="70">
        <v>69.683000000000007</v>
      </c>
      <c r="I143" s="70">
        <v>-19.766999999999999</v>
      </c>
      <c r="J143" s="70">
        <v>-143.51400000000001</v>
      </c>
      <c r="K143" s="70">
        <v>99.954999999999998</v>
      </c>
      <c r="L143" s="148">
        <f t="shared" si="16"/>
        <v>-6.3569999999999993</v>
      </c>
    </row>
    <row r="144" spans="2:12" x14ac:dyDescent="0.25">
      <c r="B144" s="47" t="s">
        <v>154</v>
      </c>
      <c r="C144" s="116">
        <v>1.3984396855393586</v>
      </c>
      <c r="D144" s="116">
        <v>-0.27388873222606036</v>
      </c>
      <c r="E144" s="116">
        <v>-4.1885138786075755</v>
      </c>
      <c r="F144" s="116">
        <v>3.2801943745331754</v>
      </c>
      <c r="G144" s="227">
        <f t="shared" si="15"/>
        <v>-0.21623144923889814</v>
      </c>
      <c r="H144" s="70">
        <v>44.569513320000006</v>
      </c>
      <c r="I144" s="70">
        <v>-8.7290768600000153</v>
      </c>
      <c r="J144" s="70">
        <v>-133.49165290000002</v>
      </c>
      <c r="K144" s="70">
        <v>104.542704544</v>
      </c>
      <c r="L144" s="148">
        <f t="shared" si="16"/>
        <v>-6.8914881039999756</v>
      </c>
    </row>
    <row r="145" spans="2:12" x14ac:dyDescent="0.25">
      <c r="B145" s="47" t="s">
        <v>155</v>
      </c>
      <c r="C145" s="116">
        <v>1.171084344212173</v>
      </c>
      <c r="D145" s="116">
        <v>-0.51692297757024708</v>
      </c>
      <c r="E145" s="116">
        <v>-3.3792681925668573</v>
      </c>
      <c r="F145" s="116">
        <v>2.932524283378394</v>
      </c>
      <c r="G145" s="227">
        <f t="shared" si="15"/>
        <v>-0.20741745745346263</v>
      </c>
      <c r="H145" s="70">
        <v>38.540638569999999</v>
      </c>
      <c r="I145" s="70">
        <v>-17.012046779999999</v>
      </c>
      <c r="J145" s="70">
        <v>-111.2124457</v>
      </c>
      <c r="K145" s="70">
        <v>96.510007209999984</v>
      </c>
      <c r="L145" s="148">
        <f t="shared" si="16"/>
        <v>-6.826153299999973</v>
      </c>
    </row>
    <row r="146" spans="2:12" x14ac:dyDescent="0.25">
      <c r="B146" s="47" t="s">
        <v>156</v>
      </c>
      <c r="C146" s="116">
        <v>0.47549216814943651</v>
      </c>
      <c r="D146" s="116">
        <v>-0.14652655378018675</v>
      </c>
      <c r="E146" s="116">
        <v>-2.8864645994264255</v>
      </c>
      <c r="F146" s="116">
        <v>2.7556310886607109</v>
      </c>
      <c r="G146" s="227">
        <f t="shared" si="15"/>
        <v>-0.19813210360353528</v>
      </c>
      <c r="H146" s="70">
        <v>16.233772036000001</v>
      </c>
      <c r="I146" s="70">
        <v>-5.0025611999999962</v>
      </c>
      <c r="J146" s="70">
        <v>-98.546751</v>
      </c>
      <c r="K146" s="70">
        <v>94.079965781000013</v>
      </c>
      <c r="L146" s="148">
        <f t="shared" si="16"/>
        <v>-6.7644256170000148</v>
      </c>
    </row>
    <row r="147" spans="2:12" x14ac:dyDescent="0.25">
      <c r="B147" s="47" t="s">
        <v>157</v>
      </c>
      <c r="C147" s="116">
        <v>-0.45621247792496439</v>
      </c>
      <c r="D147" s="116">
        <v>0.15780969855284255</v>
      </c>
      <c r="E147" s="116">
        <v>-2.0804203566040793</v>
      </c>
      <c r="F147" s="116">
        <v>2.5679748818901258</v>
      </c>
      <c r="G147" s="227">
        <f t="shared" ref="G147:G148" si="17">0-SUM(C147:F147)</f>
        <v>-0.1891517459139247</v>
      </c>
      <c r="H147" s="70">
        <v>-16.163377919999999</v>
      </c>
      <c r="I147" s="70">
        <v>5.5911179999999954</v>
      </c>
      <c r="J147" s="70">
        <v>-73.708243600000003</v>
      </c>
      <c r="K147" s="70">
        <v>90.982054445000003</v>
      </c>
      <c r="L147" s="148">
        <f t="shared" ref="L147:L148" si="18">0-SUM(H147:K147)</f>
        <v>-6.7015509249999923</v>
      </c>
    </row>
    <row r="148" spans="2:12" x14ac:dyDescent="0.25">
      <c r="B148" s="47" t="s">
        <v>158</v>
      </c>
      <c r="C148" s="116">
        <v>-0.83772856486871317</v>
      </c>
      <c r="D148" s="116">
        <v>0.44920019180241222</v>
      </c>
      <c r="E148" s="116">
        <v>-1.8936083086230582</v>
      </c>
      <c r="F148" s="116">
        <v>2.4628350885796744</v>
      </c>
      <c r="G148" s="227">
        <f t="shared" si="17"/>
        <v>-0.18069840689031524</v>
      </c>
      <c r="H148" s="70">
        <v>-30.769584170000002</v>
      </c>
      <c r="I148" s="70">
        <v>16.499023300000008</v>
      </c>
      <c r="J148" s="70">
        <v>-69.551812699999999</v>
      </c>
      <c r="K148" s="70">
        <v>90.459385931000014</v>
      </c>
      <c r="L148" s="148">
        <f t="shared" si="18"/>
        <v>-6.6370123610000178</v>
      </c>
    </row>
    <row r="149" spans="2:12" ht="16.5" thickBot="1" x14ac:dyDescent="0.3">
      <c r="B149" s="47" t="s">
        <v>649</v>
      </c>
      <c r="C149" s="116">
        <v>-1.3398463275318981</v>
      </c>
      <c r="D149" s="116">
        <v>0.97907246495606715</v>
      </c>
      <c r="E149" s="116">
        <v>-1.8168445836859188</v>
      </c>
      <c r="F149" s="116">
        <v>2.3505171438863575</v>
      </c>
      <c r="G149" s="227">
        <f t="shared" ref="G149" si="19">0-SUM(C149:F149)</f>
        <v>-0.17289869762460741</v>
      </c>
      <c r="H149" s="70">
        <v>-50.938241999999995</v>
      </c>
      <c r="I149" s="70">
        <v>37.222350900000002</v>
      </c>
      <c r="J149" s="70">
        <v>-69.072749000000002</v>
      </c>
      <c r="K149" s="70">
        <v>89.361898182000004</v>
      </c>
      <c r="L149" s="148">
        <f t="shared" ref="L149" si="20">0-SUM(H149:K149)</f>
        <v>-6.5732580820000095</v>
      </c>
    </row>
    <row r="150" spans="2:12" x14ac:dyDescent="0.25">
      <c r="B150" s="392" t="s">
        <v>289</v>
      </c>
      <c r="C150" s="404"/>
      <c r="D150" s="404"/>
      <c r="E150" s="404"/>
      <c r="F150" s="404"/>
      <c r="G150" s="404"/>
      <c r="H150" s="405"/>
      <c r="I150" s="405"/>
      <c r="J150" s="405"/>
      <c r="K150" s="405"/>
      <c r="L150" s="406"/>
    </row>
    <row r="151" spans="2:12" x14ac:dyDescent="0.25">
      <c r="B151" s="549" t="s">
        <v>337</v>
      </c>
      <c r="C151" s="550"/>
      <c r="D151" s="550"/>
      <c r="E151" s="550"/>
      <c r="F151" s="550"/>
      <c r="G151" s="550"/>
      <c r="H151" s="550"/>
      <c r="I151" s="550"/>
      <c r="J151" s="550"/>
      <c r="K151" s="550"/>
      <c r="L151" s="612"/>
    </row>
    <row r="152" spans="2:12" x14ac:dyDescent="0.25">
      <c r="B152" s="279" t="s">
        <v>159</v>
      </c>
      <c r="C152" s="277"/>
      <c r="D152" s="277"/>
      <c r="E152" s="277"/>
      <c r="F152" s="277"/>
      <c r="G152" s="277"/>
      <c r="H152" s="15"/>
      <c r="I152" s="15"/>
      <c r="J152" s="15"/>
      <c r="K152" s="15"/>
      <c r="L152" s="229"/>
    </row>
    <row r="153" spans="2:12" ht="15.75" customHeight="1" x14ac:dyDescent="0.25">
      <c r="B153" s="613" t="s">
        <v>338</v>
      </c>
      <c r="C153" s="614"/>
      <c r="D153" s="614"/>
      <c r="E153" s="614"/>
      <c r="F153" s="614"/>
      <c r="G153" s="614"/>
      <c r="H153" s="614"/>
      <c r="I153" s="614"/>
      <c r="J153" s="614"/>
      <c r="K153" s="614"/>
      <c r="L153" s="615"/>
    </row>
    <row r="154" spans="2:12" ht="15.75" customHeight="1" x14ac:dyDescent="0.25">
      <c r="B154" s="613" t="s">
        <v>339</v>
      </c>
      <c r="C154" s="614"/>
      <c r="D154" s="614"/>
      <c r="E154" s="614"/>
      <c r="F154" s="614"/>
      <c r="G154" s="407"/>
      <c r="H154" s="15"/>
      <c r="I154" s="15"/>
      <c r="J154" s="15"/>
      <c r="K154" s="15"/>
      <c r="L154" s="229"/>
    </row>
    <row r="155" spans="2:12" ht="15.75" customHeight="1" x14ac:dyDescent="0.25">
      <c r="B155" s="596" t="s">
        <v>340</v>
      </c>
      <c r="C155" s="597"/>
      <c r="D155" s="597"/>
      <c r="E155" s="597"/>
      <c r="F155" s="597"/>
      <c r="G155" s="400"/>
      <c r="H155" s="15"/>
      <c r="I155" s="15"/>
      <c r="J155" s="15"/>
      <c r="K155" s="15"/>
      <c r="L155" s="229"/>
    </row>
    <row r="156" spans="2:12" ht="16.5" customHeight="1" thickBot="1" x14ac:dyDescent="0.3">
      <c r="B156" s="604" t="s">
        <v>341</v>
      </c>
      <c r="C156" s="605"/>
      <c r="D156" s="605"/>
      <c r="E156" s="605"/>
      <c r="F156" s="605"/>
      <c r="G156" s="365"/>
      <c r="H156" s="408"/>
      <c r="I156" s="408"/>
      <c r="J156" s="408"/>
      <c r="K156" s="408"/>
      <c r="L156" s="409"/>
    </row>
  </sheetData>
  <mergeCells count="8">
    <mergeCell ref="B155:F155"/>
    <mergeCell ref="B156:F156"/>
    <mergeCell ref="B2:L2"/>
    <mergeCell ref="C3:F3"/>
    <mergeCell ref="H3:L3"/>
    <mergeCell ref="B151:L151"/>
    <mergeCell ref="B153:L153"/>
    <mergeCell ref="B154:F154"/>
  </mergeCells>
  <phoneticPr fontId="91" type="noConversion"/>
  <hyperlinks>
    <hyperlink ref="A1" location="Contents!A1" display="Back to contents" xr:uid="{2160B1FB-99D7-4392-BB11-F1E8EE169939}"/>
  </hyperlinks>
  <pageMargins left="0.70866141732283472" right="0.70866141732283472" top="0.74803149606299213" bottom="0.74803149606299213" header="0.31496062992125984" footer="0.31496062992125984"/>
  <pageSetup paperSize="9" scale="30" orientation="portrait" r:id="rId1"/>
  <headerFooter>
    <oddHeader>&amp;C&amp;8March 2018 Economic and fiscal outlook: Supplementary economy tables</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508F-61F1-458B-AA5C-EE004953F873}">
  <sheetPr codeName="Sheet12">
    <tabColor theme="5"/>
    <pageSetUpPr fitToPage="1"/>
  </sheetPr>
  <dimension ref="A1:Z134"/>
  <sheetViews>
    <sheetView showGridLines="0" zoomScaleNormal="100" zoomScaleSheetLayoutView="55" workbookViewId="0"/>
  </sheetViews>
  <sheetFormatPr defaultColWidth="8.77734375" defaultRowHeight="15" x14ac:dyDescent="0.25"/>
  <cols>
    <col min="1" max="1" width="9.21875" style="1" customWidth="1"/>
    <col min="2" max="2" width="10.21875" style="1" customWidth="1"/>
    <col min="3" max="14" width="11.77734375" style="1" customWidth="1"/>
    <col min="15" max="15" width="3.21875" style="1" customWidth="1"/>
    <col min="16" max="21" width="11.77734375" style="1" customWidth="1"/>
    <col min="22" max="22" width="4.21875" style="1" customWidth="1"/>
    <col min="23" max="24" width="22.21875" style="1" customWidth="1"/>
    <col min="25" max="25" width="18.77734375" style="1" customWidth="1"/>
    <col min="26" max="16384" width="8.77734375" style="1"/>
  </cols>
  <sheetData>
    <row r="1" spans="1:25" ht="35.1" customHeight="1" thickBot="1" x14ac:dyDescent="0.3">
      <c r="A1" s="9" t="s">
        <v>22</v>
      </c>
      <c r="B1" s="363"/>
      <c r="C1" s="478"/>
      <c r="D1" s="5"/>
      <c r="E1" s="5"/>
      <c r="F1" s="5"/>
      <c r="G1" s="5"/>
      <c r="H1" s="5"/>
      <c r="I1" s="5"/>
      <c r="J1" s="5"/>
      <c r="K1" s="5"/>
      <c r="L1" s="5"/>
      <c r="M1" s="5"/>
      <c r="N1" s="5"/>
      <c r="O1" s="5"/>
      <c r="P1" s="5"/>
      <c r="Q1" s="5"/>
      <c r="R1" s="5"/>
      <c r="S1" s="5"/>
      <c r="T1" s="5"/>
      <c r="U1" s="5"/>
      <c r="V1" s="5"/>
      <c r="W1" s="5"/>
      <c r="X1" s="5"/>
    </row>
    <row r="2" spans="1:25" ht="22.5" customHeight="1" thickBot="1" x14ac:dyDescent="0.3">
      <c r="A2" s="5"/>
      <c r="B2" s="533" t="s">
        <v>342</v>
      </c>
      <c r="C2" s="534"/>
      <c r="D2" s="534"/>
      <c r="E2" s="534"/>
      <c r="F2" s="534"/>
      <c r="G2" s="534"/>
      <c r="H2" s="534"/>
      <c r="I2" s="534"/>
      <c r="J2" s="534"/>
      <c r="K2" s="534"/>
      <c r="L2" s="534"/>
      <c r="M2" s="534"/>
      <c r="N2" s="619"/>
      <c r="O2" s="620"/>
      <c r="P2" s="620"/>
      <c r="Q2" s="620"/>
      <c r="R2" s="620"/>
      <c r="S2" s="620"/>
      <c r="T2" s="620"/>
      <c r="U2" s="620"/>
      <c r="V2" s="620"/>
      <c r="W2" s="620"/>
      <c r="X2" s="621"/>
    </row>
    <row r="3" spans="1:25" ht="21" customHeight="1" x14ac:dyDescent="0.35">
      <c r="A3" s="5"/>
      <c r="B3" s="234"/>
      <c r="C3" s="622" t="s">
        <v>343</v>
      </c>
      <c r="D3" s="622"/>
      <c r="E3" s="622"/>
      <c r="F3" s="622"/>
      <c r="G3" s="622"/>
      <c r="H3" s="622"/>
      <c r="I3" s="622"/>
      <c r="J3" s="622"/>
      <c r="K3" s="622"/>
      <c r="L3" s="622"/>
      <c r="M3" s="622"/>
      <c r="N3" s="623"/>
      <c r="O3" s="361"/>
      <c r="P3" s="624" t="s">
        <v>344</v>
      </c>
      <c r="Q3" s="622"/>
      <c r="R3" s="622"/>
      <c r="S3" s="622"/>
      <c r="T3" s="622"/>
      <c r="U3" s="623"/>
      <c r="V3" s="362"/>
      <c r="W3" s="624" t="s">
        <v>345</v>
      </c>
      <c r="X3" s="623"/>
    </row>
    <row r="4" spans="1:25" ht="65.25" x14ac:dyDescent="0.3">
      <c r="A4" s="5"/>
      <c r="B4" s="235"/>
      <c r="C4" s="107" t="s">
        <v>346</v>
      </c>
      <c r="D4" s="107" t="s">
        <v>347</v>
      </c>
      <c r="E4" s="107" t="s">
        <v>348</v>
      </c>
      <c r="F4" s="215" t="s">
        <v>349</v>
      </c>
      <c r="G4" s="215" t="s">
        <v>350</v>
      </c>
      <c r="H4" s="107" t="s">
        <v>351</v>
      </c>
      <c r="I4" s="107" t="s">
        <v>352</v>
      </c>
      <c r="J4" s="107" t="s">
        <v>353</v>
      </c>
      <c r="K4" s="107" t="s">
        <v>354</v>
      </c>
      <c r="L4" s="215" t="s">
        <v>355</v>
      </c>
      <c r="M4" s="215" t="s">
        <v>356</v>
      </c>
      <c r="N4" s="107" t="s">
        <v>357</v>
      </c>
      <c r="O4" s="360"/>
      <c r="P4" s="357" t="s">
        <v>347</v>
      </c>
      <c r="Q4" s="215" t="s">
        <v>358</v>
      </c>
      <c r="R4" s="215" t="s">
        <v>359</v>
      </c>
      <c r="S4" s="215" t="s">
        <v>360</v>
      </c>
      <c r="T4" s="215" t="s">
        <v>361</v>
      </c>
      <c r="U4" s="358" t="s">
        <v>362</v>
      </c>
      <c r="V4" s="358"/>
      <c r="W4" s="357" t="s">
        <v>363</v>
      </c>
      <c r="X4" s="359" t="s">
        <v>364</v>
      </c>
    </row>
    <row r="5" spans="1:25" x14ac:dyDescent="0.25">
      <c r="A5" s="5"/>
      <c r="B5" s="123" t="s">
        <v>59</v>
      </c>
      <c r="C5" s="151">
        <v>3637.6377299999999</v>
      </c>
      <c r="D5" s="151">
        <v>5110.2049999999999</v>
      </c>
      <c r="E5" s="151">
        <v>1663.079</v>
      </c>
      <c r="F5" s="151">
        <v>1233.3520000000001</v>
      </c>
      <c r="G5" s="151">
        <v>429.72699999999998</v>
      </c>
      <c r="H5" s="151">
        <v>7084.7637300000006</v>
      </c>
      <c r="I5" s="151">
        <v>279.78300000000002</v>
      </c>
      <c r="J5" s="151">
        <v>796.23127985465885</v>
      </c>
      <c r="K5" s="151">
        <v>151.37395144613055</v>
      </c>
      <c r="L5" s="151">
        <v>112.26007048612124</v>
      </c>
      <c r="M5" s="151">
        <v>39.113880960009318</v>
      </c>
      <c r="N5" s="151">
        <v>644.85732840852825</v>
      </c>
      <c r="O5" s="323"/>
      <c r="P5" s="323">
        <v>1790.39</v>
      </c>
      <c r="Q5" s="151">
        <v>347.73599999999999</v>
      </c>
      <c r="R5" s="151">
        <v>4156.1570000000002</v>
      </c>
      <c r="S5" s="151">
        <v>65.069000000000003</v>
      </c>
      <c r="T5" s="151">
        <v>701.38758305127237</v>
      </c>
      <c r="U5" s="151">
        <v>1764.4058700012536</v>
      </c>
      <c r="V5" s="324"/>
      <c r="W5" s="151">
        <v>2010.8150000000001</v>
      </c>
      <c r="X5" s="151">
        <v>119.68588344462785</v>
      </c>
      <c r="Y5" s="325"/>
    </row>
    <row r="6" spans="1:25" x14ac:dyDescent="0.25">
      <c r="A6" s="5"/>
      <c r="B6" s="123" t="s">
        <v>60</v>
      </c>
      <c r="C6" s="151">
        <v>3660.8790100000001</v>
      </c>
      <c r="D6" s="151">
        <v>5353.2780000000002</v>
      </c>
      <c r="E6" s="151">
        <v>1681.3989999999999</v>
      </c>
      <c r="F6" s="151">
        <v>1243.7719999999999</v>
      </c>
      <c r="G6" s="151">
        <v>437.62700000000001</v>
      </c>
      <c r="H6" s="151">
        <v>7332.7580099999996</v>
      </c>
      <c r="I6" s="151">
        <v>283.71499999999997</v>
      </c>
      <c r="J6" s="151">
        <v>811.57002933269484</v>
      </c>
      <c r="K6" s="151">
        <v>151.38110355035445</v>
      </c>
      <c r="L6" s="151">
        <v>111.98030802030421</v>
      </c>
      <c r="M6" s="151">
        <v>39.40079553005026</v>
      </c>
      <c r="N6" s="151">
        <v>660.18892578234022</v>
      </c>
      <c r="O6" s="152"/>
      <c r="P6" s="236">
        <v>1819.0329999999999</v>
      </c>
      <c r="Q6" s="237">
        <v>346.20100000000002</v>
      </c>
      <c r="R6" s="237">
        <v>4361.7920000000004</v>
      </c>
      <c r="S6" s="237">
        <v>64.194000000000003</v>
      </c>
      <c r="T6" s="237">
        <v>706.41783915402266</v>
      </c>
      <c r="U6" s="238">
        <v>1828.3396957681716</v>
      </c>
      <c r="V6" s="125"/>
      <c r="W6" s="239">
        <v>2027.6</v>
      </c>
      <c r="X6" s="240">
        <v>119.78248219597279</v>
      </c>
      <c r="Y6" s="153"/>
    </row>
    <row r="7" spans="1:25" x14ac:dyDescent="0.25">
      <c r="A7" s="5"/>
      <c r="B7" s="123" t="s">
        <v>61</v>
      </c>
      <c r="C7" s="151">
        <v>3684.2687900000001</v>
      </c>
      <c r="D7" s="151">
        <v>5282.9629999999997</v>
      </c>
      <c r="E7" s="151">
        <v>1685.1120000000001</v>
      </c>
      <c r="F7" s="151">
        <v>1251.3420000000001</v>
      </c>
      <c r="G7" s="151">
        <v>433.77</v>
      </c>
      <c r="H7" s="151">
        <v>7282.1197899999997</v>
      </c>
      <c r="I7" s="151">
        <v>282.28300000000002</v>
      </c>
      <c r="J7" s="151">
        <v>801.03763180556223</v>
      </c>
      <c r="K7" s="151">
        <v>150.53008078952922</v>
      </c>
      <c r="L7" s="151">
        <v>111.78165745382564</v>
      </c>
      <c r="M7" s="151">
        <v>38.748423335703549</v>
      </c>
      <c r="N7" s="151">
        <v>650.50755101603295</v>
      </c>
      <c r="O7" s="152"/>
      <c r="P7" s="236">
        <v>1824.5229999999999</v>
      </c>
      <c r="Q7" s="237">
        <v>342.87599999999998</v>
      </c>
      <c r="R7" s="237">
        <v>4259.01</v>
      </c>
      <c r="S7" s="237">
        <v>69.120999999999995</v>
      </c>
      <c r="T7" s="237">
        <v>691.15955754223796</v>
      </c>
      <c r="U7" s="238">
        <v>1743.2707023259341</v>
      </c>
      <c r="V7" s="125"/>
      <c r="W7" s="239">
        <v>2027.9880000000001</v>
      </c>
      <c r="X7" s="240">
        <v>118.74140393219052</v>
      </c>
      <c r="Y7" s="153"/>
    </row>
    <row r="8" spans="1:25" x14ac:dyDescent="0.25">
      <c r="A8" s="5"/>
      <c r="B8" s="123" t="s">
        <v>62</v>
      </c>
      <c r="C8" s="151">
        <v>3707.808</v>
      </c>
      <c r="D8" s="151">
        <v>5360.16</v>
      </c>
      <c r="E8" s="151">
        <v>1689.4280000000001</v>
      </c>
      <c r="F8" s="151">
        <v>1253.5930000000001</v>
      </c>
      <c r="G8" s="151">
        <v>435.83499999999998</v>
      </c>
      <c r="H8" s="151">
        <v>7378.54</v>
      </c>
      <c r="I8" s="151">
        <v>284.23599999999999</v>
      </c>
      <c r="J8" s="151">
        <v>802.46297179599969</v>
      </c>
      <c r="K8" s="151">
        <v>149.50465346981505</v>
      </c>
      <c r="L8" s="151">
        <v>110.93576468318618</v>
      </c>
      <c r="M8" s="151">
        <v>38.568888786628868</v>
      </c>
      <c r="N8" s="151">
        <v>652.95831832618444</v>
      </c>
      <c r="O8" s="152"/>
      <c r="P8" s="236">
        <v>1823.9770000000001</v>
      </c>
      <c r="Q8" s="237">
        <v>333.89600000000002</v>
      </c>
      <c r="R8" s="237">
        <v>4295.8329999999996</v>
      </c>
      <c r="S8" s="237">
        <v>70.134</v>
      </c>
      <c r="T8" s="237">
        <v>679.27550480787136</v>
      </c>
      <c r="U8" s="238">
        <v>1724.1782673787227</v>
      </c>
      <c r="V8" s="125"/>
      <c r="W8" s="239">
        <v>2023.3240000000001</v>
      </c>
      <c r="X8" s="240">
        <v>117.51841775725038</v>
      </c>
      <c r="Y8" s="153"/>
    </row>
    <row r="9" spans="1:25" ht="18.75" customHeight="1" x14ac:dyDescent="0.25">
      <c r="A9" s="5"/>
      <c r="B9" s="123" t="s">
        <v>63</v>
      </c>
      <c r="C9" s="151">
        <v>3766.6444299999998</v>
      </c>
      <c r="D9" s="151">
        <v>5382.12</v>
      </c>
      <c r="E9" s="151">
        <v>1701.24</v>
      </c>
      <c r="F9" s="151">
        <v>1261.1010000000001</v>
      </c>
      <c r="G9" s="151">
        <v>440.13900000000001</v>
      </c>
      <c r="H9" s="151">
        <v>7447.5244299999995</v>
      </c>
      <c r="I9" s="151">
        <v>284.363</v>
      </c>
      <c r="J9" s="151">
        <v>806.34484579106061</v>
      </c>
      <c r="K9" s="151">
        <v>149.94222618251237</v>
      </c>
      <c r="L9" s="151">
        <v>111.14968574745043</v>
      </c>
      <c r="M9" s="151">
        <v>38.792540435061966</v>
      </c>
      <c r="N9" s="151">
        <v>656.40261960854821</v>
      </c>
      <c r="O9" s="152"/>
      <c r="P9" s="236">
        <v>1832.0329999999999</v>
      </c>
      <c r="Q9" s="237">
        <v>332.90300000000002</v>
      </c>
      <c r="R9" s="237">
        <v>4244.585</v>
      </c>
      <c r="S9" s="237">
        <v>73.265000000000001</v>
      </c>
      <c r="T9" s="237">
        <v>662.06733305868147</v>
      </c>
      <c r="U9" s="238">
        <v>1654.2307219728673</v>
      </c>
      <c r="V9" s="125"/>
      <c r="W9" s="239">
        <v>2034.143</v>
      </c>
      <c r="X9" s="240">
        <v>117.23538738269362</v>
      </c>
      <c r="Y9" s="154"/>
    </row>
    <row r="10" spans="1:25" x14ac:dyDescent="0.25">
      <c r="A10" s="5"/>
      <c r="B10" s="123" t="s">
        <v>64</v>
      </c>
      <c r="C10" s="151">
        <v>3826.4144900000001</v>
      </c>
      <c r="D10" s="151">
        <v>5158.9470000000001</v>
      </c>
      <c r="E10" s="151">
        <v>1696.857</v>
      </c>
      <c r="F10" s="151">
        <v>1263.4449999999999</v>
      </c>
      <c r="G10" s="151">
        <v>433.41199999999998</v>
      </c>
      <c r="H10" s="151">
        <v>7288.5044900000003</v>
      </c>
      <c r="I10" s="151">
        <v>292.19799999999998</v>
      </c>
      <c r="J10" s="151">
        <v>786.06584753473066</v>
      </c>
      <c r="K10" s="151">
        <v>148.4460405220982</v>
      </c>
      <c r="L10" s="151">
        <v>110.52988417258635</v>
      </c>
      <c r="M10" s="151">
        <v>37.916156349511851</v>
      </c>
      <c r="N10" s="151">
        <v>637.61980701263258</v>
      </c>
      <c r="O10" s="152"/>
      <c r="P10" s="236">
        <v>1861.106</v>
      </c>
      <c r="Q10" s="237">
        <v>320.99900000000002</v>
      </c>
      <c r="R10" s="237">
        <v>4099.317</v>
      </c>
      <c r="S10" s="237">
        <v>66.706000000000003</v>
      </c>
      <c r="T10" s="237">
        <v>666.52317477598797</v>
      </c>
      <c r="U10" s="238">
        <v>1583.0603167326824</v>
      </c>
      <c r="V10" s="125"/>
      <c r="W10" s="239">
        <v>2017.856</v>
      </c>
      <c r="X10" s="240">
        <v>115.1730487248726</v>
      </c>
      <c r="Y10" s="154"/>
    </row>
    <row r="11" spans="1:25" x14ac:dyDescent="0.25">
      <c r="A11" s="5"/>
      <c r="B11" s="123" t="s">
        <v>65</v>
      </c>
      <c r="C11" s="151">
        <v>3887.1329999999998</v>
      </c>
      <c r="D11" s="151">
        <v>5385.8320000000003</v>
      </c>
      <c r="E11" s="151">
        <v>1711.7940000000001</v>
      </c>
      <c r="F11" s="151">
        <v>1267.6869999999999</v>
      </c>
      <c r="G11" s="151">
        <v>444.10700000000003</v>
      </c>
      <c r="H11" s="151">
        <v>7561.1710000000003</v>
      </c>
      <c r="I11" s="151">
        <v>298.42399999999998</v>
      </c>
      <c r="J11" s="151">
        <v>799.93072934324005</v>
      </c>
      <c r="K11" s="151">
        <v>147.66761471712471</v>
      </c>
      <c r="L11" s="151">
        <v>109.35680081710044</v>
      </c>
      <c r="M11" s="151">
        <v>38.310813900024243</v>
      </c>
      <c r="N11" s="151">
        <v>652.26311462611534</v>
      </c>
      <c r="O11" s="152"/>
      <c r="P11" s="236">
        <v>1842.229</v>
      </c>
      <c r="Q11" s="237">
        <v>318.28300000000002</v>
      </c>
      <c r="R11" s="237">
        <v>4357.7709999999997</v>
      </c>
      <c r="S11" s="237">
        <v>70.143000000000001</v>
      </c>
      <c r="T11" s="237">
        <v>657.35669835288729</v>
      </c>
      <c r="U11" s="238">
        <v>1668.5414347292397</v>
      </c>
      <c r="V11" s="125"/>
      <c r="W11" s="239">
        <v>2030.0770000000002</v>
      </c>
      <c r="X11" s="240">
        <v>114.72868260863916</v>
      </c>
      <c r="Y11" s="154"/>
    </row>
    <row r="12" spans="1:25" x14ac:dyDescent="0.25">
      <c r="A12" s="5"/>
      <c r="B12" s="123" t="s">
        <v>66</v>
      </c>
      <c r="C12" s="151">
        <v>3948.8150000000001</v>
      </c>
      <c r="D12" s="151">
        <v>5434.0280000000002</v>
      </c>
      <c r="E12" s="151">
        <v>1719.9559999999999</v>
      </c>
      <c r="F12" s="151">
        <v>1273.1320000000001</v>
      </c>
      <c r="G12" s="151">
        <v>446.82400000000001</v>
      </c>
      <c r="H12" s="151">
        <v>7662.8869999999997</v>
      </c>
      <c r="I12" s="151">
        <v>300.952</v>
      </c>
      <c r="J12" s="151">
        <v>797.90354415245042</v>
      </c>
      <c r="K12" s="151">
        <v>146.26259740105127</v>
      </c>
      <c r="L12" s="151">
        <v>108.2653237375812</v>
      </c>
      <c r="M12" s="151">
        <v>37.997273663470068</v>
      </c>
      <c r="N12" s="151">
        <v>651.64094675139916</v>
      </c>
      <c r="O12" s="152"/>
      <c r="P12" s="236">
        <v>1878.6949999999999</v>
      </c>
      <c r="Q12" s="237">
        <v>317.50900000000001</v>
      </c>
      <c r="R12" s="237">
        <v>4358.3720000000003</v>
      </c>
      <c r="S12" s="237">
        <v>71.441999999999993</v>
      </c>
      <c r="T12" s="237">
        <v>667.25447157936605</v>
      </c>
      <c r="U12" s="238">
        <v>1660.7285939564424</v>
      </c>
      <c r="V12" s="125"/>
      <c r="W12" s="239">
        <v>2037.4649999999999</v>
      </c>
      <c r="X12" s="240">
        <v>113.88390182172657</v>
      </c>
      <c r="Y12" s="154"/>
    </row>
    <row r="13" spans="1:25" ht="18.75" customHeight="1" x14ac:dyDescent="0.25">
      <c r="A13" s="5"/>
      <c r="B13" s="123" t="s">
        <v>67</v>
      </c>
      <c r="C13" s="151">
        <v>4033.9368599999998</v>
      </c>
      <c r="D13" s="151">
        <v>5545.3819999999996</v>
      </c>
      <c r="E13" s="151">
        <v>1724.4079999999999</v>
      </c>
      <c r="F13" s="151">
        <v>1277.3130000000001</v>
      </c>
      <c r="G13" s="151">
        <v>447.09500000000003</v>
      </c>
      <c r="H13" s="151">
        <v>7854.910859999999</v>
      </c>
      <c r="I13" s="151">
        <v>302</v>
      </c>
      <c r="J13" s="151">
        <v>802.5743573502773</v>
      </c>
      <c r="K13" s="151">
        <v>144.47432668607055</v>
      </c>
      <c r="L13" s="151">
        <v>107.01581971457152</v>
      </c>
      <c r="M13" s="151">
        <v>37.458506971499048</v>
      </c>
      <c r="N13" s="151">
        <v>658.10003066420666</v>
      </c>
      <c r="O13" s="152"/>
      <c r="P13" s="236">
        <v>1849.722</v>
      </c>
      <c r="Q13" s="237">
        <v>311.36500000000001</v>
      </c>
      <c r="R13" s="237">
        <v>4422.8789999999999</v>
      </c>
      <c r="S13" s="237">
        <v>73.046999999999997</v>
      </c>
      <c r="T13" s="237">
        <v>657.47321726890789</v>
      </c>
      <c r="U13" s="238">
        <v>1682.7602385742416</v>
      </c>
      <c r="V13" s="125"/>
      <c r="W13" s="239">
        <v>2035.7729999999999</v>
      </c>
      <c r="X13" s="240">
        <v>112.49129697698422</v>
      </c>
      <c r="Y13" s="154"/>
    </row>
    <row r="14" spans="1:25" x14ac:dyDescent="0.25">
      <c r="A14" s="5"/>
      <c r="B14" s="123" t="s">
        <v>68</v>
      </c>
      <c r="C14" s="151">
        <v>4120.8936400000002</v>
      </c>
      <c r="D14" s="151">
        <v>5714.6610000000001</v>
      </c>
      <c r="E14" s="151">
        <v>1735.1179999999999</v>
      </c>
      <c r="F14" s="151">
        <v>1283.5360000000001</v>
      </c>
      <c r="G14" s="151">
        <v>451.58199999999999</v>
      </c>
      <c r="H14" s="151">
        <v>8100.4366400000008</v>
      </c>
      <c r="I14" s="151">
        <v>304.57100000000003</v>
      </c>
      <c r="J14" s="151">
        <v>815.58763693595142</v>
      </c>
      <c r="K14" s="151">
        <v>143.88012076815977</v>
      </c>
      <c r="L14" s="151">
        <v>106.43386483817281</v>
      </c>
      <c r="M14" s="151">
        <v>37.446255929986968</v>
      </c>
      <c r="N14" s="151">
        <v>671.70751616779171</v>
      </c>
      <c r="O14" s="152"/>
      <c r="P14" s="236">
        <v>1850.1690000000001</v>
      </c>
      <c r="Q14" s="237">
        <v>307.51900000000001</v>
      </c>
      <c r="R14" s="237">
        <v>4516.8680000000004</v>
      </c>
      <c r="S14" s="237">
        <v>77.272000000000006</v>
      </c>
      <c r="T14" s="237">
        <v>633.82790232405182</v>
      </c>
      <c r="U14" s="238">
        <v>1652.7306922823943</v>
      </c>
      <c r="V14" s="125"/>
      <c r="W14" s="239">
        <v>2042.6369999999999</v>
      </c>
      <c r="X14" s="240">
        <v>111.5733546287137</v>
      </c>
      <c r="Y14" s="154"/>
    </row>
    <row r="15" spans="1:25" x14ac:dyDescent="0.25">
      <c r="A15" s="5"/>
      <c r="B15" s="123" t="s">
        <v>69</v>
      </c>
      <c r="C15" s="151">
        <v>4209.7248799999998</v>
      </c>
      <c r="D15" s="151">
        <v>5921.6509999999998</v>
      </c>
      <c r="E15" s="151">
        <v>1752.2550000000001</v>
      </c>
      <c r="F15" s="151">
        <v>1289.826</v>
      </c>
      <c r="G15" s="151">
        <v>462.42899999999997</v>
      </c>
      <c r="H15" s="151">
        <v>8379.1208800000004</v>
      </c>
      <c r="I15" s="151">
        <v>303.74200000000002</v>
      </c>
      <c r="J15" s="151">
        <v>836.42934287707465</v>
      </c>
      <c r="K15" s="151">
        <v>144.66322398484229</v>
      </c>
      <c r="L15" s="151">
        <v>106.48586395214919</v>
      </c>
      <c r="M15" s="151">
        <v>38.177360032693088</v>
      </c>
      <c r="N15" s="151">
        <v>691.7661188922325</v>
      </c>
      <c r="O15" s="152"/>
      <c r="P15" s="236">
        <v>1896.3209999999999</v>
      </c>
      <c r="Q15" s="237">
        <v>305.84399999999999</v>
      </c>
      <c r="R15" s="237">
        <v>4687.37</v>
      </c>
      <c r="S15" s="237">
        <v>84.221999999999994</v>
      </c>
      <c r="T15" s="237">
        <v>619.74717549667798</v>
      </c>
      <c r="U15" s="238">
        <v>1631.8599399313036</v>
      </c>
      <c r="V15" s="125"/>
      <c r="W15" s="239">
        <v>2058.0990000000002</v>
      </c>
      <c r="X15" s="240">
        <v>110.99977509873813</v>
      </c>
      <c r="Y15" s="154"/>
    </row>
    <row r="16" spans="1:25" x14ac:dyDescent="0.25">
      <c r="A16" s="5"/>
      <c r="B16" s="123" t="s">
        <v>70</v>
      </c>
      <c r="C16" s="151">
        <v>4300.4709999999995</v>
      </c>
      <c r="D16" s="151">
        <v>6029.6980000000003</v>
      </c>
      <c r="E16" s="151">
        <v>1769.308</v>
      </c>
      <c r="F16" s="151">
        <v>1295.1199999999999</v>
      </c>
      <c r="G16" s="151">
        <v>474.18799999999999</v>
      </c>
      <c r="H16" s="151">
        <v>8560.8610000000008</v>
      </c>
      <c r="I16" s="151">
        <v>307.57799999999997</v>
      </c>
      <c r="J16" s="151">
        <v>848.2014400303475</v>
      </c>
      <c r="K16" s="151">
        <v>145.27638351872213</v>
      </c>
      <c r="L16" s="151">
        <v>106.34120787492476</v>
      </c>
      <c r="M16" s="151">
        <v>38.935175643797351</v>
      </c>
      <c r="N16" s="151">
        <v>702.92505651162548</v>
      </c>
      <c r="O16" s="152"/>
      <c r="P16" s="236">
        <v>1875.354</v>
      </c>
      <c r="Q16" s="237">
        <v>296.42599999999999</v>
      </c>
      <c r="R16" s="237">
        <v>4735.2520000000004</v>
      </c>
      <c r="S16" s="237">
        <v>80.558999999999997</v>
      </c>
      <c r="T16" s="237">
        <v>595.1615360203109</v>
      </c>
      <c r="U16" s="238">
        <v>1596.8511583624247</v>
      </c>
      <c r="V16" s="125"/>
      <c r="W16" s="239">
        <v>2065.7339999999999</v>
      </c>
      <c r="X16" s="240">
        <v>110.16860206520731</v>
      </c>
      <c r="Y16" s="154"/>
    </row>
    <row r="17" spans="1:25" ht="18.75" customHeight="1" x14ac:dyDescent="0.25">
      <c r="A17" s="5"/>
      <c r="B17" s="123" t="s">
        <v>71</v>
      </c>
      <c r="C17" s="151">
        <v>4391.7131600000002</v>
      </c>
      <c r="D17" s="151">
        <v>6049.2020000000002</v>
      </c>
      <c r="E17" s="151">
        <v>1774.037</v>
      </c>
      <c r="F17" s="151">
        <v>1299.8240000000001</v>
      </c>
      <c r="G17" s="151">
        <v>474.21300000000002</v>
      </c>
      <c r="H17" s="151">
        <v>8666.8781600000002</v>
      </c>
      <c r="I17" s="151">
        <v>312.12799999999999</v>
      </c>
      <c r="J17" s="151">
        <v>850.22423594423219</v>
      </c>
      <c r="K17" s="151">
        <v>144.46331856428932</v>
      </c>
      <c r="L17" s="151">
        <v>105.84722223353222</v>
      </c>
      <c r="M17" s="151">
        <v>38.616096330757102</v>
      </c>
      <c r="N17" s="151">
        <v>705.76091737994284</v>
      </c>
      <c r="O17" s="152"/>
      <c r="P17" s="236">
        <v>1990.3910000000001</v>
      </c>
      <c r="Q17" s="237">
        <v>299.59300000000002</v>
      </c>
      <c r="R17" s="237">
        <v>4721.5460000000003</v>
      </c>
      <c r="S17" s="237">
        <v>82.611999999999995</v>
      </c>
      <c r="T17" s="237">
        <v>613.05992330556126</v>
      </c>
      <c r="U17" s="238">
        <v>1546.559992607765</v>
      </c>
      <c r="V17" s="125"/>
      <c r="W17" s="239">
        <v>2073.63</v>
      </c>
      <c r="X17" s="240">
        <v>109.57672796448954</v>
      </c>
      <c r="Y17" s="154"/>
    </row>
    <row r="18" spans="1:25" x14ac:dyDescent="0.25">
      <c r="A18" s="5"/>
      <c r="B18" s="123" t="s">
        <v>72</v>
      </c>
      <c r="C18" s="151">
        <v>4484.8911900000003</v>
      </c>
      <c r="D18" s="151">
        <v>5902.5780000000004</v>
      </c>
      <c r="E18" s="151">
        <v>1782.412</v>
      </c>
      <c r="F18" s="151">
        <v>1306.7380000000001</v>
      </c>
      <c r="G18" s="151">
        <v>475.67399999999998</v>
      </c>
      <c r="H18" s="151">
        <v>8605.0571900000014</v>
      </c>
      <c r="I18" s="151">
        <v>320.077</v>
      </c>
      <c r="J18" s="151">
        <v>835.32451619388439</v>
      </c>
      <c r="K18" s="151">
        <v>143.33543756659498</v>
      </c>
      <c r="L18" s="151">
        <v>105.08337186626729</v>
      </c>
      <c r="M18" s="151">
        <v>38.252065700327698</v>
      </c>
      <c r="N18" s="151">
        <v>691.98907862728959</v>
      </c>
      <c r="O18" s="152"/>
      <c r="P18" s="236">
        <v>1951.951</v>
      </c>
      <c r="Q18" s="237">
        <v>288.76100000000002</v>
      </c>
      <c r="R18" s="237">
        <v>4531.3119999999999</v>
      </c>
      <c r="S18" s="237">
        <v>80.81</v>
      </c>
      <c r="T18" s="237">
        <v>594.73892682272867</v>
      </c>
      <c r="U18" s="238">
        <v>1468.6255153060761</v>
      </c>
      <c r="V18" s="125"/>
      <c r="W18" s="239">
        <v>2071.1730000000002</v>
      </c>
      <c r="X18" s="240">
        <v>108.60241778812501</v>
      </c>
      <c r="Y18" s="154"/>
    </row>
    <row r="19" spans="1:25" x14ac:dyDescent="0.25">
      <c r="A19" s="155"/>
      <c r="B19" s="123" t="s">
        <v>73</v>
      </c>
      <c r="C19" s="151">
        <v>4580.0461500000001</v>
      </c>
      <c r="D19" s="151">
        <v>6181.6409999999996</v>
      </c>
      <c r="E19" s="151">
        <v>1809.0609999999999</v>
      </c>
      <c r="F19" s="151">
        <v>1315.2719999999999</v>
      </c>
      <c r="G19" s="151">
        <v>493.78899999999999</v>
      </c>
      <c r="H19" s="151">
        <v>8952.6261500000001</v>
      </c>
      <c r="I19" s="151">
        <v>327.05799999999999</v>
      </c>
      <c r="J19" s="151">
        <v>849.48996361816512</v>
      </c>
      <c r="K19" s="151">
        <v>142.80095134274941</v>
      </c>
      <c r="L19" s="151">
        <v>103.82297383807439</v>
      </c>
      <c r="M19" s="151">
        <v>38.977977504675017</v>
      </c>
      <c r="N19" s="151">
        <v>706.68901227541585</v>
      </c>
      <c r="O19" s="152"/>
      <c r="P19" s="236">
        <v>1973.9839999999999</v>
      </c>
      <c r="Q19" s="237">
        <v>291.214</v>
      </c>
      <c r="R19" s="237">
        <v>4776.4570000000003</v>
      </c>
      <c r="S19" s="237">
        <v>79.203000000000003</v>
      </c>
      <c r="T19" s="237">
        <v>610.79261349571766</v>
      </c>
      <c r="U19" s="238">
        <v>1568.045138373187</v>
      </c>
      <c r="V19" s="125"/>
      <c r="W19" s="239">
        <v>2100.2750000000001</v>
      </c>
      <c r="X19" s="240">
        <v>109.63543161993852</v>
      </c>
      <c r="Y19" s="154"/>
    </row>
    <row r="20" spans="1:25" x14ac:dyDescent="0.25">
      <c r="A20" s="155"/>
      <c r="B20" s="123" t="s">
        <v>74</v>
      </c>
      <c r="C20" s="151">
        <v>4677.22</v>
      </c>
      <c r="D20" s="151">
        <v>6125.9089999999997</v>
      </c>
      <c r="E20" s="151">
        <v>1814.652</v>
      </c>
      <c r="F20" s="151">
        <v>1321.163</v>
      </c>
      <c r="G20" s="151">
        <v>493.48899999999998</v>
      </c>
      <c r="H20" s="151">
        <v>8988.4770000000008</v>
      </c>
      <c r="I20" s="151">
        <v>327.85300000000001</v>
      </c>
      <c r="J20" s="151">
        <v>839.32831228886914</v>
      </c>
      <c r="K20" s="151">
        <v>140.98589404529196</v>
      </c>
      <c r="L20" s="151">
        <v>102.64521612659621</v>
      </c>
      <c r="M20" s="151">
        <v>38.340677918695746</v>
      </c>
      <c r="N20" s="151">
        <v>698.34241824357719</v>
      </c>
      <c r="O20" s="152"/>
      <c r="P20" s="236">
        <v>1943.953</v>
      </c>
      <c r="Q20" s="237">
        <v>290.50799999999998</v>
      </c>
      <c r="R20" s="237">
        <v>4705.1540000000005</v>
      </c>
      <c r="S20" s="237">
        <v>83.075000000000003</v>
      </c>
      <c r="T20" s="237">
        <v>596.85385323917717</v>
      </c>
      <c r="U20" s="238">
        <v>1533.823150138164</v>
      </c>
      <c r="V20" s="125"/>
      <c r="W20" s="239">
        <v>2105.16</v>
      </c>
      <c r="X20" s="240">
        <v>109.18789055692481</v>
      </c>
      <c r="Y20" s="154"/>
    </row>
    <row r="21" spans="1:25" ht="18.75" customHeight="1" x14ac:dyDescent="0.25">
      <c r="A21" s="155"/>
      <c r="B21" s="123" t="s">
        <v>75</v>
      </c>
      <c r="C21" s="151">
        <v>4745.7022299999999</v>
      </c>
      <c r="D21" s="151">
        <v>6502.1549999999997</v>
      </c>
      <c r="E21" s="151">
        <v>1844.9970000000001</v>
      </c>
      <c r="F21" s="151">
        <v>1330.854</v>
      </c>
      <c r="G21" s="151">
        <v>514.14300000000003</v>
      </c>
      <c r="H21" s="151">
        <v>9402.8602300000002</v>
      </c>
      <c r="I21" s="151">
        <v>326.66800000000001</v>
      </c>
      <c r="J21" s="151">
        <v>864.11903221742148</v>
      </c>
      <c r="K21" s="151">
        <v>141.74228828507688</v>
      </c>
      <c r="L21" s="151">
        <v>102.24314258145012</v>
      </c>
      <c r="M21" s="151">
        <v>39.499145703626773</v>
      </c>
      <c r="N21" s="151">
        <v>722.37674393234465</v>
      </c>
      <c r="O21" s="152"/>
      <c r="P21" s="236">
        <v>1996.568</v>
      </c>
      <c r="Q21" s="237">
        <v>297.58199999999999</v>
      </c>
      <c r="R21" s="237">
        <v>4992.518</v>
      </c>
      <c r="S21" s="237">
        <v>82.843000000000004</v>
      </c>
      <c r="T21" s="237">
        <v>612.5738269756481</v>
      </c>
      <c r="U21" s="238">
        <v>1623.073595331527</v>
      </c>
      <c r="V21" s="125"/>
      <c r="W21" s="239">
        <v>2142.5790000000002</v>
      </c>
      <c r="X21" s="240">
        <v>110.29190114091929</v>
      </c>
      <c r="Y21" s="154"/>
    </row>
    <row r="22" spans="1:25" x14ac:dyDescent="0.25">
      <c r="A22" s="155"/>
      <c r="B22" s="123" t="s">
        <v>76</v>
      </c>
      <c r="C22" s="151">
        <v>4815.18714</v>
      </c>
      <c r="D22" s="151">
        <v>6797.5360000000001</v>
      </c>
      <c r="E22" s="151">
        <v>1874.5619999999999</v>
      </c>
      <c r="F22" s="151">
        <v>1343.7840000000001</v>
      </c>
      <c r="G22" s="151">
        <v>530.77800000000002</v>
      </c>
      <c r="H22" s="151">
        <v>9738.1611400000002</v>
      </c>
      <c r="I22" s="151">
        <v>328.63600000000002</v>
      </c>
      <c r="J22" s="151">
        <v>886.32195021427776</v>
      </c>
      <c r="K22" s="151">
        <v>143.0728544551848</v>
      </c>
      <c r="L22" s="151">
        <v>102.56209858687315</v>
      </c>
      <c r="M22" s="151">
        <v>40.510755868311691</v>
      </c>
      <c r="N22" s="151">
        <v>743.24909575909282</v>
      </c>
      <c r="O22" s="152"/>
      <c r="P22" s="236">
        <v>2084.9549999999999</v>
      </c>
      <c r="Q22" s="237">
        <v>297.303</v>
      </c>
      <c r="R22" s="237">
        <v>5308.6390000000001</v>
      </c>
      <c r="S22" s="237">
        <v>84.930999999999997</v>
      </c>
      <c r="T22" s="237">
        <v>631.7050040599662</v>
      </c>
      <c r="U22" s="238">
        <v>1698.5026601868797</v>
      </c>
      <c r="V22" s="125"/>
      <c r="W22" s="239">
        <v>2171.8649999999998</v>
      </c>
      <c r="X22" s="240">
        <v>110.79146342583192</v>
      </c>
      <c r="Y22" s="154"/>
    </row>
    <row r="23" spans="1:25" x14ac:dyDescent="0.25">
      <c r="A23" s="155"/>
      <c r="B23" s="123" t="s">
        <v>77</v>
      </c>
      <c r="C23" s="151">
        <v>4885.6894400000001</v>
      </c>
      <c r="D23" s="151">
        <v>6948.2449999999999</v>
      </c>
      <c r="E23" s="151">
        <v>1891.472</v>
      </c>
      <c r="F23" s="151">
        <v>1355.146</v>
      </c>
      <c r="G23" s="151">
        <v>536.32600000000002</v>
      </c>
      <c r="H23" s="151">
        <v>9942.4624400000012</v>
      </c>
      <c r="I23" s="151">
        <v>328.959</v>
      </c>
      <c r="J23" s="151">
        <v>901.89696947525988</v>
      </c>
      <c r="K23" s="151">
        <v>144.15432781857703</v>
      </c>
      <c r="L23" s="151">
        <v>103.27943565965202</v>
      </c>
      <c r="M23" s="151">
        <v>40.874892158924972</v>
      </c>
      <c r="N23" s="151">
        <v>757.74264165668285</v>
      </c>
      <c r="O23" s="152"/>
      <c r="P23" s="236">
        <v>2140.402</v>
      </c>
      <c r="Q23" s="237">
        <v>298.69900000000001</v>
      </c>
      <c r="R23" s="237">
        <v>5470.9049999999997</v>
      </c>
      <c r="S23" s="237">
        <v>84.245999999999995</v>
      </c>
      <c r="T23" s="237">
        <v>638.74483355466373</v>
      </c>
      <c r="U23" s="238">
        <v>1721.7815843268327</v>
      </c>
      <c r="V23" s="125"/>
      <c r="W23" s="239">
        <v>2190.1709999999998</v>
      </c>
      <c r="X23" s="240">
        <v>110.50302194600306</v>
      </c>
      <c r="Y23" s="154"/>
    </row>
    <row r="24" spans="1:25" x14ac:dyDescent="0.25">
      <c r="A24" s="155"/>
      <c r="B24" s="123" t="s">
        <v>78</v>
      </c>
      <c r="C24" s="151">
        <v>4957.2240000000002</v>
      </c>
      <c r="D24" s="151">
        <v>6681.2309999999998</v>
      </c>
      <c r="E24" s="151">
        <v>1883.0630000000001</v>
      </c>
      <c r="F24" s="151">
        <v>1361.5709999999999</v>
      </c>
      <c r="G24" s="151">
        <v>521.49199999999996</v>
      </c>
      <c r="H24" s="151">
        <v>9755.3919999999998</v>
      </c>
      <c r="I24" s="151">
        <v>328.47</v>
      </c>
      <c r="J24" s="151">
        <v>886.58203915038314</v>
      </c>
      <c r="K24" s="151">
        <v>143.44600158600414</v>
      </c>
      <c r="L24" s="151">
        <v>103.72033002903103</v>
      </c>
      <c r="M24" s="151">
        <v>39.725671556973111</v>
      </c>
      <c r="N24" s="151">
        <v>743.13603756437897</v>
      </c>
      <c r="O24" s="152"/>
      <c r="P24" s="236">
        <v>2215.1320000000001</v>
      </c>
      <c r="Q24" s="237">
        <v>295.48899999999998</v>
      </c>
      <c r="R24" s="237">
        <v>5176.9549999999999</v>
      </c>
      <c r="S24" s="237">
        <v>85.302999999999997</v>
      </c>
      <c r="T24" s="237">
        <v>656.67979948002358</v>
      </c>
      <c r="U24" s="238">
        <v>1622.3157033466439</v>
      </c>
      <c r="V24" s="125"/>
      <c r="W24" s="239">
        <v>2178.5520000000001</v>
      </c>
      <c r="X24" s="240">
        <v>108.66923888455197</v>
      </c>
      <c r="Y24" s="154"/>
    </row>
    <row r="25" spans="1:25" ht="18.75" customHeight="1" x14ac:dyDescent="0.25">
      <c r="A25" s="155"/>
      <c r="B25" s="123" t="s">
        <v>79</v>
      </c>
      <c r="C25" s="151">
        <v>5018.2009099999996</v>
      </c>
      <c r="D25" s="151">
        <v>6938.2389999999996</v>
      </c>
      <c r="E25" s="151">
        <v>1915.3420000000001</v>
      </c>
      <c r="F25" s="151">
        <v>1374.595</v>
      </c>
      <c r="G25" s="151">
        <v>540.74699999999996</v>
      </c>
      <c r="H25" s="151">
        <v>10041.09791</v>
      </c>
      <c r="I25" s="151">
        <v>327.93799999999999</v>
      </c>
      <c r="J25" s="151">
        <v>909.92485633594424</v>
      </c>
      <c r="K25" s="151">
        <v>145.76389856035334</v>
      </c>
      <c r="L25" s="151">
        <v>104.61125279013821</v>
      </c>
      <c r="M25" s="151">
        <v>41.15264577021513</v>
      </c>
      <c r="N25" s="151">
        <v>764.1609577755911</v>
      </c>
      <c r="O25" s="152"/>
      <c r="P25" s="236">
        <v>2281.0709999999999</v>
      </c>
      <c r="Q25" s="237">
        <v>302.46199999999999</v>
      </c>
      <c r="R25" s="237">
        <v>5429.3119999999999</v>
      </c>
      <c r="S25" s="237">
        <v>87.325999999999993</v>
      </c>
      <c r="T25" s="237">
        <v>667.35838458072715</v>
      </c>
      <c r="U25" s="238">
        <v>1676.9085387617538</v>
      </c>
      <c r="V25" s="125"/>
      <c r="W25" s="239">
        <v>2217.8040000000001</v>
      </c>
      <c r="X25" s="240">
        <v>109.28281373419067</v>
      </c>
      <c r="Y25" s="154"/>
    </row>
    <row r="26" spans="1:25" x14ac:dyDescent="0.25">
      <c r="A26" s="155"/>
      <c r="B26" s="123" t="s">
        <v>80</v>
      </c>
      <c r="C26" s="151">
        <v>5079.9278800000002</v>
      </c>
      <c r="D26" s="151">
        <v>6852.9340000000002</v>
      </c>
      <c r="E26" s="151">
        <v>1915.431</v>
      </c>
      <c r="F26" s="151">
        <v>1375.11</v>
      </c>
      <c r="G26" s="151">
        <v>540.32100000000003</v>
      </c>
      <c r="H26" s="151">
        <v>10017.430879999998</v>
      </c>
      <c r="I26" s="151">
        <v>337.57</v>
      </c>
      <c r="J26" s="151">
        <v>901.9977429008336</v>
      </c>
      <c r="K26" s="151">
        <v>144.78625966315855</v>
      </c>
      <c r="L26" s="151">
        <v>103.9437252114046</v>
      </c>
      <c r="M26" s="151">
        <v>40.842534451753934</v>
      </c>
      <c r="N26" s="151">
        <v>757.21148323767466</v>
      </c>
      <c r="O26" s="152"/>
      <c r="P26" s="236">
        <v>2311.6709999999998</v>
      </c>
      <c r="Q26" s="237">
        <v>304.37799999999999</v>
      </c>
      <c r="R26" s="237">
        <v>5318.683</v>
      </c>
      <c r="S26" s="237">
        <v>86.472999999999999</v>
      </c>
      <c r="T26" s="237">
        <v>673.2734718128545</v>
      </c>
      <c r="U26" s="238">
        <v>1637.7147966494633</v>
      </c>
      <c r="V26" s="125"/>
      <c r="W26" s="239">
        <v>2219.8090000000002</v>
      </c>
      <c r="X26" s="240">
        <v>108.07370287009057</v>
      </c>
      <c r="Y26" s="154"/>
    </row>
    <row r="27" spans="1:25" x14ac:dyDescent="0.25">
      <c r="A27" s="155"/>
      <c r="B27" s="123" t="s">
        <v>81</v>
      </c>
      <c r="C27" s="151">
        <v>5142.4141300000001</v>
      </c>
      <c r="D27" s="151">
        <v>6861.143</v>
      </c>
      <c r="E27" s="151">
        <v>1928.5360000000001</v>
      </c>
      <c r="F27" s="151">
        <v>1387.4580000000001</v>
      </c>
      <c r="G27" s="151">
        <v>541.07799999999997</v>
      </c>
      <c r="H27" s="151">
        <v>10075.021129999999</v>
      </c>
      <c r="I27" s="151">
        <v>339.85599999999999</v>
      </c>
      <c r="J27" s="151">
        <v>899.9288614625209</v>
      </c>
      <c r="K27" s="151">
        <v>144.58590799154919</v>
      </c>
      <c r="L27" s="151">
        <v>104.02029038096194</v>
      </c>
      <c r="M27" s="151">
        <v>40.565617610587225</v>
      </c>
      <c r="N27" s="151">
        <v>755.34295347097157</v>
      </c>
      <c r="O27" s="152"/>
      <c r="P27" s="236">
        <v>2338.8339999999998</v>
      </c>
      <c r="Q27" s="237">
        <v>312.255</v>
      </c>
      <c r="R27" s="237">
        <v>5364.29</v>
      </c>
      <c r="S27" s="237">
        <v>87.185000000000002</v>
      </c>
      <c r="T27" s="237">
        <v>675.40335040010166</v>
      </c>
      <c r="U27" s="238">
        <v>1639.2602090173759</v>
      </c>
      <c r="V27" s="125"/>
      <c r="W27" s="239">
        <v>2240.7910000000002</v>
      </c>
      <c r="X27" s="240">
        <v>108.00215928068964</v>
      </c>
      <c r="Y27" s="154"/>
    </row>
    <row r="28" spans="1:25" x14ac:dyDescent="0.25">
      <c r="A28" s="155"/>
      <c r="B28" s="123" t="s">
        <v>82</v>
      </c>
      <c r="C28" s="151">
        <v>5205.6689999999999</v>
      </c>
      <c r="D28" s="151">
        <v>6901.0230000000001</v>
      </c>
      <c r="E28" s="151">
        <v>1937.05</v>
      </c>
      <c r="F28" s="151">
        <v>1397.2170000000001</v>
      </c>
      <c r="G28" s="151">
        <v>539.83299999999997</v>
      </c>
      <c r="H28" s="151">
        <v>10169.642</v>
      </c>
      <c r="I28" s="151">
        <v>343.01100000000002</v>
      </c>
      <c r="J28" s="151">
        <v>897.87277278205249</v>
      </c>
      <c r="K28" s="151">
        <v>143.65810698062484</v>
      </c>
      <c r="L28" s="151">
        <v>103.62228608510244</v>
      </c>
      <c r="M28" s="151">
        <v>40.035820895522384</v>
      </c>
      <c r="N28" s="151">
        <v>754.21466580142771</v>
      </c>
      <c r="O28" s="152"/>
      <c r="P28" s="236">
        <v>2392.944</v>
      </c>
      <c r="Q28" s="237">
        <v>325.50599999999997</v>
      </c>
      <c r="R28" s="237">
        <v>5500.49</v>
      </c>
      <c r="S28" s="237">
        <v>93.334999999999994</v>
      </c>
      <c r="T28" s="237">
        <v>675.36429037110634</v>
      </c>
      <c r="U28" s="238">
        <v>1644.2798720926626</v>
      </c>
      <c r="V28" s="125"/>
      <c r="W28" s="239">
        <v>2262.556</v>
      </c>
      <c r="X28" s="240">
        <v>107.88347633202397</v>
      </c>
      <c r="Y28" s="154"/>
    </row>
    <row r="29" spans="1:25" ht="18.75" customHeight="1" x14ac:dyDescent="0.25">
      <c r="A29" s="155"/>
      <c r="B29" s="123" t="s">
        <v>83</v>
      </c>
      <c r="C29" s="151">
        <v>5237.7961100000002</v>
      </c>
      <c r="D29" s="151">
        <v>6705.8280000000004</v>
      </c>
      <c r="E29" s="151">
        <v>1939.5640000000001</v>
      </c>
      <c r="F29" s="151">
        <v>1400.165</v>
      </c>
      <c r="G29" s="151">
        <v>539.399</v>
      </c>
      <c r="H29" s="151">
        <v>10004.060109999999</v>
      </c>
      <c r="I29" s="151">
        <v>348.16699999999997</v>
      </c>
      <c r="J29" s="151">
        <v>872.68662885685001</v>
      </c>
      <c r="K29" s="151">
        <v>141.71842256781363</v>
      </c>
      <c r="L29" s="151">
        <v>102.30607246508121</v>
      </c>
      <c r="M29" s="151">
        <v>39.412350102732425</v>
      </c>
      <c r="N29" s="151">
        <v>730.96820628903606</v>
      </c>
      <c r="O29" s="152"/>
      <c r="P29" s="236">
        <v>2354.049</v>
      </c>
      <c r="Q29" s="237">
        <v>329.31400000000002</v>
      </c>
      <c r="R29" s="237">
        <v>5171.6319999999996</v>
      </c>
      <c r="S29" s="237">
        <v>89.432000000000002</v>
      </c>
      <c r="T29" s="237">
        <v>660.46124710668437</v>
      </c>
      <c r="U29" s="238">
        <v>1543.3670477660096</v>
      </c>
      <c r="V29" s="125"/>
      <c r="W29" s="239">
        <v>2268.8780000000002</v>
      </c>
      <c r="X29" s="240">
        <v>107.27154872229359</v>
      </c>
      <c r="Y29" s="154"/>
    </row>
    <row r="30" spans="1:25" x14ac:dyDescent="0.25">
      <c r="A30" s="155"/>
      <c r="B30" s="123" t="s">
        <v>84</v>
      </c>
      <c r="C30" s="151">
        <v>5270.1215000000002</v>
      </c>
      <c r="D30" s="151">
        <v>6859.2129999999997</v>
      </c>
      <c r="E30" s="151">
        <v>1956.8409999999999</v>
      </c>
      <c r="F30" s="151">
        <v>1402.492</v>
      </c>
      <c r="G30" s="151">
        <v>554.34900000000005</v>
      </c>
      <c r="H30" s="151">
        <v>10172.4935</v>
      </c>
      <c r="I30" s="151">
        <v>347.44799999999998</v>
      </c>
      <c r="J30" s="151">
        <v>879.90517830483111</v>
      </c>
      <c r="K30" s="151">
        <v>141.95622431050967</v>
      </c>
      <c r="L30" s="151">
        <v>101.74177102058641</v>
      </c>
      <c r="M30" s="151">
        <v>40.21445328992327</v>
      </c>
      <c r="N30" s="151">
        <v>737.9489539943213</v>
      </c>
      <c r="O30" s="152"/>
      <c r="P30" s="236">
        <v>2400.2800000000002</v>
      </c>
      <c r="Q30" s="237">
        <v>334.51100000000002</v>
      </c>
      <c r="R30" s="237">
        <v>5406.4489999999996</v>
      </c>
      <c r="S30" s="237">
        <v>93.003</v>
      </c>
      <c r="T30" s="237">
        <v>661.31614111942258</v>
      </c>
      <c r="U30" s="238">
        <v>1581.7277623947873</v>
      </c>
      <c r="V30" s="125"/>
      <c r="W30" s="239">
        <v>2291.3519999999999</v>
      </c>
      <c r="X30" s="240">
        <v>107.36441409401823</v>
      </c>
      <c r="Y30" s="154"/>
    </row>
    <row r="31" spans="1:25" x14ac:dyDescent="0.25">
      <c r="A31" s="155"/>
      <c r="B31" s="123" t="s">
        <v>85</v>
      </c>
      <c r="C31" s="151">
        <v>5302.6463899999999</v>
      </c>
      <c r="D31" s="151">
        <v>6792.2280000000001</v>
      </c>
      <c r="E31" s="151">
        <v>1961.154</v>
      </c>
      <c r="F31" s="151">
        <v>1413.8430000000001</v>
      </c>
      <c r="G31" s="151">
        <v>547.31100000000004</v>
      </c>
      <c r="H31" s="151">
        <v>10133.72039</v>
      </c>
      <c r="I31" s="151">
        <v>350.45299999999997</v>
      </c>
      <c r="J31" s="151">
        <v>870.71177305250467</v>
      </c>
      <c r="K31" s="151">
        <v>141.18376276655252</v>
      </c>
      <c r="L31" s="151">
        <v>101.78276397526706</v>
      </c>
      <c r="M31" s="151">
        <v>39.400998791285453</v>
      </c>
      <c r="N31" s="151">
        <v>729.52801028595206</v>
      </c>
      <c r="O31" s="152"/>
      <c r="P31" s="236">
        <v>2396.9180000000001</v>
      </c>
      <c r="Q31" s="237">
        <v>339.36</v>
      </c>
      <c r="R31" s="237">
        <v>5225.2330000000002</v>
      </c>
      <c r="S31" s="237">
        <v>92.445999999999998</v>
      </c>
      <c r="T31" s="237">
        <v>650.95433115345338</v>
      </c>
      <c r="U31" s="238">
        <v>1511.2306363656114</v>
      </c>
      <c r="V31" s="125"/>
      <c r="W31" s="239">
        <v>2300.5140000000001</v>
      </c>
      <c r="X31" s="240">
        <v>106.79297607768336</v>
      </c>
      <c r="Y31" s="154"/>
    </row>
    <row r="32" spans="1:25" x14ac:dyDescent="0.25">
      <c r="A32" s="155"/>
      <c r="B32" s="123" t="s">
        <v>86</v>
      </c>
      <c r="C32" s="151">
        <v>5335.3720000000003</v>
      </c>
      <c r="D32" s="151">
        <v>6668.942</v>
      </c>
      <c r="E32" s="151">
        <v>1974.7719999999999</v>
      </c>
      <c r="F32" s="151">
        <v>1425.835</v>
      </c>
      <c r="G32" s="151">
        <v>548.93700000000001</v>
      </c>
      <c r="H32" s="151">
        <v>10029.541999999999</v>
      </c>
      <c r="I32" s="151">
        <v>356.54599999999999</v>
      </c>
      <c r="J32" s="151">
        <v>855.85300018394219</v>
      </c>
      <c r="K32" s="151">
        <v>140.79226358784382</v>
      </c>
      <c r="L32" s="151">
        <v>101.65555170560113</v>
      </c>
      <c r="M32" s="151">
        <v>39.136711882242722</v>
      </c>
      <c r="N32" s="151">
        <v>715.06073659609842</v>
      </c>
      <c r="O32" s="152"/>
      <c r="P32" s="236">
        <v>2412.2539999999999</v>
      </c>
      <c r="Q32" s="237">
        <v>341.71600000000001</v>
      </c>
      <c r="R32" s="237">
        <v>5047.4309999999996</v>
      </c>
      <c r="S32" s="237">
        <v>92.15</v>
      </c>
      <c r="T32" s="237">
        <v>657.23440254365437</v>
      </c>
      <c r="U32" s="238">
        <v>1468.3083990180669</v>
      </c>
      <c r="V32" s="125"/>
      <c r="W32" s="239">
        <v>2316.4879999999998</v>
      </c>
      <c r="X32" s="240">
        <v>106.67396096537094</v>
      </c>
      <c r="Y32" s="154"/>
    </row>
    <row r="33" spans="1:26" ht="18.75" customHeight="1" x14ac:dyDescent="0.25">
      <c r="A33" s="155"/>
      <c r="B33" s="123" t="s">
        <v>87</v>
      </c>
      <c r="C33" s="151">
        <v>5360.7856000000002</v>
      </c>
      <c r="D33" s="151">
        <v>6954.0140000000001</v>
      </c>
      <c r="E33" s="151">
        <v>1968.3040000000001</v>
      </c>
      <c r="F33" s="151">
        <v>1406.8</v>
      </c>
      <c r="G33" s="151">
        <v>561.50400000000002</v>
      </c>
      <c r="H33" s="151">
        <v>10346.495600000002</v>
      </c>
      <c r="I33" s="151">
        <v>356.42099999999999</v>
      </c>
      <c r="J33" s="151">
        <v>872.85271194753875</v>
      </c>
      <c r="K33" s="151">
        <v>139.51014552743419</v>
      </c>
      <c r="L33" s="151">
        <v>99.711666860400825</v>
      </c>
      <c r="M33" s="151">
        <v>39.798478667033351</v>
      </c>
      <c r="N33" s="151">
        <v>733.34256642010473</v>
      </c>
      <c r="O33" s="152"/>
      <c r="P33" s="236">
        <v>2451.123</v>
      </c>
      <c r="Q33" s="237">
        <v>348.505</v>
      </c>
      <c r="R33" s="237">
        <v>5312.8220000000001</v>
      </c>
      <c r="S33" s="237">
        <v>89.79</v>
      </c>
      <c r="T33" s="237">
        <v>667.1737586046396</v>
      </c>
      <c r="U33" s="238">
        <v>1540.9625764516627</v>
      </c>
      <c r="V33" s="5"/>
      <c r="W33" s="239">
        <v>2316.8090000000002</v>
      </c>
      <c r="X33" s="240">
        <v>105.77201216227321</v>
      </c>
      <c r="Y33" s="154"/>
    </row>
    <row r="34" spans="1:26" x14ac:dyDescent="0.25">
      <c r="A34" s="155"/>
      <c r="B34" s="123" t="s">
        <v>88</v>
      </c>
      <c r="C34" s="151">
        <v>5386.32024</v>
      </c>
      <c r="D34" s="151">
        <v>7132.8940000000002</v>
      </c>
      <c r="E34" s="151">
        <v>1994.3820000000001</v>
      </c>
      <c r="F34" s="151">
        <v>1423.4680000000001</v>
      </c>
      <c r="G34" s="151">
        <v>570.91399999999999</v>
      </c>
      <c r="H34" s="151">
        <v>10524.83224</v>
      </c>
      <c r="I34" s="151">
        <v>363.745</v>
      </c>
      <c r="J34" s="151">
        <v>877.20860867524095</v>
      </c>
      <c r="K34" s="151">
        <v>139.744318281348</v>
      </c>
      <c r="L34" s="151">
        <v>99.740954970168133</v>
      </c>
      <c r="M34" s="151">
        <v>40.003363311179854</v>
      </c>
      <c r="N34" s="151">
        <v>737.46429039389284</v>
      </c>
      <c r="O34" s="152"/>
      <c r="P34" s="236">
        <v>2506.5500000000002</v>
      </c>
      <c r="Q34" s="237">
        <v>349.66500000000002</v>
      </c>
      <c r="R34" s="237">
        <v>5382.2629999999999</v>
      </c>
      <c r="S34" s="237">
        <v>95.248000000000005</v>
      </c>
      <c r="T34" s="237">
        <v>678.11673168593802</v>
      </c>
      <c r="U34" s="238">
        <v>1550.7036690347747</v>
      </c>
      <c r="V34" s="5"/>
      <c r="W34" s="239">
        <v>2344.047</v>
      </c>
      <c r="X34" s="240">
        <v>106.03400076719309</v>
      </c>
      <c r="Y34" s="154"/>
    </row>
    <row r="35" spans="1:26" x14ac:dyDescent="0.25">
      <c r="A35" s="155"/>
      <c r="B35" s="123" t="s">
        <v>89</v>
      </c>
      <c r="C35" s="151">
        <v>5411.9765200000002</v>
      </c>
      <c r="D35" s="151">
        <v>7437.9759999999997</v>
      </c>
      <c r="E35" s="151">
        <v>2021.201</v>
      </c>
      <c r="F35" s="151">
        <v>1436.6559999999999</v>
      </c>
      <c r="G35" s="151">
        <v>584.54499999999996</v>
      </c>
      <c r="H35" s="151">
        <v>10828.75152</v>
      </c>
      <c r="I35" s="151">
        <v>366.44200000000001</v>
      </c>
      <c r="J35" s="151">
        <v>890.40757396646507</v>
      </c>
      <c r="K35" s="151">
        <v>140.054422466348</v>
      </c>
      <c r="L35" s="151">
        <v>99.549736202789163</v>
      </c>
      <c r="M35" s="151">
        <v>40.504686263558845</v>
      </c>
      <c r="N35" s="151">
        <v>750.35315150011706</v>
      </c>
      <c r="O35" s="152"/>
      <c r="P35" s="236">
        <v>2597.4560000000001</v>
      </c>
      <c r="Q35" s="237">
        <v>353.185</v>
      </c>
      <c r="R35" s="237">
        <v>5563.5929999999998</v>
      </c>
      <c r="S35" s="237">
        <v>97.233000000000004</v>
      </c>
      <c r="T35" s="237">
        <v>693.72604634889615</v>
      </c>
      <c r="U35" s="238">
        <v>1580.2473686037911</v>
      </c>
      <c r="V35" s="5"/>
      <c r="W35" s="239">
        <v>2374.386</v>
      </c>
      <c r="X35" s="240">
        <v>106.33418527175074</v>
      </c>
      <c r="Y35" s="154"/>
    </row>
    <row r="36" spans="1:26" x14ac:dyDescent="0.25">
      <c r="A36" s="155"/>
      <c r="B36" s="123" t="s">
        <v>90</v>
      </c>
      <c r="C36" s="151">
        <v>5437.7550000000001</v>
      </c>
      <c r="D36" s="151">
        <v>7112.6589999999997</v>
      </c>
      <c r="E36" s="151">
        <v>2009.2139999999999</v>
      </c>
      <c r="F36" s="151">
        <v>1452.5540000000001</v>
      </c>
      <c r="G36" s="151">
        <v>556.66</v>
      </c>
      <c r="H36" s="151">
        <v>10541.2</v>
      </c>
      <c r="I36" s="151">
        <v>369.93200000000002</v>
      </c>
      <c r="J36" s="151">
        <v>861.65941203125215</v>
      </c>
      <c r="K36" s="151">
        <v>137.94430636989028</v>
      </c>
      <c r="L36" s="151">
        <v>99.726337759347501</v>
      </c>
      <c r="M36" s="151">
        <v>38.21796861054279</v>
      </c>
      <c r="N36" s="151">
        <v>723.71510566136192</v>
      </c>
      <c r="O36" s="152"/>
      <c r="P36" s="236">
        <v>2572.9679999999998</v>
      </c>
      <c r="Q36" s="237">
        <v>352.13600000000002</v>
      </c>
      <c r="R36" s="237">
        <v>5297.2920000000004</v>
      </c>
      <c r="S36" s="237">
        <v>95.385999999999996</v>
      </c>
      <c r="T36" s="237">
        <v>681.29757954969716</v>
      </c>
      <c r="U36" s="238">
        <v>1495.9150763788307</v>
      </c>
      <c r="V36" s="5"/>
      <c r="W36" s="239">
        <v>2361.35</v>
      </c>
      <c r="X36" s="240">
        <v>104.810957668597</v>
      </c>
      <c r="Y36" s="154"/>
    </row>
    <row r="37" spans="1:26" ht="18.75" customHeight="1" x14ac:dyDescent="0.25">
      <c r="A37" s="155"/>
      <c r="B37" s="123" t="s">
        <v>91</v>
      </c>
      <c r="C37" s="151">
        <v>5529.5774199999996</v>
      </c>
      <c r="D37" s="151">
        <v>7149.9780000000001</v>
      </c>
      <c r="E37" s="151">
        <v>2049.3969999999999</v>
      </c>
      <c r="F37" s="151">
        <v>1463.875</v>
      </c>
      <c r="G37" s="151">
        <v>585.52200000000005</v>
      </c>
      <c r="H37" s="151">
        <v>10630.15842</v>
      </c>
      <c r="I37" s="151">
        <v>361.57600000000002</v>
      </c>
      <c r="J37" s="151">
        <v>867.45561967441893</v>
      </c>
      <c r="K37" s="151">
        <v>140.2068831048885</v>
      </c>
      <c r="L37" s="151">
        <v>100.14914192085216</v>
      </c>
      <c r="M37" s="151">
        <v>40.057741184036338</v>
      </c>
      <c r="N37" s="151">
        <v>727.24873656953048</v>
      </c>
      <c r="O37" s="152"/>
      <c r="P37" s="236">
        <v>2710.8229999999999</v>
      </c>
      <c r="Q37" s="237">
        <v>380.47300000000001</v>
      </c>
      <c r="R37" s="237">
        <v>5147.1970000000001</v>
      </c>
      <c r="S37" s="237">
        <v>91.578999999999994</v>
      </c>
      <c r="T37" s="237">
        <v>714.41601703536207</v>
      </c>
      <c r="U37" s="238">
        <v>1456.7738228891596</v>
      </c>
      <c r="V37" s="5"/>
      <c r="W37" s="239">
        <v>2429.87</v>
      </c>
      <c r="X37" s="240">
        <v>107.59530664531769</v>
      </c>
      <c r="Y37" s="154"/>
    </row>
    <row r="38" spans="1:26" x14ac:dyDescent="0.25">
      <c r="A38" s="155"/>
      <c r="B38" s="123" t="s">
        <v>92</v>
      </c>
      <c r="C38" s="151">
        <v>5622.9503699999996</v>
      </c>
      <c r="D38" s="151">
        <v>7528.3040000000001</v>
      </c>
      <c r="E38" s="151">
        <v>2054.9070000000002</v>
      </c>
      <c r="F38" s="151">
        <v>1466.57</v>
      </c>
      <c r="G38" s="151">
        <v>588.33699999999999</v>
      </c>
      <c r="H38" s="151">
        <v>11096.34737</v>
      </c>
      <c r="I38" s="151">
        <v>356.89</v>
      </c>
      <c r="J38" s="151">
        <v>903.96568488631033</v>
      </c>
      <c r="K38" s="151">
        <v>141.24625388358857</v>
      </c>
      <c r="L38" s="151">
        <v>100.80627422946853</v>
      </c>
      <c r="M38" s="151">
        <v>40.439979654120037</v>
      </c>
      <c r="N38" s="151">
        <v>762.71943100272188</v>
      </c>
      <c r="O38" s="152"/>
      <c r="P38" s="236">
        <v>2833.92</v>
      </c>
      <c r="Q38" s="237">
        <v>395.33100000000002</v>
      </c>
      <c r="R38" s="237">
        <v>5495.402</v>
      </c>
      <c r="S38" s="237">
        <v>88.600999999999999</v>
      </c>
      <c r="T38" s="237">
        <v>760.17371291232007</v>
      </c>
      <c r="U38" s="238">
        <v>1580.1364810527928</v>
      </c>
      <c r="V38" s="5"/>
      <c r="W38" s="239">
        <v>2450.2380000000003</v>
      </c>
      <c r="X38" s="240">
        <v>112.46980823235751</v>
      </c>
      <c r="Y38" s="154"/>
    </row>
    <row r="39" spans="1:26" x14ac:dyDescent="0.25">
      <c r="A39" s="155"/>
      <c r="B39" s="123" t="s">
        <v>93</v>
      </c>
      <c r="C39" s="151">
        <v>5717.90002</v>
      </c>
      <c r="D39" s="151">
        <v>7358.7790000000005</v>
      </c>
      <c r="E39" s="151">
        <v>2060.9760000000001</v>
      </c>
      <c r="F39" s="151">
        <v>1479.424</v>
      </c>
      <c r="G39" s="151">
        <v>581.55200000000002</v>
      </c>
      <c r="H39" s="151">
        <v>11015.703019999999</v>
      </c>
      <c r="I39" s="151">
        <v>367.12200000000001</v>
      </c>
      <c r="J39" s="151">
        <v>898.419741398263</v>
      </c>
      <c r="K39" s="151">
        <v>141.59722985599649</v>
      </c>
      <c r="L39" s="151">
        <v>101.64229965922831</v>
      </c>
      <c r="M39" s="151">
        <v>39.95493019676816</v>
      </c>
      <c r="N39" s="151">
        <v>756.82251154226651</v>
      </c>
      <c r="O39" s="152"/>
      <c r="P39" s="236">
        <v>2823.29</v>
      </c>
      <c r="Q39" s="237">
        <v>393.85899999999998</v>
      </c>
      <c r="R39" s="237">
        <v>5330.8959999999997</v>
      </c>
      <c r="S39" s="237">
        <v>106.673</v>
      </c>
      <c r="T39" s="237">
        <v>738.61903154832453</v>
      </c>
      <c r="U39" s="238">
        <v>1497.6899269828564</v>
      </c>
      <c r="V39" s="5"/>
      <c r="W39" s="239">
        <v>2454.835</v>
      </c>
      <c r="X39" s="240">
        <v>114.10184425143694</v>
      </c>
      <c r="Y39" s="154"/>
    </row>
    <row r="40" spans="1:26" x14ac:dyDescent="0.25">
      <c r="A40" s="155"/>
      <c r="B40" s="123" t="s">
        <v>94</v>
      </c>
      <c r="C40" s="151">
        <v>5814.4530000000004</v>
      </c>
      <c r="D40" s="151">
        <v>7563.1440000000002</v>
      </c>
      <c r="E40" s="151">
        <v>2067.665</v>
      </c>
      <c r="F40" s="151">
        <v>1499.76</v>
      </c>
      <c r="G40" s="151">
        <v>567.90499999999997</v>
      </c>
      <c r="H40" s="151">
        <v>11309.932000000001</v>
      </c>
      <c r="I40" s="151">
        <v>368.75299999999999</v>
      </c>
      <c r="J40" s="151">
        <v>919.83908863189595</v>
      </c>
      <c r="K40" s="151">
        <v>142.17195279511478</v>
      </c>
      <c r="L40" s="151">
        <v>103.12299522601647</v>
      </c>
      <c r="M40" s="151">
        <v>39.048957569098306</v>
      </c>
      <c r="N40" s="151">
        <v>777.66713583678109</v>
      </c>
      <c r="O40" s="152"/>
      <c r="P40" s="236">
        <v>2832.0369999999998</v>
      </c>
      <c r="Q40" s="237">
        <v>391.73500000000001</v>
      </c>
      <c r="R40" s="237">
        <v>5647.9049999999997</v>
      </c>
      <c r="S40" s="237">
        <v>94.691999999999993</v>
      </c>
      <c r="T40" s="237">
        <v>742.2550420002882</v>
      </c>
      <c r="U40" s="238">
        <v>1582.9430342423566</v>
      </c>
      <c r="V40" s="5"/>
      <c r="W40" s="239">
        <v>2459.4</v>
      </c>
      <c r="X40" s="240">
        <v>115.75172257991639</v>
      </c>
      <c r="Y40" s="154"/>
    </row>
    <row r="41" spans="1:26" ht="18.75" customHeight="1" x14ac:dyDescent="0.25">
      <c r="A41" s="155"/>
      <c r="B41" s="123" t="s">
        <v>95</v>
      </c>
      <c r="C41" s="151">
        <v>5906.3169099999996</v>
      </c>
      <c r="D41" s="151">
        <v>7397.9009999999998</v>
      </c>
      <c r="E41" s="151">
        <v>2075.5819999999999</v>
      </c>
      <c r="F41" s="151">
        <v>1517.2829999999999</v>
      </c>
      <c r="G41" s="151">
        <v>558.29899999999998</v>
      </c>
      <c r="H41" s="151">
        <v>11228.635910000001</v>
      </c>
      <c r="I41" s="151">
        <v>375.94200000000001</v>
      </c>
      <c r="J41" s="151">
        <v>905.84561182046525</v>
      </c>
      <c r="K41" s="151">
        <v>141.32035865560658</v>
      </c>
      <c r="L41" s="151">
        <v>103.30739895704181</v>
      </c>
      <c r="M41" s="151">
        <v>38.012959698564792</v>
      </c>
      <c r="N41" s="151">
        <v>764.52525316485878</v>
      </c>
      <c r="O41" s="152"/>
      <c r="P41" s="236">
        <v>2814.288</v>
      </c>
      <c r="Q41" s="237">
        <v>395.94799999999998</v>
      </c>
      <c r="R41" s="237">
        <v>5682.6130000000003</v>
      </c>
      <c r="S41" s="237">
        <v>95.884</v>
      </c>
      <c r="T41" s="237">
        <v>729.37359077361657</v>
      </c>
      <c r="U41" s="238">
        <v>1575.3689257483479</v>
      </c>
      <c r="V41" s="5"/>
      <c r="W41" s="239">
        <v>2471.5299999999997</v>
      </c>
      <c r="X41" s="240">
        <v>117.10798205708582</v>
      </c>
      <c r="Y41" s="154"/>
    </row>
    <row r="42" spans="1:26" x14ac:dyDescent="0.25">
      <c r="A42" s="155"/>
      <c r="B42" s="123" t="s">
        <v>96</v>
      </c>
      <c r="C42" s="151">
        <v>5999.6322</v>
      </c>
      <c r="D42" s="151">
        <v>7653.9059999999999</v>
      </c>
      <c r="E42" s="151">
        <v>2108.002</v>
      </c>
      <c r="F42" s="151">
        <v>1541.6669999999999</v>
      </c>
      <c r="G42" s="151">
        <v>566.33500000000004</v>
      </c>
      <c r="H42" s="151">
        <v>11545.536199999999</v>
      </c>
      <c r="I42" s="151">
        <v>378.37400000000002</v>
      </c>
      <c r="J42" s="151">
        <v>916.22739635389007</v>
      </c>
      <c r="K42" s="151">
        <v>141.45851102308362</v>
      </c>
      <c r="L42" s="151">
        <v>103.45432229828255</v>
      </c>
      <c r="M42" s="151">
        <v>38.004188724801054</v>
      </c>
      <c r="N42" s="151">
        <v>774.76888533080648</v>
      </c>
      <c r="O42" s="152"/>
      <c r="P42" s="236">
        <v>2874.8130000000001</v>
      </c>
      <c r="Q42" s="237">
        <v>395.46199999999999</v>
      </c>
      <c r="R42" s="237">
        <v>5949.7740000000003</v>
      </c>
      <c r="S42" s="237">
        <v>103.82599999999999</v>
      </c>
      <c r="T42" s="237">
        <v>716.77691204886867</v>
      </c>
      <c r="U42" s="238">
        <v>1582.0572212179768</v>
      </c>
      <c r="V42" s="5"/>
      <c r="W42" s="239">
        <v>2503.4639999999999</v>
      </c>
      <c r="X42" s="240">
        <v>113.49620019140718</v>
      </c>
      <c r="Y42" s="154"/>
    </row>
    <row r="43" spans="1:26" x14ac:dyDescent="0.25">
      <c r="A43" s="155"/>
      <c r="B43" s="123" t="s">
        <v>97</v>
      </c>
      <c r="C43" s="151">
        <v>6094.4218000000001</v>
      </c>
      <c r="D43" s="151">
        <v>7599.625</v>
      </c>
      <c r="E43" s="151">
        <v>2111.0210000000002</v>
      </c>
      <c r="F43" s="151">
        <v>1551.962</v>
      </c>
      <c r="G43" s="151">
        <v>559.05899999999997</v>
      </c>
      <c r="H43" s="151">
        <v>11583.025800000001</v>
      </c>
      <c r="I43" s="151">
        <v>381.70800000000003</v>
      </c>
      <c r="J43" s="151">
        <v>910.03828474252339</v>
      </c>
      <c r="K43" s="151">
        <v>140.28796293404272</v>
      </c>
      <c r="L43" s="151">
        <v>103.13568056928035</v>
      </c>
      <c r="M43" s="151">
        <v>37.15228236476235</v>
      </c>
      <c r="N43" s="151">
        <v>769.75032180848063</v>
      </c>
      <c r="O43" s="152"/>
      <c r="P43" s="236">
        <v>2723.0219999999999</v>
      </c>
      <c r="Q43" s="237">
        <v>390.26299999999998</v>
      </c>
      <c r="R43" s="237">
        <v>5883.44</v>
      </c>
      <c r="S43" s="237">
        <v>104.764</v>
      </c>
      <c r="T43" s="237">
        <v>682.17784079806393</v>
      </c>
      <c r="U43" s="238">
        <v>1571.7027502342382</v>
      </c>
      <c r="V43" s="5"/>
      <c r="W43" s="239">
        <v>2501.2840000000001</v>
      </c>
      <c r="X43" s="240">
        <v>110.76661188748172</v>
      </c>
      <c r="Y43" s="154"/>
    </row>
    <row r="44" spans="1:26" x14ac:dyDescent="0.25">
      <c r="A44" s="155"/>
      <c r="B44" s="123" t="s">
        <v>98</v>
      </c>
      <c r="C44" s="151">
        <v>6190.7089999999998</v>
      </c>
      <c r="D44" s="151">
        <v>7661.8630000000003</v>
      </c>
      <c r="E44" s="151">
        <v>2095.29</v>
      </c>
      <c r="F44" s="151">
        <v>1562.357</v>
      </c>
      <c r="G44" s="151">
        <v>532.93299999999999</v>
      </c>
      <c r="H44" s="151">
        <v>11757.281999999999</v>
      </c>
      <c r="I44" s="151">
        <v>383.75299999999999</v>
      </c>
      <c r="J44" s="151">
        <v>911.48714581152376</v>
      </c>
      <c r="K44" s="151">
        <v>137.86825303975516</v>
      </c>
      <c r="L44" s="151">
        <v>102.80172683229183</v>
      </c>
      <c r="M44" s="151">
        <v>35.066526207463326</v>
      </c>
      <c r="N44" s="151">
        <v>773.6188927717684</v>
      </c>
      <c r="O44" s="152"/>
      <c r="P44" s="236">
        <v>2879.9369999999999</v>
      </c>
      <c r="Q44" s="237">
        <v>392.041</v>
      </c>
      <c r="R44" s="237">
        <v>5971.0690000000004</v>
      </c>
      <c r="S44" s="237">
        <v>105.20399999999999</v>
      </c>
      <c r="T44" s="237">
        <v>702.97575168791093</v>
      </c>
      <c r="U44" s="238">
        <v>1553.1978773573392</v>
      </c>
      <c r="V44" s="5"/>
      <c r="W44" s="239">
        <v>2487.3310000000001</v>
      </c>
      <c r="X44" s="240">
        <v>107.09012800884507</v>
      </c>
      <c r="Y44" s="154"/>
    </row>
    <row r="45" spans="1:26" ht="18" customHeight="1" x14ac:dyDescent="0.25">
      <c r="A45" s="155"/>
      <c r="B45" s="123" t="s">
        <v>99</v>
      </c>
      <c r="C45" s="151">
        <v>6301.0505000000003</v>
      </c>
      <c r="D45" s="151">
        <v>7331.0969999999998</v>
      </c>
      <c r="E45" s="151">
        <v>2119.1280000000002</v>
      </c>
      <c r="F45" s="151">
        <v>1577.2950000000001</v>
      </c>
      <c r="G45" s="151">
        <v>541.83299999999997</v>
      </c>
      <c r="H45" s="151">
        <v>11513.0195</v>
      </c>
      <c r="I45" s="151">
        <v>391.69099999999997</v>
      </c>
      <c r="J45" s="151">
        <v>887.78356732481234</v>
      </c>
      <c r="K45" s="151">
        <v>138.0066504897996</v>
      </c>
      <c r="L45" s="151">
        <v>102.72017536661704</v>
      </c>
      <c r="M45" s="151">
        <v>35.286475123182541</v>
      </c>
      <c r="N45" s="151">
        <v>749.7769168350128</v>
      </c>
      <c r="O45" s="152"/>
      <c r="P45" s="236">
        <v>3019.2330000000002</v>
      </c>
      <c r="Q45" s="237">
        <v>396.87799999999999</v>
      </c>
      <c r="R45" s="237">
        <v>5707.5659999999998</v>
      </c>
      <c r="S45" s="237">
        <v>105.923</v>
      </c>
      <c r="T45" s="237">
        <v>719.34970468196434</v>
      </c>
      <c r="U45" s="238">
        <v>1454.4190490258911</v>
      </c>
      <c r="V45" s="5"/>
      <c r="W45" s="239">
        <v>2516.0060000000003</v>
      </c>
      <c r="X45" s="240">
        <v>104.80956447480787</v>
      </c>
      <c r="Z45" s="154"/>
    </row>
    <row r="46" spans="1:26" ht="15" customHeight="1" x14ac:dyDescent="0.25">
      <c r="A46" s="155"/>
      <c r="B46" s="123" t="s">
        <v>100</v>
      </c>
      <c r="C46" s="151">
        <v>6413.35869</v>
      </c>
      <c r="D46" s="151">
        <v>6960.4970000000003</v>
      </c>
      <c r="E46" s="151">
        <v>2158.848</v>
      </c>
      <c r="F46" s="151">
        <v>1591.816</v>
      </c>
      <c r="G46" s="151">
        <v>567.03200000000004</v>
      </c>
      <c r="H46" s="151">
        <v>11215.007690000002</v>
      </c>
      <c r="I46" s="151">
        <v>396.20100000000002</v>
      </c>
      <c r="J46" s="151">
        <v>860.96693346586392</v>
      </c>
      <c r="K46" s="151">
        <v>138.97987128489143</v>
      </c>
      <c r="L46" s="151">
        <v>102.47612744817178</v>
      </c>
      <c r="M46" s="151">
        <v>36.503743836719664</v>
      </c>
      <c r="N46" s="151">
        <v>721.98706218097243</v>
      </c>
      <c r="O46" s="152"/>
      <c r="P46" s="236">
        <v>3063.1439999999998</v>
      </c>
      <c r="Q46" s="237">
        <v>395.315</v>
      </c>
      <c r="R46" s="237">
        <v>5577.6750000000002</v>
      </c>
      <c r="S46" s="237">
        <v>117.351</v>
      </c>
      <c r="T46" s="237">
        <v>707.02840444832214</v>
      </c>
      <c r="U46" s="238">
        <v>1378.6728895167134</v>
      </c>
      <c r="V46" s="5"/>
      <c r="W46" s="239">
        <v>2554.163</v>
      </c>
      <c r="X46" s="240">
        <v>103.68791199512202</v>
      </c>
      <c r="Z46" s="154"/>
    </row>
    <row r="47" spans="1:26" ht="15" customHeight="1" x14ac:dyDescent="0.25">
      <c r="A47" s="155"/>
      <c r="B47" s="123" t="s">
        <v>101</v>
      </c>
      <c r="C47" s="151">
        <v>6527.6686300000001</v>
      </c>
      <c r="D47" s="151">
        <v>6531.57</v>
      </c>
      <c r="E47" s="151">
        <v>2190.5549999999998</v>
      </c>
      <c r="F47" s="151">
        <v>1610.0840000000001</v>
      </c>
      <c r="G47" s="151">
        <v>580.471</v>
      </c>
      <c r="H47" s="151">
        <v>10868.68363</v>
      </c>
      <c r="I47" s="151">
        <v>403.58199999999999</v>
      </c>
      <c r="J47" s="151">
        <v>829.03852143214931</v>
      </c>
      <c r="K47" s="151">
        <v>139.06281443880786</v>
      </c>
      <c r="L47" s="151">
        <v>102.2128239295035</v>
      </c>
      <c r="M47" s="151">
        <v>36.849990509304376</v>
      </c>
      <c r="N47" s="151">
        <v>689.9757069933413</v>
      </c>
      <c r="O47" s="152"/>
      <c r="P47" s="236">
        <v>3119.623</v>
      </c>
      <c r="Q47" s="237">
        <v>396.82400000000001</v>
      </c>
      <c r="R47" s="237">
        <v>5357.9790000000003</v>
      </c>
      <c r="S47" s="237">
        <v>102.021</v>
      </c>
      <c r="T47" s="237">
        <v>724.65278664991092</v>
      </c>
      <c r="U47" s="238">
        <v>1336.7749983159079</v>
      </c>
      <c r="V47" s="5"/>
      <c r="W47" s="239">
        <v>2587.3789999999999</v>
      </c>
      <c r="X47" s="240">
        <v>102.63939379033371</v>
      </c>
      <c r="Z47" s="154"/>
    </row>
    <row r="48" spans="1:26" ht="15" customHeight="1" x14ac:dyDescent="0.25">
      <c r="A48" s="155"/>
      <c r="B48" s="123" t="s">
        <v>102</v>
      </c>
      <c r="C48" s="151">
        <v>6644.0159999999996</v>
      </c>
      <c r="D48" s="151">
        <v>6580.6080000000002</v>
      </c>
      <c r="E48" s="151">
        <v>2189.9009999999998</v>
      </c>
      <c r="F48" s="151">
        <v>1619.6110000000001</v>
      </c>
      <c r="G48" s="151">
        <v>570.29</v>
      </c>
      <c r="H48" s="151">
        <v>11034.723</v>
      </c>
      <c r="I48" s="151">
        <v>422.05500000000001</v>
      </c>
      <c r="J48" s="151">
        <v>819.60869621804113</v>
      </c>
      <c r="K48" s="151">
        <v>135.72120488692795</v>
      </c>
      <c r="L48" s="151">
        <v>100.37693775568954</v>
      </c>
      <c r="M48" s="151">
        <v>35.344267131238418</v>
      </c>
      <c r="N48" s="151">
        <v>683.88749133111321</v>
      </c>
      <c r="O48" s="152"/>
      <c r="P48" s="236">
        <v>3096.1590000000001</v>
      </c>
      <c r="Q48" s="237">
        <v>395.53699999999998</v>
      </c>
      <c r="R48" s="237">
        <v>5570.0690000000004</v>
      </c>
      <c r="S48" s="237">
        <v>116.467</v>
      </c>
      <c r="T48" s="237">
        <v>700.86585084276157</v>
      </c>
      <c r="U48" s="238">
        <v>1350.4117601785579</v>
      </c>
      <c r="V48" s="5"/>
      <c r="W48" s="239">
        <v>2585.4379999999996</v>
      </c>
      <c r="X48" s="240">
        <v>100.17392827212004</v>
      </c>
      <c r="Z48" s="154"/>
    </row>
    <row r="49" spans="1:26" ht="18" customHeight="1" x14ac:dyDescent="0.25">
      <c r="A49" s="155"/>
      <c r="B49" s="123" t="s">
        <v>103</v>
      </c>
      <c r="C49" s="151">
        <v>6599.26872</v>
      </c>
      <c r="D49" s="151">
        <v>6609.1310000000003</v>
      </c>
      <c r="E49" s="151">
        <v>2197.0500000000002</v>
      </c>
      <c r="F49" s="151">
        <v>1618.7940000000001</v>
      </c>
      <c r="G49" s="151">
        <v>578.25599999999997</v>
      </c>
      <c r="H49" s="151">
        <v>11011.349719999998</v>
      </c>
      <c r="I49" s="151">
        <v>426.11500000000001</v>
      </c>
      <c r="J49" s="151">
        <v>801.50342394473637</v>
      </c>
      <c r="K49" s="151">
        <v>133.31994298381085</v>
      </c>
      <c r="L49" s="151">
        <v>98.230592741419215</v>
      </c>
      <c r="M49" s="151">
        <v>35.089350242391617</v>
      </c>
      <c r="N49" s="151">
        <v>668.18348096092541</v>
      </c>
      <c r="O49" s="152"/>
      <c r="P49" s="236">
        <v>3040.5659999999998</v>
      </c>
      <c r="Q49" s="237">
        <v>394.75900000000001</v>
      </c>
      <c r="R49" s="237">
        <v>5573.777</v>
      </c>
      <c r="S49" s="237">
        <v>128.804</v>
      </c>
      <c r="T49" s="237">
        <v>654.38756206377798</v>
      </c>
      <c r="U49" s="238">
        <v>1284.5423260438658</v>
      </c>
      <c r="V49" s="5"/>
      <c r="W49" s="239">
        <v>2591.8090000000002</v>
      </c>
      <c r="X49" s="240">
        <v>98.281464425896502</v>
      </c>
      <c r="Z49" s="154"/>
    </row>
    <row r="50" spans="1:26" ht="15" customHeight="1" x14ac:dyDescent="0.25">
      <c r="A50" s="155"/>
      <c r="B50" s="123" t="s">
        <v>104</v>
      </c>
      <c r="C50" s="151">
        <v>6554.8228099999997</v>
      </c>
      <c r="D50" s="151">
        <v>6408.701</v>
      </c>
      <c r="E50" s="151">
        <v>2205.7939999999999</v>
      </c>
      <c r="F50" s="151">
        <v>1618.12</v>
      </c>
      <c r="G50" s="151">
        <v>587.67399999999998</v>
      </c>
      <c r="H50" s="151">
        <v>10757.729809999999</v>
      </c>
      <c r="I50" s="151">
        <v>435.83600000000001</v>
      </c>
      <c r="J50" s="151">
        <v>768.16875979208191</v>
      </c>
      <c r="K50" s="151">
        <v>130.70690239560841</v>
      </c>
      <c r="L50" s="151">
        <v>95.883592440809011</v>
      </c>
      <c r="M50" s="151">
        <v>34.823309954799392</v>
      </c>
      <c r="N50" s="151">
        <v>637.46185739647353</v>
      </c>
      <c r="O50" s="152"/>
      <c r="P50" s="236">
        <v>3024.0309999999999</v>
      </c>
      <c r="Q50" s="237">
        <v>391.55500000000001</v>
      </c>
      <c r="R50" s="237">
        <v>5348.317</v>
      </c>
      <c r="S50" s="237">
        <v>119.46599999999999</v>
      </c>
      <c r="T50" s="237">
        <v>647.87984351634032</v>
      </c>
      <c r="U50" s="238">
        <v>1229.7318953290571</v>
      </c>
      <c r="V50" s="5"/>
      <c r="W50" s="239">
        <v>2597.3489999999997</v>
      </c>
      <c r="X50" s="240">
        <v>96.64719842646609</v>
      </c>
      <c r="Z50" s="154"/>
    </row>
    <row r="51" spans="1:26" ht="15" customHeight="1" x14ac:dyDescent="0.25">
      <c r="A51" s="155"/>
      <c r="B51" s="123" t="s">
        <v>105</v>
      </c>
      <c r="C51" s="151">
        <v>6510.6762399999998</v>
      </c>
      <c r="D51" s="151">
        <v>6386.1</v>
      </c>
      <c r="E51" s="151">
        <v>2240.799</v>
      </c>
      <c r="F51" s="151">
        <v>1620.9069999999999</v>
      </c>
      <c r="G51" s="151">
        <v>619.89200000000005</v>
      </c>
      <c r="H51" s="151">
        <v>10655.97724</v>
      </c>
      <c r="I51" s="151">
        <v>437.33199999999999</v>
      </c>
      <c r="J51" s="151">
        <v>749.22974105027583</v>
      </c>
      <c r="K51" s="151">
        <v>130.1777454515034</v>
      </c>
      <c r="L51" s="151">
        <v>94.165527049306974</v>
      </c>
      <c r="M51" s="151">
        <v>36.012218402196424</v>
      </c>
      <c r="N51" s="151">
        <v>619.05199559877258</v>
      </c>
      <c r="O51" s="152"/>
      <c r="P51" s="236">
        <v>3013.8029999999999</v>
      </c>
      <c r="Q51" s="237">
        <v>394.00599999999997</v>
      </c>
      <c r="R51" s="237">
        <v>5401.31</v>
      </c>
      <c r="S51" s="237">
        <v>118.95399999999999</v>
      </c>
      <c r="T51" s="237">
        <v>623.08436584513663</v>
      </c>
      <c r="U51" s="238">
        <v>1198.1442697920779</v>
      </c>
      <c r="V51" s="5"/>
      <c r="W51" s="239">
        <v>2634.8049999999998</v>
      </c>
      <c r="X51" s="240">
        <v>96.505827588644493</v>
      </c>
      <c r="Z51" s="154"/>
    </row>
    <row r="52" spans="1:26" ht="15" customHeight="1" x14ac:dyDescent="0.25">
      <c r="A52" s="155"/>
      <c r="B52" s="123" t="s">
        <v>106</v>
      </c>
      <c r="C52" s="151">
        <v>6466.8270000000002</v>
      </c>
      <c r="D52" s="151">
        <v>6582.1589999999997</v>
      </c>
      <c r="E52" s="151">
        <v>2239.942</v>
      </c>
      <c r="F52" s="151">
        <v>1619.94</v>
      </c>
      <c r="G52" s="151">
        <v>620.00199999999995</v>
      </c>
      <c r="H52" s="151">
        <v>10809.044</v>
      </c>
      <c r="I52" s="151">
        <v>440.86700000000002</v>
      </c>
      <c r="J52" s="151">
        <v>749.87707956210681</v>
      </c>
      <c r="K52" s="151">
        <v>128.72120219521307</v>
      </c>
      <c r="L52" s="151">
        <v>93.091974829756069</v>
      </c>
      <c r="M52" s="151">
        <v>35.629227365456998</v>
      </c>
      <c r="N52" s="151">
        <v>621.15587736689372</v>
      </c>
      <c r="O52" s="152"/>
      <c r="P52" s="236">
        <v>2980.66</v>
      </c>
      <c r="Q52" s="237">
        <v>391.15499999999997</v>
      </c>
      <c r="R52" s="237">
        <v>5489.2960000000003</v>
      </c>
      <c r="S52" s="237">
        <v>115.986</v>
      </c>
      <c r="T52" s="237">
        <v>616.84567786262699</v>
      </c>
      <c r="U52" s="238">
        <v>1216.9555679725172</v>
      </c>
      <c r="V52" s="5"/>
      <c r="W52" s="239">
        <v>2631.0969999999998</v>
      </c>
      <c r="X52" s="240">
        <v>95.601025229601149</v>
      </c>
      <c r="Z52" s="154"/>
    </row>
    <row r="53" spans="1:26" ht="18" customHeight="1" x14ac:dyDescent="0.25">
      <c r="A53" s="155"/>
      <c r="B53" s="123" t="s">
        <v>107</v>
      </c>
      <c r="C53" s="151">
        <v>6525.9483</v>
      </c>
      <c r="D53" s="151">
        <v>6619.7560000000003</v>
      </c>
      <c r="E53" s="151">
        <v>2252.288</v>
      </c>
      <c r="F53" s="151">
        <v>1620.57</v>
      </c>
      <c r="G53" s="151">
        <v>631.71799999999996</v>
      </c>
      <c r="H53" s="151">
        <v>10893.416300000001</v>
      </c>
      <c r="I53" s="151">
        <v>454.74299999999999</v>
      </c>
      <c r="J53" s="151">
        <v>743.20826581967901</v>
      </c>
      <c r="K53" s="151">
        <v>127.3358216802787</v>
      </c>
      <c r="L53" s="151">
        <v>91.620881761306393</v>
      </c>
      <c r="M53" s="151">
        <v>35.714939918972306</v>
      </c>
      <c r="N53" s="151">
        <v>615.87244413940027</v>
      </c>
      <c r="O53" s="152"/>
      <c r="P53" s="236">
        <v>2942.1289999999999</v>
      </c>
      <c r="Q53" s="237">
        <v>393.04399999999998</v>
      </c>
      <c r="R53" s="237">
        <v>5599.5609999999997</v>
      </c>
      <c r="S53" s="237">
        <v>113.652</v>
      </c>
      <c r="T53" s="237">
        <v>628.58214152946857</v>
      </c>
      <c r="U53" s="238">
        <v>1280.3124826410401</v>
      </c>
      <c r="V53" s="5"/>
      <c r="W53" s="239">
        <v>2645.3319999999999</v>
      </c>
      <c r="X53" s="240">
        <v>95.223991274329464</v>
      </c>
      <c r="Z53" s="154"/>
    </row>
    <row r="54" spans="1:26" ht="15" customHeight="1" x14ac:dyDescent="0.25">
      <c r="A54" s="155"/>
      <c r="B54" s="123" t="s">
        <v>108</v>
      </c>
      <c r="C54" s="151">
        <v>6585.6100900000001</v>
      </c>
      <c r="D54" s="151">
        <v>6610.2150000000001</v>
      </c>
      <c r="E54" s="151">
        <v>2267.6120000000001</v>
      </c>
      <c r="F54" s="151">
        <v>1627.0239999999999</v>
      </c>
      <c r="G54" s="151">
        <v>640.58799999999997</v>
      </c>
      <c r="H54" s="151">
        <v>10928.213089999999</v>
      </c>
      <c r="I54" s="151">
        <v>459.32299999999998</v>
      </c>
      <c r="J54" s="151">
        <v>736.26528945217376</v>
      </c>
      <c r="K54" s="151">
        <v>126.52213818827016</v>
      </c>
      <c r="L54" s="151">
        <v>90.780325454104158</v>
      </c>
      <c r="M54" s="151">
        <v>35.741812734165983</v>
      </c>
      <c r="N54" s="151">
        <v>609.74315126390343</v>
      </c>
      <c r="O54" s="152"/>
      <c r="P54" s="236">
        <v>2951.5790000000002</v>
      </c>
      <c r="Q54" s="237">
        <v>393.31299999999999</v>
      </c>
      <c r="R54" s="237">
        <v>5644.1289999999999</v>
      </c>
      <c r="S54" s="237">
        <v>124.09399999999999</v>
      </c>
      <c r="T54" s="237">
        <v>624.42699804944516</v>
      </c>
      <c r="U54" s="238">
        <v>1277.2627071671257</v>
      </c>
      <c r="V54" s="5"/>
      <c r="W54" s="239">
        <v>2660.9250000000002</v>
      </c>
      <c r="X54" s="240">
        <v>94.821853899672021</v>
      </c>
      <c r="Z54" s="154"/>
    </row>
    <row r="55" spans="1:26" ht="15" customHeight="1" x14ac:dyDescent="0.25">
      <c r="A55" s="155"/>
      <c r="B55" s="123" t="s">
        <v>109</v>
      </c>
      <c r="C55" s="151">
        <v>6645.8173299999999</v>
      </c>
      <c r="D55" s="151">
        <v>6655.8689999999997</v>
      </c>
      <c r="E55" s="151">
        <v>2288.9340000000002</v>
      </c>
      <c r="F55" s="151">
        <v>1637.136</v>
      </c>
      <c r="G55" s="151">
        <v>651.798</v>
      </c>
      <c r="H55" s="151">
        <v>11012.752329999999</v>
      </c>
      <c r="I55" s="151">
        <v>469.37900000000002</v>
      </c>
      <c r="J55" s="151">
        <v>729.13439861164102</v>
      </c>
      <c r="K55" s="151">
        <v>125.46834094168105</v>
      </c>
      <c r="L55" s="151">
        <v>89.739912909633873</v>
      </c>
      <c r="M55" s="151">
        <v>35.728428032047148</v>
      </c>
      <c r="N55" s="151">
        <v>603.66605766995997</v>
      </c>
      <c r="O55" s="152"/>
      <c r="P55" s="236">
        <v>2949.5</v>
      </c>
      <c r="Q55" s="237">
        <v>399.27100000000002</v>
      </c>
      <c r="R55" s="237">
        <v>5657.12</v>
      </c>
      <c r="S55" s="237">
        <v>122.44499999999999</v>
      </c>
      <c r="T55" s="237">
        <v>619.41252937458125</v>
      </c>
      <c r="U55" s="238">
        <v>1271.8781041503473</v>
      </c>
      <c r="V55" s="5"/>
      <c r="W55" s="239">
        <v>2688.2050000000004</v>
      </c>
      <c r="X55" s="240">
        <v>94.544714692281843</v>
      </c>
      <c r="Z55" s="154"/>
    </row>
    <row r="56" spans="1:26" ht="15" customHeight="1" x14ac:dyDescent="0.25">
      <c r="A56" s="155"/>
      <c r="B56" s="123" t="s">
        <v>110</v>
      </c>
      <c r="C56" s="151">
        <v>6706.5749999999998</v>
      </c>
      <c r="D56" s="151">
        <v>6566.9589999999998</v>
      </c>
      <c r="E56" s="151">
        <v>2293.0709999999999</v>
      </c>
      <c r="F56" s="151">
        <v>1643.883</v>
      </c>
      <c r="G56" s="151">
        <v>649.18799999999999</v>
      </c>
      <c r="H56" s="151">
        <v>10980.463</v>
      </c>
      <c r="I56" s="151">
        <v>479.81799999999998</v>
      </c>
      <c r="J56" s="151">
        <v>712.38112923403719</v>
      </c>
      <c r="K56" s="151">
        <v>123.06748966732017</v>
      </c>
      <c r="L56" s="151">
        <v>88.226031429808884</v>
      </c>
      <c r="M56" s="151">
        <v>34.841458237511283</v>
      </c>
      <c r="N56" s="151">
        <v>589.31363956671703</v>
      </c>
      <c r="O56" s="152"/>
      <c r="P56" s="236">
        <v>2955.413</v>
      </c>
      <c r="Q56" s="237">
        <v>403.11200000000002</v>
      </c>
      <c r="R56" s="237">
        <v>5460.1710000000003</v>
      </c>
      <c r="S56" s="237">
        <v>121.361</v>
      </c>
      <c r="T56" s="237">
        <v>613.72665880320301</v>
      </c>
      <c r="U56" s="238">
        <v>1217.5804482174306</v>
      </c>
      <c r="V56" s="5"/>
      <c r="W56" s="239">
        <v>2696.183</v>
      </c>
      <c r="X56" s="240">
        <v>93.285330631840665</v>
      </c>
      <c r="Z56" s="154"/>
    </row>
    <row r="57" spans="1:26" ht="18" customHeight="1" x14ac:dyDescent="0.25">
      <c r="A57" s="155"/>
      <c r="B57" s="123" t="s">
        <v>111</v>
      </c>
      <c r="C57" s="151">
        <v>6674.26307</v>
      </c>
      <c r="D57" s="151">
        <v>6548.5910000000003</v>
      </c>
      <c r="E57" s="151">
        <v>2315.0419999999999</v>
      </c>
      <c r="F57" s="151">
        <v>1658.8409999999999</v>
      </c>
      <c r="G57" s="151">
        <v>656.20100000000002</v>
      </c>
      <c r="H57" s="151">
        <v>10907.81207</v>
      </c>
      <c r="I57" s="151">
        <v>483.24299999999999</v>
      </c>
      <c r="J57" s="151">
        <v>698.96990637833608</v>
      </c>
      <c r="K57" s="151">
        <v>122.37484293751383</v>
      </c>
      <c r="L57" s="151">
        <v>87.687569743144351</v>
      </c>
      <c r="M57" s="151">
        <v>34.687273194369489</v>
      </c>
      <c r="N57" s="151">
        <v>576.59506344082217</v>
      </c>
      <c r="O57" s="152"/>
      <c r="P57" s="236">
        <v>2789.3009999999999</v>
      </c>
      <c r="Q57" s="237">
        <v>407.30099999999999</v>
      </c>
      <c r="R57" s="237">
        <v>5287.5290000000005</v>
      </c>
      <c r="S57" s="237">
        <v>119.68899999999999</v>
      </c>
      <c r="T57" s="237">
        <v>572.05987009551086</v>
      </c>
      <c r="U57" s="238">
        <v>1167.957029383354</v>
      </c>
      <c r="V57" s="5"/>
      <c r="W57" s="239">
        <v>2722.3429999999998</v>
      </c>
      <c r="X57" s="240">
        <v>92.823296871307946</v>
      </c>
      <c r="Z57" s="154"/>
    </row>
    <row r="58" spans="1:26" ht="15" customHeight="1" x14ac:dyDescent="0.25">
      <c r="A58" s="155"/>
      <c r="B58" s="123" t="s">
        <v>112</v>
      </c>
      <c r="C58" s="151">
        <v>6681.3967499999999</v>
      </c>
      <c r="D58" s="151">
        <v>6597.98</v>
      </c>
      <c r="E58" s="151">
        <v>2323.2489999999998</v>
      </c>
      <c r="F58" s="151">
        <v>1663.269</v>
      </c>
      <c r="G58" s="151">
        <v>659.98</v>
      </c>
      <c r="H58" s="151">
        <v>10956.12775</v>
      </c>
      <c r="I58" s="151">
        <v>484.78300000000002</v>
      </c>
      <c r="J58" s="151">
        <v>692.63600269765175</v>
      </c>
      <c r="K58" s="151">
        <v>121.1778181254867</v>
      </c>
      <c r="L58" s="151">
        <v>86.754070861866367</v>
      </c>
      <c r="M58" s="151">
        <v>34.423747263620349</v>
      </c>
      <c r="N58" s="151">
        <v>571.45818457216512</v>
      </c>
      <c r="O58" s="152"/>
      <c r="P58" s="236">
        <v>2806.8670000000002</v>
      </c>
      <c r="Q58" s="237">
        <v>415.23099999999999</v>
      </c>
      <c r="R58" s="237">
        <v>5276.6130000000003</v>
      </c>
      <c r="S58" s="237">
        <v>128.292</v>
      </c>
      <c r="T58" s="237">
        <v>570.74851510918347</v>
      </c>
      <c r="U58" s="238">
        <v>1157.3799226087717</v>
      </c>
      <c r="V58" s="241"/>
      <c r="W58" s="239">
        <v>2738.4799999999996</v>
      </c>
      <c r="X58" s="240">
        <v>92.175974763423923</v>
      </c>
      <c r="Z58" s="154"/>
    </row>
    <row r="59" spans="1:26" ht="15" customHeight="1" x14ac:dyDescent="0.25">
      <c r="A59" s="155"/>
      <c r="B59" s="123" t="s">
        <v>113</v>
      </c>
      <c r="C59" s="151">
        <v>6688.5380599999999</v>
      </c>
      <c r="D59" s="151">
        <v>6637.4650000000001</v>
      </c>
      <c r="E59" s="151">
        <v>2341.2429999999999</v>
      </c>
      <c r="F59" s="151">
        <v>1678.356</v>
      </c>
      <c r="G59" s="151">
        <v>662.88699999999994</v>
      </c>
      <c r="H59" s="151">
        <v>10984.760059999999</v>
      </c>
      <c r="I59" s="151">
        <v>485.06099999999998</v>
      </c>
      <c r="J59" s="151">
        <v>689.42876447626759</v>
      </c>
      <c r="K59" s="151">
        <v>121.12561145012299</v>
      </c>
      <c r="L59" s="151">
        <v>86.830754744801226</v>
      </c>
      <c r="M59" s="151">
        <v>34.294856705321777</v>
      </c>
      <c r="N59" s="151">
        <v>568.30315302614451</v>
      </c>
      <c r="O59" s="152"/>
      <c r="P59" s="236">
        <v>2818.0340000000001</v>
      </c>
      <c r="Q59" s="237">
        <v>427.22300000000001</v>
      </c>
      <c r="R59" s="237">
        <v>5415.9520000000002</v>
      </c>
      <c r="S59" s="237">
        <v>127.46599999999999</v>
      </c>
      <c r="T59" s="237">
        <v>567.22798344632133</v>
      </c>
      <c r="U59" s="238">
        <v>1176.1435001046684</v>
      </c>
      <c r="V59" s="241"/>
      <c r="W59" s="239">
        <v>2768.4659999999999</v>
      </c>
      <c r="X59" s="240">
        <v>92.16864822538632</v>
      </c>
      <c r="Z59" s="154"/>
    </row>
    <row r="60" spans="1:26" ht="15" customHeight="1" x14ac:dyDescent="0.25">
      <c r="A60" s="155"/>
      <c r="B60" s="123" t="s">
        <v>114</v>
      </c>
      <c r="C60" s="151">
        <v>6695.6869999999999</v>
      </c>
      <c r="D60" s="151">
        <v>6747.8819999999996</v>
      </c>
      <c r="E60" s="151">
        <v>2363.0810000000001</v>
      </c>
      <c r="F60" s="151">
        <v>1689.548</v>
      </c>
      <c r="G60" s="151">
        <v>673.53300000000002</v>
      </c>
      <c r="H60" s="151">
        <v>11080.487999999999</v>
      </c>
      <c r="I60" s="151">
        <v>492.68599999999998</v>
      </c>
      <c r="J60" s="151">
        <v>690.91147836875109</v>
      </c>
      <c r="K60" s="151">
        <v>121.44690053772975</v>
      </c>
      <c r="L60" s="151">
        <v>86.831711612814033</v>
      </c>
      <c r="M60" s="151">
        <v>34.615188924915699</v>
      </c>
      <c r="N60" s="151">
        <v>569.46457783102142</v>
      </c>
      <c r="O60" s="152"/>
      <c r="P60" s="236">
        <v>2853.0349999999999</v>
      </c>
      <c r="Q60" s="237">
        <v>433.23599999999999</v>
      </c>
      <c r="R60" s="237">
        <v>5500.643</v>
      </c>
      <c r="S60" s="237">
        <v>122.57</v>
      </c>
      <c r="T60" s="237">
        <v>572.87903826576201</v>
      </c>
      <c r="U60" s="238">
        <v>1191.5012941325297</v>
      </c>
      <c r="V60" s="241"/>
      <c r="W60" s="239">
        <v>2796.317</v>
      </c>
      <c r="X60" s="240">
        <v>92.170089252458737</v>
      </c>
      <c r="Z60" s="154"/>
    </row>
    <row r="61" spans="1:26" ht="18" customHeight="1" x14ac:dyDescent="0.25">
      <c r="A61" s="155"/>
      <c r="B61" s="123" t="s">
        <v>115</v>
      </c>
      <c r="C61" s="151">
        <v>6757.4913500000002</v>
      </c>
      <c r="D61" s="151">
        <v>6744.9520000000002</v>
      </c>
      <c r="E61" s="151">
        <v>2362.7860000000001</v>
      </c>
      <c r="F61" s="151">
        <v>1703.221</v>
      </c>
      <c r="G61" s="151">
        <v>659.56500000000005</v>
      </c>
      <c r="H61" s="151">
        <v>11139.657350000001</v>
      </c>
      <c r="I61" s="151">
        <v>492.62599999999998</v>
      </c>
      <c r="J61" s="151">
        <v>690.60695668274047</v>
      </c>
      <c r="K61" s="151">
        <v>120.84897573390563</v>
      </c>
      <c r="L61" s="151">
        <v>87.114327450085824</v>
      </c>
      <c r="M61" s="151">
        <v>33.734648283819816</v>
      </c>
      <c r="N61" s="151">
        <v>569.75798094883487</v>
      </c>
      <c r="O61" s="152"/>
      <c r="P61" s="236">
        <v>2844.3009999999999</v>
      </c>
      <c r="Q61" s="237">
        <v>444.86599999999999</v>
      </c>
      <c r="R61" s="237">
        <v>5540.5020000000004</v>
      </c>
      <c r="S61" s="237">
        <v>129.26900000000001</v>
      </c>
      <c r="T61" s="237">
        <v>560.34629834297687</v>
      </c>
      <c r="U61" s="238">
        <v>1179.1574812301888</v>
      </c>
      <c r="V61" s="241"/>
      <c r="W61" s="239">
        <v>2807.652</v>
      </c>
      <c r="X61" s="240">
        <v>91.548366712305224</v>
      </c>
      <c r="Z61" s="154"/>
    </row>
    <row r="62" spans="1:26" ht="14.25" customHeight="1" x14ac:dyDescent="0.25">
      <c r="A62" s="155"/>
      <c r="B62" s="123" t="s">
        <v>116</v>
      </c>
      <c r="C62" s="151">
        <v>6808.9532300000001</v>
      </c>
      <c r="D62" s="151">
        <v>6787.0910705560518</v>
      </c>
      <c r="E62" s="151">
        <v>2394.8708905560529</v>
      </c>
      <c r="F62" s="151">
        <v>1711.7615975560527</v>
      </c>
      <c r="G62" s="151">
        <v>683.10929299999998</v>
      </c>
      <c r="H62" s="151">
        <v>11201.173409999999</v>
      </c>
      <c r="I62" s="151">
        <v>496.26567399999999</v>
      </c>
      <c r="J62" s="151">
        <v>691.33412661425427</v>
      </c>
      <c r="K62" s="151">
        <v>121.77482941922726</v>
      </c>
      <c r="L62" s="151">
        <v>87.03996418795397</v>
      </c>
      <c r="M62" s="151">
        <v>34.73486523127329</v>
      </c>
      <c r="N62" s="151">
        <v>569.55929719502706</v>
      </c>
      <c r="O62" s="152"/>
      <c r="P62" s="236">
        <v>2861.7806700000001</v>
      </c>
      <c r="Q62" s="237">
        <v>445.49483700000002</v>
      </c>
      <c r="R62" s="237">
        <v>5586.1679629999999</v>
      </c>
      <c r="S62" s="237">
        <v>130.38941481302098</v>
      </c>
      <c r="T62" s="237">
        <v>561.46988996334812</v>
      </c>
      <c r="U62" s="238">
        <v>1183.3880507034175</v>
      </c>
      <c r="V62" s="241"/>
      <c r="W62" s="239">
        <v>2840.3657275560531</v>
      </c>
      <c r="X62" s="240">
        <v>91.697674489861868</v>
      </c>
      <c r="Z62" s="154"/>
    </row>
    <row r="63" spans="1:26" ht="14.25" customHeight="1" x14ac:dyDescent="0.25">
      <c r="A63" s="155"/>
      <c r="B63" s="123" t="s">
        <v>117</v>
      </c>
      <c r="C63" s="151">
        <v>6854.34987</v>
      </c>
      <c r="D63" s="151">
        <v>6784.3910728763785</v>
      </c>
      <c r="E63" s="151">
        <v>2406.913792876378</v>
      </c>
      <c r="F63" s="151">
        <v>1722.4221088763784</v>
      </c>
      <c r="G63" s="151">
        <v>684.49168399999996</v>
      </c>
      <c r="H63" s="151">
        <v>11231.827150000001</v>
      </c>
      <c r="I63" s="151">
        <v>497.45065299999999</v>
      </c>
      <c r="J63" s="151">
        <v>689.16350295759958</v>
      </c>
      <c r="K63" s="151">
        <v>121.62098743301</v>
      </c>
      <c r="L63" s="151">
        <v>87.033726873803275</v>
      </c>
      <c r="M63" s="151">
        <v>34.58726055920674</v>
      </c>
      <c r="N63" s="151">
        <v>567.54251552458959</v>
      </c>
      <c r="O63" s="152"/>
      <c r="P63" s="236">
        <v>2882.8280499999996</v>
      </c>
      <c r="Q63" s="237">
        <v>446.34633700000001</v>
      </c>
      <c r="R63" s="237">
        <v>5631.295693</v>
      </c>
      <c r="S63" s="237">
        <v>131.80785522582559</v>
      </c>
      <c r="T63" s="237">
        <v>560.82191433342621</v>
      </c>
      <c r="U63" s="238">
        <v>1182.33719763407</v>
      </c>
      <c r="V63" s="241"/>
      <c r="W63" s="239">
        <v>2853.260129876378</v>
      </c>
      <c r="X63" s="240">
        <v>91.198936299541273</v>
      </c>
      <c r="Z63" s="154"/>
    </row>
    <row r="64" spans="1:26" ht="14.25" customHeight="1" x14ac:dyDescent="0.25">
      <c r="A64" s="155"/>
      <c r="B64" s="123" t="s">
        <v>118</v>
      </c>
      <c r="C64" s="151">
        <v>6902.9312399999999</v>
      </c>
      <c r="D64" s="151">
        <v>6805.0324692076374</v>
      </c>
      <c r="E64" s="151">
        <v>2414.7538192076363</v>
      </c>
      <c r="F64" s="151">
        <v>1733.3957942076361</v>
      </c>
      <c r="G64" s="151">
        <v>681.358025</v>
      </c>
      <c r="H64" s="151">
        <v>11293.20989</v>
      </c>
      <c r="I64" s="151">
        <v>501.99762800000002</v>
      </c>
      <c r="J64" s="151">
        <v>689.41750502658067</v>
      </c>
      <c r="K64" s="151">
        <v>121.44572225364934</v>
      </c>
      <c r="L64" s="151">
        <v>87.178039643006429</v>
      </c>
      <c r="M64" s="151">
        <v>34.267682610642908</v>
      </c>
      <c r="N64" s="151">
        <v>567.97178277293142</v>
      </c>
      <c r="O64" s="152"/>
      <c r="P64" s="236">
        <v>2901.3292499999998</v>
      </c>
      <c r="Q64" s="237">
        <v>447.13576499999999</v>
      </c>
      <c r="R64" s="237">
        <v>5675.2902450000001</v>
      </c>
      <c r="S64" s="237">
        <v>132.87642541478897</v>
      </c>
      <c r="T64" s="237">
        <v>553.32691294381664</v>
      </c>
      <c r="U64" s="238">
        <v>1167.6382760902538</v>
      </c>
      <c r="V64" s="241"/>
      <c r="W64" s="239">
        <v>2861.8895842076363</v>
      </c>
      <c r="X64" s="240">
        <v>90.524331313868856</v>
      </c>
      <c r="Z64" s="154"/>
    </row>
    <row r="65" spans="1:26" ht="18" customHeight="1" x14ac:dyDescent="0.25">
      <c r="A65" s="155"/>
      <c r="B65" s="123" t="s">
        <v>119</v>
      </c>
      <c r="C65" s="151">
        <v>6949.37619</v>
      </c>
      <c r="D65" s="151">
        <v>6810.6927971720825</v>
      </c>
      <c r="E65" s="151">
        <v>2418.3367271720817</v>
      </c>
      <c r="F65" s="151">
        <v>1744.7443861720817</v>
      </c>
      <c r="G65" s="151">
        <v>673.59234100000003</v>
      </c>
      <c r="H65" s="151">
        <v>11341.732260000002</v>
      </c>
      <c r="I65" s="151">
        <v>507.07289100000003</v>
      </c>
      <c r="J65" s="151">
        <v>687.04610351590475</v>
      </c>
      <c r="K65" s="151">
        <v>120.7485825065221</v>
      </c>
      <c r="L65" s="151">
        <v>87.115830107268522</v>
      </c>
      <c r="M65" s="151">
        <v>33.632752399253576</v>
      </c>
      <c r="N65" s="151">
        <v>566.29752100938276</v>
      </c>
      <c r="O65" s="152"/>
      <c r="P65" s="236">
        <v>2918.3024799999998</v>
      </c>
      <c r="Q65" s="237">
        <v>447.908365</v>
      </c>
      <c r="R65" s="237">
        <v>5716.6344449999997</v>
      </c>
      <c r="S65" s="237">
        <v>134.34246780791796</v>
      </c>
      <c r="T65" s="237">
        <v>551.23033305619686</v>
      </c>
      <c r="U65" s="238">
        <v>1164.4039675748359</v>
      </c>
      <c r="V65" s="241"/>
      <c r="W65" s="239">
        <v>2866.245092172082</v>
      </c>
      <c r="X65" s="240">
        <v>89.933018935999812</v>
      </c>
      <c r="Z65" s="154"/>
    </row>
    <row r="66" spans="1:26" ht="18" customHeight="1" x14ac:dyDescent="0.25">
      <c r="A66" s="155"/>
      <c r="B66" s="123" t="s">
        <v>120</v>
      </c>
      <c r="C66" s="151">
        <v>7013.1881700000004</v>
      </c>
      <c r="D66" s="151">
        <v>6863.2386361587269</v>
      </c>
      <c r="E66" s="151">
        <v>2422.7954561587276</v>
      </c>
      <c r="F66" s="151">
        <v>1756.6677121587277</v>
      </c>
      <c r="G66" s="151">
        <v>666.12774399999989</v>
      </c>
      <c r="H66" s="151">
        <v>11453.63135</v>
      </c>
      <c r="I66" s="151">
        <v>511.48153000000002</v>
      </c>
      <c r="J66" s="151">
        <v>687.63172578540616</v>
      </c>
      <c r="K66" s="151">
        <v>120.05907889803844</v>
      </c>
      <c r="L66" s="151">
        <v>87.049819626987173</v>
      </c>
      <c r="M66" s="151">
        <v>33.009259271051256</v>
      </c>
      <c r="N66" s="151">
        <v>567.5726468873678</v>
      </c>
      <c r="O66" s="152"/>
      <c r="P66" s="236">
        <v>2937.7328199999997</v>
      </c>
      <c r="Q66" s="237">
        <v>448.82842099999999</v>
      </c>
      <c r="R66" s="237">
        <v>5764.8484689999996</v>
      </c>
      <c r="S66" s="237">
        <v>135.89443566680364</v>
      </c>
      <c r="T66" s="237">
        <v>549.18984464196967</v>
      </c>
      <c r="U66" s="238">
        <v>1161.6060598303482</v>
      </c>
      <c r="V66" s="5"/>
      <c r="W66" s="239">
        <v>2871.6238771587277</v>
      </c>
      <c r="X66" s="240">
        <v>89.362696524777235</v>
      </c>
      <c r="Z66" s="154"/>
    </row>
    <row r="67" spans="1:26" ht="18" customHeight="1" x14ac:dyDescent="0.25">
      <c r="A67" s="155"/>
      <c r="B67" s="123" t="s">
        <v>121</v>
      </c>
      <c r="C67" s="151">
        <v>7058.7308999999996</v>
      </c>
      <c r="D67" s="151">
        <v>6885.3411550172159</v>
      </c>
      <c r="E67" s="151">
        <v>2429.1610650172156</v>
      </c>
      <c r="F67" s="151">
        <v>1768.8632050172155</v>
      </c>
      <c r="G67" s="151">
        <v>660.29786000000001</v>
      </c>
      <c r="H67" s="151">
        <v>11514.910989999998</v>
      </c>
      <c r="I67" s="151">
        <v>515.51628900000003</v>
      </c>
      <c r="J67" s="151">
        <v>684.85285070118391</v>
      </c>
      <c r="K67" s="151">
        <v>119.30646038154813</v>
      </c>
      <c r="L67" s="151">
        <v>86.876416277596249</v>
      </c>
      <c r="M67" s="151">
        <v>32.430044103951879</v>
      </c>
      <c r="N67" s="151">
        <v>565.54639031963563</v>
      </c>
      <c r="O67" s="152"/>
      <c r="P67" s="236">
        <v>2954.3640499999997</v>
      </c>
      <c r="Q67" s="237">
        <v>449.59778799999998</v>
      </c>
      <c r="R67" s="237">
        <v>5805.714962</v>
      </c>
      <c r="S67" s="237">
        <v>137.39236050320687</v>
      </c>
      <c r="T67" s="237">
        <v>546.59259060147201</v>
      </c>
      <c r="U67" s="238">
        <v>1157.307475713739</v>
      </c>
      <c r="V67" s="5"/>
      <c r="W67" s="239">
        <v>2878.7588530172156</v>
      </c>
      <c r="X67" s="240">
        <v>88.896429173981431</v>
      </c>
      <c r="Z67" s="154"/>
    </row>
    <row r="68" spans="1:26" ht="18" customHeight="1" x14ac:dyDescent="0.25">
      <c r="A68" s="155"/>
      <c r="B68" s="123" t="s">
        <v>122</v>
      </c>
      <c r="C68" s="151">
        <v>7103.9364999999998</v>
      </c>
      <c r="D68" s="151">
        <v>6916.4420789710157</v>
      </c>
      <c r="E68" s="151">
        <v>2437.4307189710144</v>
      </c>
      <c r="F68" s="151">
        <v>1781.4850939710145</v>
      </c>
      <c r="G68" s="151">
        <v>655.94562499999995</v>
      </c>
      <c r="H68" s="151">
        <v>11582.94786</v>
      </c>
      <c r="I68" s="151">
        <v>519.43289399999992</v>
      </c>
      <c r="J68" s="151">
        <v>682.75402836697515</v>
      </c>
      <c r="K68" s="151">
        <v>118.69619874166115</v>
      </c>
      <c r="L68" s="151">
        <v>86.753443748570831</v>
      </c>
      <c r="M68" s="151">
        <v>31.942754993090333</v>
      </c>
      <c r="N68" s="151">
        <v>564.05782962531384</v>
      </c>
      <c r="O68" s="152"/>
      <c r="P68" s="236">
        <v>2974.4539100000002</v>
      </c>
      <c r="Q68" s="237">
        <v>450.64612300000005</v>
      </c>
      <c r="R68" s="237">
        <v>5857.4426370000001</v>
      </c>
      <c r="S68" s="237">
        <v>139.26283660735595</v>
      </c>
      <c r="T68" s="237">
        <v>543.88313651207193</v>
      </c>
      <c r="U68" s="238">
        <v>1153.4430197929498</v>
      </c>
      <c r="V68" s="5"/>
      <c r="W68" s="239">
        <v>2888.0768419710143</v>
      </c>
      <c r="X68" s="240">
        <v>88.487714247939408</v>
      </c>
      <c r="Z68" s="154"/>
    </row>
    <row r="69" spans="1:26" ht="18" customHeight="1" x14ac:dyDescent="0.25">
      <c r="A69" s="155"/>
      <c r="B69" s="123" t="s">
        <v>123</v>
      </c>
      <c r="C69" s="151">
        <v>7151.7626499999997</v>
      </c>
      <c r="D69" s="151">
        <v>6931.1345666315783</v>
      </c>
      <c r="E69" s="151">
        <v>2447.4950966315787</v>
      </c>
      <c r="F69" s="151">
        <v>1794.4123186315787</v>
      </c>
      <c r="G69" s="151">
        <v>653.08277800000008</v>
      </c>
      <c r="H69" s="151">
        <v>11635.402119999999</v>
      </c>
      <c r="I69" s="151">
        <v>523.441012</v>
      </c>
      <c r="J69" s="151">
        <v>680.37536077901541</v>
      </c>
      <c r="K69" s="151">
        <v>118.24380550111525</v>
      </c>
      <c r="L69" s="151">
        <v>86.6919576203003</v>
      </c>
      <c r="M69" s="151">
        <v>31.551847880814936</v>
      </c>
      <c r="N69" s="151">
        <v>562.13155527790002</v>
      </c>
      <c r="O69" s="152"/>
      <c r="P69" s="248">
        <v>2996.1908699999999</v>
      </c>
      <c r="Q69" s="237">
        <v>451.765737</v>
      </c>
      <c r="R69" s="237">
        <v>5913.4116730000005</v>
      </c>
      <c r="S69" s="237">
        <v>141.23745648416374</v>
      </c>
      <c r="T69" s="237">
        <v>541.03660560151218</v>
      </c>
      <c r="U69" s="238">
        <v>1149.3907195431195</v>
      </c>
      <c r="V69" s="5"/>
      <c r="W69" s="239">
        <v>2899.2608336315789</v>
      </c>
      <c r="X69" s="240">
        <v>88.096074637859218</v>
      </c>
      <c r="Z69" s="154"/>
    </row>
    <row r="70" spans="1:26" ht="18" customHeight="1" x14ac:dyDescent="0.25">
      <c r="A70" s="155"/>
      <c r="B70" s="123" t="s">
        <v>124</v>
      </c>
      <c r="C70" s="151">
        <v>7208.6414400000003</v>
      </c>
      <c r="D70" s="151">
        <v>6988.7405107413397</v>
      </c>
      <c r="E70" s="151">
        <v>2459.0586807413406</v>
      </c>
      <c r="F70" s="151">
        <v>1807.7988667413404</v>
      </c>
      <c r="G70" s="151">
        <v>651.25981400000001</v>
      </c>
      <c r="H70" s="151">
        <v>11738.323269999999</v>
      </c>
      <c r="I70" s="151">
        <v>527.41657299999997</v>
      </c>
      <c r="J70" s="151">
        <v>680.66621359919463</v>
      </c>
      <c r="K70" s="151">
        <v>117.89484617979437</v>
      </c>
      <c r="L70" s="151">
        <v>86.671445048323875</v>
      </c>
      <c r="M70" s="151">
        <v>31.223401131470492</v>
      </c>
      <c r="N70" s="151">
        <v>562.77136741940035</v>
      </c>
      <c r="O70" s="152"/>
      <c r="P70" s="248">
        <v>3018.63805</v>
      </c>
      <c r="Q70" s="237">
        <v>452.85825399999999</v>
      </c>
      <c r="R70" s="237">
        <v>5970.3406860000005</v>
      </c>
      <c r="S70" s="237">
        <v>143.11180624818195</v>
      </c>
      <c r="T70" s="237">
        <v>538.07737122896913</v>
      </c>
      <c r="U70" s="238">
        <v>1144.9461456685412</v>
      </c>
      <c r="V70" s="5"/>
      <c r="W70" s="239">
        <v>2911.9169347413408</v>
      </c>
      <c r="X70" s="240">
        <v>87.725661571426173</v>
      </c>
      <c r="Z70" s="154"/>
    </row>
    <row r="71" spans="1:26" ht="18" customHeight="1" x14ac:dyDescent="0.25">
      <c r="A71" s="155"/>
      <c r="B71" s="123" t="s">
        <v>125</v>
      </c>
      <c r="C71" s="151">
        <v>7262.6200799999997</v>
      </c>
      <c r="D71" s="151">
        <v>7016.4316087061507</v>
      </c>
      <c r="E71" s="151">
        <v>2472.0955387061504</v>
      </c>
      <c r="F71" s="151">
        <v>1821.5865467061503</v>
      </c>
      <c r="G71" s="151">
        <v>650.50899199999992</v>
      </c>
      <c r="H71" s="151">
        <v>11806.95615</v>
      </c>
      <c r="I71" s="151">
        <v>531.39143899999999</v>
      </c>
      <c r="J71" s="151">
        <v>679.41069323631837</v>
      </c>
      <c r="K71" s="151">
        <v>117.62462804355491</v>
      </c>
      <c r="L71" s="151">
        <v>86.672799109372676</v>
      </c>
      <c r="M71" s="151">
        <v>30.951828934182231</v>
      </c>
      <c r="N71" s="151">
        <v>561.78606519276343</v>
      </c>
      <c r="O71" s="152"/>
      <c r="P71" s="248">
        <v>3041.8185099999996</v>
      </c>
      <c r="Q71" s="237">
        <v>453.91639700000002</v>
      </c>
      <c r="R71" s="237">
        <v>6028.1601430000001</v>
      </c>
      <c r="S71" s="237">
        <v>144.81175716862055</v>
      </c>
      <c r="T71" s="237">
        <v>535.13209819958797</v>
      </c>
      <c r="U71" s="238">
        <v>1140.359692117373</v>
      </c>
      <c r="V71" s="5"/>
      <c r="W71" s="239">
        <v>2926.0119357061503</v>
      </c>
      <c r="X71" s="240">
        <v>87.342986728792397</v>
      </c>
      <c r="Z71" s="154"/>
    </row>
    <row r="72" spans="1:26" ht="18" customHeight="1" x14ac:dyDescent="0.25">
      <c r="A72" s="155"/>
      <c r="B72" s="123" t="s">
        <v>126</v>
      </c>
      <c r="C72" s="151">
        <v>7310.8669799999998</v>
      </c>
      <c r="D72" s="151">
        <v>7048.3755994016246</v>
      </c>
      <c r="E72" s="151">
        <v>2486.4577994016245</v>
      </c>
      <c r="F72" s="151">
        <v>1835.7872534016244</v>
      </c>
      <c r="G72" s="151">
        <v>650.67054599999994</v>
      </c>
      <c r="H72" s="151">
        <v>11872.78478</v>
      </c>
      <c r="I72" s="151">
        <v>535.11377099999993</v>
      </c>
      <c r="J72" s="151">
        <v>678.16637816202035</v>
      </c>
      <c r="K72" s="151">
        <v>117.43182629227337</v>
      </c>
      <c r="L72" s="151">
        <v>86.701592081276956</v>
      </c>
      <c r="M72" s="151">
        <v>30.730234210996414</v>
      </c>
      <c r="N72" s="151">
        <v>560.73455186974707</v>
      </c>
      <c r="O72" s="152"/>
      <c r="P72" s="248">
        <v>3064.7739500000002</v>
      </c>
      <c r="Q72" s="237">
        <v>454.90739399999995</v>
      </c>
      <c r="R72" s="237">
        <v>6084.6111959999998</v>
      </c>
      <c r="S72" s="237">
        <v>146.33617334807454</v>
      </c>
      <c r="T72" s="237">
        <v>532.54368326236988</v>
      </c>
      <c r="U72" s="238">
        <v>1136.3250189076227</v>
      </c>
      <c r="V72" s="5"/>
      <c r="W72" s="239">
        <v>2941.3651934016243</v>
      </c>
      <c r="X72" s="240">
        <v>86.976712297607264</v>
      </c>
      <c r="Z72" s="154"/>
    </row>
    <row r="73" spans="1:26" ht="18" customHeight="1" x14ac:dyDescent="0.25">
      <c r="A73" s="155"/>
      <c r="B73" s="123" t="s">
        <v>127</v>
      </c>
      <c r="C73" s="151">
        <v>7358.5613400000002</v>
      </c>
      <c r="D73" s="151">
        <v>7061.4908065164136</v>
      </c>
      <c r="E73" s="151">
        <v>2502.041576516413</v>
      </c>
      <c r="F73" s="151">
        <v>1850.4731235164131</v>
      </c>
      <c r="G73" s="151">
        <v>651.56845299999998</v>
      </c>
      <c r="H73" s="151">
        <v>11918.01057</v>
      </c>
      <c r="I73" s="151">
        <v>538.64236800000003</v>
      </c>
      <c r="J73" s="151">
        <v>676.18374526996422</v>
      </c>
      <c r="K73" s="151">
        <v>117.32550110359674</v>
      </c>
      <c r="L73" s="151">
        <v>86.77221375257065</v>
      </c>
      <c r="M73" s="151">
        <v>30.5532873510261</v>
      </c>
      <c r="N73" s="151">
        <v>558.85824416636751</v>
      </c>
      <c r="O73" s="152"/>
      <c r="P73" s="248">
        <v>3087.86373</v>
      </c>
      <c r="Q73" s="237">
        <v>455.86205000000001</v>
      </c>
      <c r="R73" s="237">
        <v>6140.8478600000008</v>
      </c>
      <c r="S73" s="237">
        <v>147.8739775319016</v>
      </c>
      <c r="T73" s="237">
        <v>530.43891019611533</v>
      </c>
      <c r="U73" s="238">
        <v>1133.1949598502242</v>
      </c>
      <c r="V73" s="5"/>
      <c r="W73" s="239">
        <v>2957.9036265164132</v>
      </c>
      <c r="X73" s="240">
        <v>86.637905560728939</v>
      </c>
      <c r="Z73" s="154"/>
    </row>
    <row r="74" spans="1:26" ht="18" customHeight="1" x14ac:dyDescent="0.25">
      <c r="A74" s="155"/>
      <c r="B74" s="123" t="s">
        <v>128</v>
      </c>
      <c r="C74" s="151">
        <v>7418.1409999999996</v>
      </c>
      <c r="D74" s="151">
        <v>7114.9799755766053</v>
      </c>
      <c r="E74" s="151">
        <v>2518.3525455766057</v>
      </c>
      <c r="F74" s="151">
        <v>1865.6152985766059</v>
      </c>
      <c r="G74" s="151">
        <v>652.73724700000002</v>
      </c>
      <c r="H74" s="151">
        <v>12014.76843</v>
      </c>
      <c r="I74" s="151">
        <v>542.18420100000003</v>
      </c>
      <c r="J74" s="151">
        <v>676.79904510818517</v>
      </c>
      <c r="K74" s="151">
        <v>117.27822268570849</v>
      </c>
      <c r="L74" s="151">
        <v>86.880626311291877</v>
      </c>
      <c r="M74" s="151">
        <v>30.397596374416626</v>
      </c>
      <c r="N74" s="151">
        <v>559.52082242247673</v>
      </c>
      <c r="O74" s="152"/>
      <c r="P74" s="248">
        <v>3110.5587799999998</v>
      </c>
      <c r="Q74" s="237">
        <v>456.75160399999999</v>
      </c>
      <c r="R74" s="237">
        <v>6195.4320559999996</v>
      </c>
      <c r="S74" s="237">
        <v>149.40389531042615</v>
      </c>
      <c r="T74" s="237">
        <v>528.62378948091782</v>
      </c>
      <c r="U74" s="238">
        <v>1130.5050903658671</v>
      </c>
      <c r="V74" s="5"/>
      <c r="W74" s="239">
        <v>2975.1041495766058</v>
      </c>
      <c r="X74" s="240">
        <v>86.320479608618399</v>
      </c>
      <c r="Z74" s="154"/>
    </row>
    <row r="75" spans="1:26" ht="18" customHeight="1" x14ac:dyDescent="0.25">
      <c r="A75" s="155"/>
      <c r="B75" s="123" t="s">
        <v>129</v>
      </c>
      <c r="C75" s="151">
        <v>7475.7590899999996</v>
      </c>
      <c r="D75" s="151">
        <v>7137.0484313935713</v>
      </c>
      <c r="E75" s="151">
        <v>2535.6477413935709</v>
      </c>
      <c r="F75" s="151">
        <v>1881.1936883935707</v>
      </c>
      <c r="G75" s="151">
        <v>654.45405299999993</v>
      </c>
      <c r="H75" s="151">
        <v>12077.159780000002</v>
      </c>
      <c r="I75" s="151">
        <v>546.02345800000001</v>
      </c>
      <c r="J75" s="151">
        <v>675.90435764519532</v>
      </c>
      <c r="K75" s="151">
        <v>117.28446811825712</v>
      </c>
      <c r="L75" s="151">
        <v>87.013190976362992</v>
      </c>
      <c r="M75" s="151">
        <v>30.271277141894114</v>
      </c>
      <c r="N75" s="151">
        <v>558.61988952693832</v>
      </c>
      <c r="O75" s="152"/>
      <c r="P75" s="248">
        <v>3132.8235099999997</v>
      </c>
      <c r="Q75" s="237">
        <v>457.586116</v>
      </c>
      <c r="R75" s="237">
        <v>6248.456103999999</v>
      </c>
      <c r="S75" s="237">
        <v>150.91129380808138</v>
      </c>
      <c r="T75" s="237">
        <v>526.94532919454537</v>
      </c>
      <c r="U75" s="238">
        <v>1127.9657516392997</v>
      </c>
      <c r="V75" s="5"/>
      <c r="W75" s="239">
        <v>2993.2338573935708</v>
      </c>
      <c r="X75" s="240">
        <v>86.04171919996692</v>
      </c>
      <c r="Z75" s="154"/>
    </row>
    <row r="76" spans="1:26" ht="18" customHeight="1" x14ac:dyDescent="0.25">
      <c r="A76" s="155"/>
      <c r="B76" s="123" t="s">
        <v>130</v>
      </c>
      <c r="C76" s="151">
        <v>7527.6077599999999</v>
      </c>
      <c r="D76" s="151">
        <v>7163.6938514651629</v>
      </c>
      <c r="E76" s="151">
        <v>2553.8765514651632</v>
      </c>
      <c r="F76" s="151">
        <v>1897.1597544651631</v>
      </c>
      <c r="G76" s="151">
        <v>656.71679700000004</v>
      </c>
      <c r="H76" s="151">
        <v>12137.425059999998</v>
      </c>
      <c r="I76" s="151">
        <v>549.97921299999996</v>
      </c>
      <c r="J76" s="151">
        <v>674.89453658134255</v>
      </c>
      <c r="K76" s="151">
        <v>117.32094114397155</v>
      </c>
      <c r="L76" s="151">
        <v>87.152438032537788</v>
      </c>
      <c r="M76" s="151">
        <v>30.168503111433768</v>
      </c>
      <c r="N76" s="151">
        <v>557.57359543737095</v>
      </c>
      <c r="O76" s="152"/>
      <c r="P76" s="248">
        <v>3155.0618399999998</v>
      </c>
      <c r="Q76" s="237">
        <v>458.37929499999996</v>
      </c>
      <c r="R76" s="237">
        <v>6300.8745349999999</v>
      </c>
      <c r="S76" s="237">
        <v>152.42063366235288</v>
      </c>
      <c r="T76" s="237">
        <v>525.30974991700612</v>
      </c>
      <c r="U76" s="238">
        <v>1125.3985243797522</v>
      </c>
      <c r="V76" s="5"/>
      <c r="W76" s="239">
        <v>3012.2558464651629</v>
      </c>
      <c r="X76" s="240">
        <v>85.79778172911702</v>
      </c>
      <c r="Z76" s="154"/>
    </row>
    <row r="77" spans="1:26" ht="18" customHeight="1" x14ac:dyDescent="0.25">
      <c r="A77" s="155"/>
      <c r="B77" s="47" t="s">
        <v>131</v>
      </c>
      <c r="C77" s="151">
        <v>7578.8627200000001</v>
      </c>
      <c r="D77" s="151">
        <v>7173.4649854611907</v>
      </c>
      <c r="E77" s="151">
        <v>2573.2567554611896</v>
      </c>
      <c r="F77" s="151">
        <v>1913.5040844611897</v>
      </c>
      <c r="G77" s="151">
        <v>659.75267099999996</v>
      </c>
      <c r="H77" s="151">
        <v>12179.070949999999</v>
      </c>
      <c r="I77" s="151">
        <v>554.39034699999991</v>
      </c>
      <c r="J77" s="151">
        <v>672.83047445824934</v>
      </c>
      <c r="K77" s="151">
        <v>117.36219519031633</v>
      </c>
      <c r="L77" s="151">
        <v>87.271913065570786</v>
      </c>
      <c r="M77" s="151">
        <v>30.090282124745542</v>
      </c>
      <c r="N77" s="151">
        <v>555.46827926793299</v>
      </c>
      <c r="O77" s="152"/>
      <c r="P77" s="248">
        <v>3177.9551099999999</v>
      </c>
      <c r="Q77" s="237">
        <v>459.18811099999999</v>
      </c>
      <c r="R77" s="237">
        <v>6354.8807990000005</v>
      </c>
      <c r="S77" s="237">
        <v>153.9736001556619</v>
      </c>
      <c r="T77" s="237">
        <v>523.80183822074866</v>
      </c>
      <c r="U77" s="238">
        <v>1123.1190175058368</v>
      </c>
      <c r="V77" s="5"/>
      <c r="W77" s="239">
        <v>3032.4448664611896</v>
      </c>
      <c r="X77" s="240">
        <v>85.590969508129703</v>
      </c>
      <c r="Z77" s="154"/>
    </row>
    <row r="78" spans="1:26" ht="18" customHeight="1" x14ac:dyDescent="0.25">
      <c r="A78" s="155"/>
      <c r="B78" s="47" t="s">
        <v>132</v>
      </c>
      <c r="C78" s="151">
        <v>7642.2335599999997</v>
      </c>
      <c r="D78" s="151">
        <v>7226.4415830972521</v>
      </c>
      <c r="E78" s="151">
        <v>2594.1655830972522</v>
      </c>
      <c r="F78" s="151">
        <v>1930.3153270972521</v>
      </c>
      <c r="G78" s="151">
        <v>663.85025600000006</v>
      </c>
      <c r="H78" s="151">
        <v>12274.509559999999</v>
      </c>
      <c r="I78" s="151">
        <v>559.07654600000001</v>
      </c>
      <c r="J78" s="151">
        <v>672.95224995899741</v>
      </c>
      <c r="K78" s="151">
        <v>117.41123866856091</v>
      </c>
      <c r="L78" s="151">
        <v>87.365554092658783</v>
      </c>
      <c r="M78" s="151">
        <v>30.045684575902133</v>
      </c>
      <c r="N78" s="151">
        <v>555.54101129043647</v>
      </c>
      <c r="O78" s="152"/>
      <c r="P78" s="248">
        <v>3200.7101899999998</v>
      </c>
      <c r="Q78" s="237">
        <v>459.95287099999996</v>
      </c>
      <c r="R78" s="237">
        <v>6408.0349489999999</v>
      </c>
      <c r="S78" s="237">
        <v>155.52629418651202</v>
      </c>
      <c r="T78" s="237">
        <v>522.28198276862884</v>
      </c>
      <c r="U78" s="238">
        <v>1120.6969963939137</v>
      </c>
      <c r="V78" s="5"/>
      <c r="W78" s="239">
        <v>3054.1184540972522</v>
      </c>
      <c r="X78" s="240">
        <v>85.427016026138986</v>
      </c>
      <c r="Z78" s="154"/>
    </row>
    <row r="79" spans="1:26" ht="18" customHeight="1" x14ac:dyDescent="0.25">
      <c r="A79" s="155"/>
      <c r="B79" s="47" t="s">
        <v>133</v>
      </c>
      <c r="C79" s="151">
        <v>7703.38472</v>
      </c>
      <c r="D79" s="151">
        <v>7250.1024923230489</v>
      </c>
      <c r="E79" s="151">
        <v>2616.3847023230487</v>
      </c>
      <c r="F79" s="151">
        <v>1947.5724003230487</v>
      </c>
      <c r="G79" s="151">
        <v>668.81230200000005</v>
      </c>
      <c r="H79" s="151">
        <v>12337.102510000001</v>
      </c>
      <c r="I79" s="151">
        <v>563.68387300000006</v>
      </c>
      <c r="J79" s="151">
        <v>671.42409079497418</v>
      </c>
      <c r="K79" s="151">
        <v>117.47786285458865</v>
      </c>
      <c r="L79" s="151">
        <v>87.447630748409438</v>
      </c>
      <c r="M79" s="151">
        <v>30.030232106179199</v>
      </c>
      <c r="N79" s="151">
        <v>553.9462279403856</v>
      </c>
      <c r="O79" s="152"/>
      <c r="P79" s="248">
        <v>3223.5662200000002</v>
      </c>
      <c r="Q79" s="237">
        <v>460.679665</v>
      </c>
      <c r="R79" s="237">
        <v>6460.8736749999998</v>
      </c>
      <c r="S79" s="237">
        <v>157.09255301003475</v>
      </c>
      <c r="T79" s="237">
        <v>520.75898213921107</v>
      </c>
      <c r="U79" s="238">
        <v>1118.1594625844714</v>
      </c>
      <c r="V79" s="5"/>
      <c r="W79" s="239">
        <v>3077.0643673230488</v>
      </c>
      <c r="X79" s="240">
        <v>85.294430905809676</v>
      </c>
      <c r="Z79" s="154"/>
    </row>
    <row r="80" spans="1:26" ht="18" customHeight="1" x14ac:dyDescent="0.25">
      <c r="A80" s="155"/>
      <c r="B80" s="47" t="s">
        <v>134</v>
      </c>
      <c r="C80" s="151">
        <v>7758.4111999999996</v>
      </c>
      <c r="D80" s="151">
        <v>7279.3044404416942</v>
      </c>
      <c r="E80" s="151">
        <v>2639.6960604416945</v>
      </c>
      <c r="F80" s="151">
        <v>1965.2240364416948</v>
      </c>
      <c r="G80" s="151">
        <v>674.47202399999992</v>
      </c>
      <c r="H80" s="151">
        <v>12398.019579999998</v>
      </c>
      <c r="I80" s="151">
        <v>568.09741500000007</v>
      </c>
      <c r="J80" s="151">
        <v>669.75739108467383</v>
      </c>
      <c r="K80" s="151">
        <v>117.56811931881906</v>
      </c>
      <c r="L80" s="151">
        <v>87.52814290518269</v>
      </c>
      <c r="M80" s="151">
        <v>30.039976413636381</v>
      </c>
      <c r="N80" s="151">
        <v>552.18927176585476</v>
      </c>
      <c r="O80" s="152"/>
      <c r="P80" s="248">
        <v>3246.2731699999999</v>
      </c>
      <c r="Q80" s="237">
        <v>461.33447899999999</v>
      </c>
      <c r="R80" s="237">
        <v>6512.3668909999997</v>
      </c>
      <c r="S80" s="237">
        <v>158.65452398642518</v>
      </c>
      <c r="T80" s="237">
        <v>519.19854374501529</v>
      </c>
      <c r="U80" s="238">
        <v>1115.3514834417394</v>
      </c>
      <c r="V80" s="5"/>
      <c r="W80" s="239">
        <v>3101.0305394416946</v>
      </c>
      <c r="X80" s="240">
        <v>85.186497179767258</v>
      </c>
      <c r="Z80" s="154"/>
    </row>
    <row r="81" spans="1:26" ht="18" customHeight="1" x14ac:dyDescent="0.25">
      <c r="A81" s="155"/>
      <c r="B81" s="47" t="s">
        <v>135</v>
      </c>
      <c r="C81" s="151">
        <v>7812.68426</v>
      </c>
      <c r="D81" s="151">
        <v>7290.3946219749459</v>
      </c>
      <c r="E81" s="151">
        <v>2663.7645819749459</v>
      </c>
      <c r="F81" s="151">
        <v>1983.2601739749457</v>
      </c>
      <c r="G81" s="151">
        <v>680.50440800000001</v>
      </c>
      <c r="H81" s="151">
        <v>12439.3143</v>
      </c>
      <c r="I81" s="151">
        <v>572.23009500000001</v>
      </c>
      <c r="J81" s="151">
        <v>667.36597762900908</v>
      </c>
      <c r="K81" s="151">
        <v>117.70486457200955</v>
      </c>
      <c r="L81" s="151">
        <v>87.635135540283528</v>
      </c>
      <c r="M81" s="151">
        <v>30.069729031726013</v>
      </c>
      <c r="N81" s="151">
        <v>549.66111305699951</v>
      </c>
      <c r="O81" s="152"/>
      <c r="P81" s="248">
        <v>3268.9162299999998</v>
      </c>
      <c r="Q81" s="237">
        <v>461.90662300000002</v>
      </c>
      <c r="R81" s="237">
        <v>6562.4872269999996</v>
      </c>
      <c r="S81" s="237">
        <v>160.21718862673018</v>
      </c>
      <c r="T81" s="237">
        <v>517.65084674980392</v>
      </c>
      <c r="U81" s="238">
        <v>1112.3513631172541</v>
      </c>
      <c r="V81" s="5"/>
      <c r="W81" s="239">
        <v>3125.6712049749458</v>
      </c>
      <c r="X81" s="240">
        <v>85.099104307951464</v>
      </c>
      <c r="Z81" s="154"/>
    </row>
    <row r="82" spans="1:26" ht="18" customHeight="1" x14ac:dyDescent="0.25">
      <c r="A82" s="155"/>
      <c r="B82" s="47" t="s">
        <v>645</v>
      </c>
      <c r="C82" s="151">
        <v>7879.3059300000004</v>
      </c>
      <c r="D82" s="151">
        <v>7343.4324349150638</v>
      </c>
      <c r="E82" s="151">
        <v>2688.6267049150629</v>
      </c>
      <c r="F82" s="151">
        <v>2001.7742639150631</v>
      </c>
      <c r="G82" s="151">
        <v>686.852441</v>
      </c>
      <c r="H82" s="151">
        <v>12534.11166</v>
      </c>
      <c r="I82" s="151">
        <v>576.17273599999999</v>
      </c>
      <c r="J82" s="151">
        <v>667.61005122652841</v>
      </c>
      <c r="K82" s="151">
        <v>117.91270198365341</v>
      </c>
      <c r="L82" s="151">
        <v>87.790027447124018</v>
      </c>
      <c r="M82" s="151">
        <v>30.122674536529388</v>
      </c>
      <c r="N82" s="151">
        <v>549.69734924287491</v>
      </c>
      <c r="O82" s="152"/>
      <c r="P82" s="248">
        <v>3291.6411200000002</v>
      </c>
      <c r="Q82" s="237">
        <v>462.39852100000002</v>
      </c>
      <c r="R82" s="237">
        <v>6611.5399989999996</v>
      </c>
      <c r="S82" s="237">
        <v>161.79436618991951</v>
      </c>
      <c r="T82" s="237">
        <v>516.12647101961784</v>
      </c>
      <c r="U82" s="238">
        <v>1109.1874209352864</v>
      </c>
      <c r="V82" s="5"/>
      <c r="W82" s="239">
        <v>3151.0252259150629</v>
      </c>
      <c r="X82" s="240">
        <v>85.030954957363306</v>
      </c>
      <c r="Z82" s="154"/>
    </row>
    <row r="83" spans="1:26" ht="18" customHeight="1" x14ac:dyDescent="0.25">
      <c r="A83" s="155"/>
      <c r="B83" s="47" t="s">
        <v>646</v>
      </c>
      <c r="C83" s="151">
        <v>7943.51404</v>
      </c>
      <c r="D83" s="151">
        <v>7364.7248922305707</v>
      </c>
      <c r="E83" s="151">
        <v>2713.9534022305706</v>
      </c>
      <c r="F83" s="151">
        <v>2020.6202652305706</v>
      </c>
      <c r="G83" s="151">
        <v>693.33313699999997</v>
      </c>
      <c r="H83" s="151">
        <v>12594.285530000001</v>
      </c>
      <c r="I83" s="151">
        <v>580.06242599999996</v>
      </c>
      <c r="J83" s="151">
        <v>666.57179091477326</v>
      </c>
      <c r="K83" s="151">
        <v>118.17458479663779</v>
      </c>
      <c r="L83" s="151">
        <v>87.984547074035632</v>
      </c>
      <c r="M83" s="151">
        <v>30.190037722602153</v>
      </c>
      <c r="N83" s="151">
        <v>548.39720611813561</v>
      </c>
      <c r="O83" s="152"/>
      <c r="P83" s="248">
        <v>3313.15398</v>
      </c>
      <c r="Q83" s="237">
        <v>462.71947600000004</v>
      </c>
      <c r="R83" s="237">
        <v>6655.5990339999998</v>
      </c>
      <c r="S83" s="237">
        <v>163.30377062737736</v>
      </c>
      <c r="T83" s="237">
        <v>514.48899089456756</v>
      </c>
      <c r="U83" s="238">
        <v>1105.380712512499</v>
      </c>
      <c r="V83" s="5"/>
      <c r="W83" s="239">
        <v>3176.6728782305709</v>
      </c>
      <c r="X83" s="240">
        <v>84.981133367372991</v>
      </c>
      <c r="Z83" s="154"/>
    </row>
    <row r="84" spans="1:26" ht="18" customHeight="1" x14ac:dyDescent="0.25">
      <c r="A84" s="155"/>
      <c r="B84" s="47" t="s">
        <v>647</v>
      </c>
      <c r="C84" s="151">
        <v>8001.2912699999997</v>
      </c>
      <c r="D84" s="151">
        <v>7390.3138771254853</v>
      </c>
      <c r="E84" s="151">
        <v>2739.4430771254856</v>
      </c>
      <c r="F84" s="151">
        <v>2039.6186761254858</v>
      </c>
      <c r="G84" s="151">
        <v>699.82440099999997</v>
      </c>
      <c r="H84" s="151">
        <v>12652.16207</v>
      </c>
      <c r="I84" s="151">
        <v>584.09236099999998</v>
      </c>
      <c r="J84" s="151">
        <v>665.5663421020754</v>
      </c>
      <c r="K84" s="151">
        <v>118.45945181226121</v>
      </c>
      <c r="L84" s="151">
        <v>88.19752901505808</v>
      </c>
      <c r="M84" s="151">
        <v>30.261922797203145</v>
      </c>
      <c r="N84" s="151">
        <v>547.10689028981426</v>
      </c>
      <c r="O84" s="152"/>
      <c r="P84" s="248">
        <v>3334.7140099999997</v>
      </c>
      <c r="Q84" s="237">
        <v>462.96824400000003</v>
      </c>
      <c r="R84" s="237">
        <v>6698.6369560000003</v>
      </c>
      <c r="S84" s="237">
        <v>164.82098640824239</v>
      </c>
      <c r="T84" s="237">
        <v>512.92535876041745</v>
      </c>
      <c r="U84" s="238">
        <v>1101.5544078127623</v>
      </c>
      <c r="V84" s="5"/>
      <c r="W84" s="239">
        <v>3202.4113211254858</v>
      </c>
      <c r="X84" s="240">
        <v>84.942229764764051</v>
      </c>
      <c r="Z84" s="154"/>
    </row>
    <row r="85" spans="1:26" ht="18" customHeight="1" x14ac:dyDescent="0.25">
      <c r="A85" s="155"/>
      <c r="B85" s="47" t="s">
        <v>648</v>
      </c>
      <c r="C85" s="151">
        <v>8058.1868899999999</v>
      </c>
      <c r="D85" s="151">
        <v>7396.863851648448</v>
      </c>
      <c r="E85" s="151">
        <v>2764.764771648448</v>
      </c>
      <c r="F85" s="151">
        <v>2058.5650266484481</v>
      </c>
      <c r="G85" s="151">
        <v>706.19974500000001</v>
      </c>
      <c r="H85" s="151">
        <v>12690.285969999999</v>
      </c>
      <c r="I85" s="151">
        <v>588.19284699999992</v>
      </c>
      <c r="J85" s="151">
        <v>663.72838909923087</v>
      </c>
      <c r="K85" s="151">
        <v>118.73483295524909</v>
      </c>
      <c r="L85" s="151">
        <v>88.406571536604091</v>
      </c>
      <c r="M85" s="151">
        <v>30.328261418645013</v>
      </c>
      <c r="N85" s="151">
        <v>544.99355614398178</v>
      </c>
      <c r="O85" s="152"/>
      <c r="P85" s="248">
        <v>3356.26818</v>
      </c>
      <c r="Q85" s="237">
        <v>463.14192200000002</v>
      </c>
      <c r="R85" s="237">
        <v>6740.5028279999997</v>
      </c>
      <c r="S85" s="237">
        <v>166.34065695988312</v>
      </c>
      <c r="T85" s="237">
        <v>511.42371989514669</v>
      </c>
      <c r="U85" s="238">
        <v>1097.6818887125235</v>
      </c>
      <c r="V85" s="5"/>
      <c r="W85" s="239">
        <v>3227.9066936484478</v>
      </c>
      <c r="X85" s="240">
        <v>84.904754449525456</v>
      </c>
      <c r="Z85" s="154"/>
    </row>
    <row r="86" spans="1:26" x14ac:dyDescent="0.25">
      <c r="A86" s="155"/>
      <c r="B86" s="128">
        <v>2012</v>
      </c>
      <c r="C86" s="242">
        <f ca="1">OFFSET(C$8,4*(ROW()-ROW(C$86)),0)</f>
        <v>3707.808</v>
      </c>
      <c r="D86" s="242">
        <f t="shared" ref="D86:H101" ca="1" si="0">OFFSET(D$8,4*(ROW()-ROW(D$86)),0)</f>
        <v>5360.16</v>
      </c>
      <c r="E86" s="242">
        <f t="shared" ca="1" si="0"/>
        <v>1689.4280000000001</v>
      </c>
      <c r="F86" s="242">
        <f t="shared" ca="1" si="0"/>
        <v>1253.5930000000001</v>
      </c>
      <c r="G86" s="242">
        <f t="shared" ca="1" si="0"/>
        <v>435.83499999999998</v>
      </c>
      <c r="H86" s="242">
        <f t="shared" ca="1" si="0"/>
        <v>7378.54</v>
      </c>
      <c r="I86" s="242">
        <f>'1.12'!I85</f>
        <v>1130.0170000000001</v>
      </c>
      <c r="J86" s="243">
        <f t="shared" ref="J86:N104" ca="1" si="1">OFFSET(J$8,4*(ROW()-ROW(J$86)),0)</f>
        <v>802.46297179599969</v>
      </c>
      <c r="K86" s="243">
        <f t="shared" ca="1" si="1"/>
        <v>149.50465346981505</v>
      </c>
      <c r="L86" s="243">
        <f t="shared" ca="1" si="1"/>
        <v>110.93576468318618</v>
      </c>
      <c r="M86" s="243">
        <f t="shared" ca="1" si="1"/>
        <v>38.568888786628868</v>
      </c>
      <c r="N86" s="244">
        <f t="shared" ca="1" si="1"/>
        <v>652.95831832618444</v>
      </c>
      <c r="O86" s="245"/>
      <c r="P86" s="410">
        <f t="shared" ref="P86:R104" ca="1" si="2">OFFSET(P$8,4*(ROW()-ROW(P$86)),0)</f>
        <v>1823.9770000000001</v>
      </c>
      <c r="Q86" s="411">
        <f t="shared" ca="1" si="2"/>
        <v>333.89600000000002</v>
      </c>
      <c r="R86" s="411">
        <f t="shared" ca="1" si="2"/>
        <v>4295.8329999999996</v>
      </c>
      <c r="S86" s="412">
        <f>'1.3'!D105</f>
        <v>268.51799999999997</v>
      </c>
      <c r="T86" s="411">
        <f t="shared" ref="T86:U104" ca="1" si="3">OFFSET(T$8,4*(ROW()-ROW(T$86)),0)</f>
        <v>679.27550480787136</v>
      </c>
      <c r="U86" s="413">
        <f t="shared" ca="1" si="3"/>
        <v>1724.1782673787227</v>
      </c>
      <c r="V86" s="246"/>
      <c r="W86" s="292">
        <f t="shared" ref="W86:X104" ca="1" si="4">OFFSET(W$8,4*(ROW()-ROW(W$86)),0)</f>
        <v>2023.3240000000001</v>
      </c>
      <c r="X86" s="293">
        <f t="shared" ca="1" si="4"/>
        <v>117.51841775725038</v>
      </c>
      <c r="Y86" s="154"/>
    </row>
    <row r="87" spans="1:26" x14ac:dyDescent="0.25">
      <c r="A87" s="155"/>
      <c r="B87" s="8">
        <v>2013</v>
      </c>
      <c r="C87" s="151">
        <f ca="1">OFFSET(C$8,4*(ROW()-ROW(C$86)),0)</f>
        <v>3948.8150000000001</v>
      </c>
      <c r="D87" s="151">
        <f t="shared" ca="1" si="0"/>
        <v>5434.0280000000002</v>
      </c>
      <c r="E87" s="151">
        <f t="shared" ca="1" si="0"/>
        <v>1719.9559999999999</v>
      </c>
      <c r="F87" s="151">
        <f t="shared" ca="1" si="0"/>
        <v>1273.1320000000001</v>
      </c>
      <c r="G87" s="151">
        <f t="shared" ca="1" si="0"/>
        <v>446.82400000000001</v>
      </c>
      <c r="H87" s="151">
        <f t="shared" ca="1" si="0"/>
        <v>7662.8869999999997</v>
      </c>
      <c r="I87" s="151">
        <f>'1.12'!I86</f>
        <v>1175.9369999999999</v>
      </c>
      <c r="J87" s="237">
        <f t="shared" ca="1" si="1"/>
        <v>797.90354415245042</v>
      </c>
      <c r="K87" s="237">
        <f t="shared" ca="1" si="1"/>
        <v>146.26259740105127</v>
      </c>
      <c r="L87" s="237">
        <f t="shared" ca="1" si="1"/>
        <v>108.2653237375812</v>
      </c>
      <c r="M87" s="237">
        <f t="shared" ca="1" si="1"/>
        <v>37.997273663470068</v>
      </c>
      <c r="N87" s="238">
        <f t="shared" ca="1" si="1"/>
        <v>651.64094675139916</v>
      </c>
      <c r="O87" s="245"/>
      <c r="P87" s="248">
        <f t="shared" ca="1" si="2"/>
        <v>1878.6949999999999</v>
      </c>
      <c r="Q87" s="237">
        <f t="shared" ca="1" si="2"/>
        <v>317.50900000000001</v>
      </c>
      <c r="R87" s="237">
        <f t="shared" ca="1" si="2"/>
        <v>4358.3720000000003</v>
      </c>
      <c r="S87" s="151">
        <f>'1.3'!D106</f>
        <v>281.55599999999998</v>
      </c>
      <c r="T87" s="237">
        <f t="shared" ca="1" si="3"/>
        <v>667.25447157936605</v>
      </c>
      <c r="U87" s="238">
        <f t="shared" ca="1" si="3"/>
        <v>1660.7285939564424</v>
      </c>
      <c r="V87" s="246"/>
      <c r="W87" s="237">
        <f t="shared" ca="1" si="4"/>
        <v>2037.4649999999999</v>
      </c>
      <c r="X87" s="238">
        <f t="shared" ca="1" si="4"/>
        <v>113.88390182172657</v>
      </c>
      <c r="Y87" s="154"/>
    </row>
    <row r="88" spans="1:26" x14ac:dyDescent="0.25">
      <c r="A88" s="155"/>
      <c r="B88" s="8">
        <v>2014</v>
      </c>
      <c r="C88" s="151">
        <f ca="1">OFFSET(C$8,4*(ROW()-ROW(C$86)),0)</f>
        <v>4300.4709999999995</v>
      </c>
      <c r="D88" s="151">
        <f t="shared" ca="1" si="0"/>
        <v>6029.6980000000003</v>
      </c>
      <c r="E88" s="151">
        <f t="shared" ca="1" si="0"/>
        <v>1769.308</v>
      </c>
      <c r="F88" s="151">
        <f t="shared" ca="1" si="0"/>
        <v>1295.1199999999999</v>
      </c>
      <c r="G88" s="151">
        <f t="shared" ca="1" si="0"/>
        <v>474.18799999999999</v>
      </c>
      <c r="H88" s="151">
        <f t="shared" ca="1" si="0"/>
        <v>8560.8610000000008</v>
      </c>
      <c r="I88" s="151">
        <f>'1.12'!I87</f>
        <v>1217.8910000000001</v>
      </c>
      <c r="J88" s="237">
        <f t="shared" ca="1" si="1"/>
        <v>848.2014400303475</v>
      </c>
      <c r="K88" s="237">
        <f t="shared" ca="1" si="1"/>
        <v>145.27638351872213</v>
      </c>
      <c r="L88" s="237">
        <f t="shared" ca="1" si="1"/>
        <v>106.34120787492476</v>
      </c>
      <c r="M88" s="237">
        <f t="shared" ca="1" si="1"/>
        <v>38.935175643797351</v>
      </c>
      <c r="N88" s="238">
        <f t="shared" ca="1" si="1"/>
        <v>702.92505651162548</v>
      </c>
      <c r="O88" s="245"/>
      <c r="P88" s="248">
        <f t="shared" ca="1" si="2"/>
        <v>1875.354</v>
      </c>
      <c r="Q88" s="237">
        <f t="shared" ca="1" si="2"/>
        <v>296.42599999999999</v>
      </c>
      <c r="R88" s="237">
        <f t="shared" ca="1" si="2"/>
        <v>4735.2520000000004</v>
      </c>
      <c r="S88" s="151">
        <f>'1.3'!D107</f>
        <v>315.10000000000002</v>
      </c>
      <c r="T88" s="237">
        <f t="shared" ca="1" si="3"/>
        <v>595.1615360203109</v>
      </c>
      <c r="U88" s="238">
        <f t="shared" ca="1" si="3"/>
        <v>1596.8511583624247</v>
      </c>
      <c r="V88" s="246"/>
      <c r="W88" s="237">
        <f t="shared" ca="1" si="4"/>
        <v>2065.7339999999999</v>
      </c>
      <c r="X88" s="238">
        <f t="shared" ca="1" si="4"/>
        <v>110.16860206520731</v>
      </c>
      <c r="Y88" s="154"/>
    </row>
    <row r="89" spans="1:26" x14ac:dyDescent="0.25">
      <c r="A89" s="155"/>
      <c r="B89" s="8">
        <v>2015</v>
      </c>
      <c r="C89" s="151">
        <f t="shared" ref="C89:H104" ca="1" si="5">OFFSET(C$8,4*(ROW()-ROW(C$86)),0)</f>
        <v>4677.22</v>
      </c>
      <c r="D89" s="151">
        <f t="shared" ca="1" si="0"/>
        <v>6125.9089999999997</v>
      </c>
      <c r="E89" s="151">
        <f t="shared" ca="1" si="0"/>
        <v>1814.652</v>
      </c>
      <c r="F89" s="151">
        <f t="shared" ca="1" si="0"/>
        <v>1321.163</v>
      </c>
      <c r="G89" s="151">
        <f t="shared" ca="1" si="0"/>
        <v>493.48899999999998</v>
      </c>
      <c r="H89" s="151">
        <f t="shared" ca="1" si="0"/>
        <v>8988.4770000000008</v>
      </c>
      <c r="I89" s="151">
        <f>'1.12'!I88</f>
        <v>1287.116</v>
      </c>
      <c r="J89" s="237">
        <f t="shared" ca="1" si="1"/>
        <v>839.32831228886914</v>
      </c>
      <c r="K89" s="237">
        <f t="shared" ca="1" si="1"/>
        <v>140.98589404529196</v>
      </c>
      <c r="L89" s="237">
        <f t="shared" ca="1" si="1"/>
        <v>102.64521612659621</v>
      </c>
      <c r="M89" s="237">
        <f t="shared" ca="1" si="1"/>
        <v>38.340677918695746</v>
      </c>
      <c r="N89" s="238">
        <f t="shared" ca="1" si="1"/>
        <v>698.34241824357719</v>
      </c>
      <c r="O89" s="245"/>
      <c r="P89" s="248">
        <f t="shared" ca="1" si="2"/>
        <v>1943.953</v>
      </c>
      <c r="Q89" s="237">
        <f t="shared" ca="1" si="2"/>
        <v>290.50799999999998</v>
      </c>
      <c r="R89" s="237">
        <f t="shared" ca="1" si="2"/>
        <v>4705.1540000000005</v>
      </c>
      <c r="S89" s="151">
        <f>'1.3'!D108</f>
        <v>325.7</v>
      </c>
      <c r="T89" s="237">
        <f t="shared" ca="1" si="3"/>
        <v>596.85385323917717</v>
      </c>
      <c r="U89" s="238">
        <f t="shared" ca="1" si="3"/>
        <v>1533.823150138164</v>
      </c>
      <c r="V89" s="246"/>
      <c r="W89" s="237">
        <f t="shared" ca="1" si="4"/>
        <v>2105.16</v>
      </c>
      <c r="X89" s="238">
        <f t="shared" ca="1" si="4"/>
        <v>109.18789055692481</v>
      </c>
      <c r="Y89" s="154"/>
    </row>
    <row r="90" spans="1:26" x14ac:dyDescent="0.25">
      <c r="A90" s="155"/>
      <c r="B90" s="8">
        <v>2016</v>
      </c>
      <c r="C90" s="151">
        <f t="shared" ca="1" si="5"/>
        <v>4957.2240000000002</v>
      </c>
      <c r="D90" s="151">
        <f t="shared" ca="1" si="0"/>
        <v>6681.2309999999998</v>
      </c>
      <c r="E90" s="151">
        <f t="shared" ca="1" si="0"/>
        <v>1883.0630000000001</v>
      </c>
      <c r="F90" s="151">
        <f t="shared" ca="1" si="0"/>
        <v>1361.5709999999999</v>
      </c>
      <c r="G90" s="151">
        <f t="shared" ca="1" si="0"/>
        <v>521.49199999999996</v>
      </c>
      <c r="H90" s="151">
        <f t="shared" ca="1" si="0"/>
        <v>9755.3919999999998</v>
      </c>
      <c r="I90" s="151">
        <f>'1.12'!I89</f>
        <v>1312.7329999999999</v>
      </c>
      <c r="J90" s="237">
        <f t="shared" ca="1" si="1"/>
        <v>886.58203915038314</v>
      </c>
      <c r="K90" s="237">
        <f t="shared" ca="1" si="1"/>
        <v>143.44600158600414</v>
      </c>
      <c r="L90" s="237">
        <f t="shared" ca="1" si="1"/>
        <v>103.72033002903103</v>
      </c>
      <c r="M90" s="237">
        <f t="shared" ca="1" si="1"/>
        <v>39.725671556973111</v>
      </c>
      <c r="N90" s="238">
        <f t="shared" ca="1" si="1"/>
        <v>743.13603756437897</v>
      </c>
      <c r="O90" s="245"/>
      <c r="P90" s="248">
        <f t="shared" ca="1" si="2"/>
        <v>2215.1320000000001</v>
      </c>
      <c r="Q90" s="237">
        <f t="shared" ca="1" si="2"/>
        <v>295.48899999999998</v>
      </c>
      <c r="R90" s="237">
        <f t="shared" ca="1" si="2"/>
        <v>5176.9549999999999</v>
      </c>
      <c r="S90" s="151">
        <f>'1.3'!D109</f>
        <v>337.32299999999998</v>
      </c>
      <c r="T90" s="237">
        <f t="shared" ca="1" si="3"/>
        <v>656.67979948002358</v>
      </c>
      <c r="U90" s="238">
        <f t="shared" ca="1" si="3"/>
        <v>1622.3157033466439</v>
      </c>
      <c r="V90" s="246"/>
      <c r="W90" s="237">
        <f t="shared" ca="1" si="4"/>
        <v>2178.5520000000001</v>
      </c>
      <c r="X90" s="238">
        <f t="shared" ca="1" si="4"/>
        <v>108.66923888455197</v>
      </c>
      <c r="Y90" s="154"/>
    </row>
    <row r="91" spans="1:26" x14ac:dyDescent="0.25">
      <c r="A91" s="155"/>
      <c r="B91" s="8">
        <v>2017</v>
      </c>
      <c r="C91" s="151">
        <f t="shared" ca="1" si="5"/>
        <v>5205.6689999999999</v>
      </c>
      <c r="D91" s="151">
        <f t="shared" ca="1" si="0"/>
        <v>6901.0230000000001</v>
      </c>
      <c r="E91" s="151">
        <f t="shared" ca="1" si="0"/>
        <v>1937.05</v>
      </c>
      <c r="F91" s="151">
        <f t="shared" ca="1" si="0"/>
        <v>1397.2170000000001</v>
      </c>
      <c r="G91" s="151">
        <f t="shared" ca="1" si="0"/>
        <v>539.83299999999997</v>
      </c>
      <c r="H91" s="151">
        <f t="shared" ca="1" si="0"/>
        <v>10169.642</v>
      </c>
      <c r="I91" s="151">
        <f>'1.12'!I90</f>
        <v>1348.375</v>
      </c>
      <c r="J91" s="237">
        <f t="shared" ca="1" si="1"/>
        <v>897.87277278205249</v>
      </c>
      <c r="K91" s="237">
        <f t="shared" ca="1" si="1"/>
        <v>143.65810698062484</v>
      </c>
      <c r="L91" s="237">
        <f t="shared" ca="1" si="1"/>
        <v>103.62228608510244</v>
      </c>
      <c r="M91" s="237">
        <f t="shared" ca="1" si="1"/>
        <v>40.035820895522384</v>
      </c>
      <c r="N91" s="238">
        <f t="shared" ca="1" si="1"/>
        <v>754.21466580142771</v>
      </c>
      <c r="O91" s="245"/>
      <c r="P91" s="248">
        <f t="shared" ca="1" si="2"/>
        <v>2392.944</v>
      </c>
      <c r="Q91" s="237">
        <f t="shared" ca="1" si="2"/>
        <v>325.50599999999997</v>
      </c>
      <c r="R91" s="237">
        <f t="shared" ca="1" si="2"/>
        <v>5500.49</v>
      </c>
      <c r="S91" s="151">
        <f>'1.3'!D110</f>
        <v>354.31900000000002</v>
      </c>
      <c r="T91" s="237">
        <f t="shared" ca="1" si="3"/>
        <v>675.36429037110634</v>
      </c>
      <c r="U91" s="238">
        <f t="shared" ca="1" si="3"/>
        <v>1644.2798720926626</v>
      </c>
      <c r="V91" s="246"/>
      <c r="W91" s="237">
        <f t="shared" ca="1" si="4"/>
        <v>2262.556</v>
      </c>
      <c r="X91" s="238">
        <f t="shared" ca="1" si="4"/>
        <v>107.88347633202397</v>
      </c>
      <c r="Y91" s="154"/>
    </row>
    <row r="92" spans="1:26" x14ac:dyDescent="0.25">
      <c r="A92" s="155"/>
      <c r="B92" s="8">
        <v>2018</v>
      </c>
      <c r="C92" s="151">
        <f t="shared" ca="1" si="5"/>
        <v>5335.3720000000003</v>
      </c>
      <c r="D92" s="151">
        <f t="shared" ca="1" si="0"/>
        <v>6668.942</v>
      </c>
      <c r="E92" s="151">
        <f t="shared" ca="1" si="0"/>
        <v>1974.7719999999999</v>
      </c>
      <c r="F92" s="151">
        <f t="shared" ca="1" si="0"/>
        <v>1425.835</v>
      </c>
      <c r="G92" s="151">
        <f t="shared" ca="1" si="0"/>
        <v>548.93700000000001</v>
      </c>
      <c r="H92" s="151">
        <f t="shared" ca="1" si="0"/>
        <v>10029.541999999999</v>
      </c>
      <c r="I92" s="151">
        <f>'1.12'!I91</f>
        <v>1402.614</v>
      </c>
      <c r="J92" s="237">
        <f t="shared" ca="1" si="1"/>
        <v>855.85300018394219</v>
      </c>
      <c r="K92" s="237">
        <f t="shared" ca="1" si="1"/>
        <v>140.79226358784382</v>
      </c>
      <c r="L92" s="237">
        <f t="shared" ca="1" si="1"/>
        <v>101.65555170560113</v>
      </c>
      <c r="M92" s="237">
        <f t="shared" ca="1" si="1"/>
        <v>39.136711882242722</v>
      </c>
      <c r="N92" s="238">
        <f t="shared" ca="1" si="1"/>
        <v>715.06073659609842</v>
      </c>
      <c r="O92" s="245"/>
      <c r="P92" s="248">
        <f t="shared" ca="1" si="2"/>
        <v>2412.2539999999999</v>
      </c>
      <c r="Q92" s="237">
        <f t="shared" ca="1" si="2"/>
        <v>341.71600000000001</v>
      </c>
      <c r="R92" s="237">
        <f t="shared" ca="1" si="2"/>
        <v>5047.4309999999996</v>
      </c>
      <c r="S92" s="151">
        <f>'1.3'!D111</f>
        <v>367.03100000000001</v>
      </c>
      <c r="T92" s="237">
        <f t="shared" ca="1" si="3"/>
        <v>657.23440254365437</v>
      </c>
      <c r="U92" s="238">
        <f t="shared" ca="1" si="3"/>
        <v>1468.3083990180669</v>
      </c>
      <c r="V92" s="249"/>
      <c r="W92" s="236">
        <f t="shared" ca="1" si="4"/>
        <v>2316.4879999999998</v>
      </c>
      <c r="X92" s="238">
        <f t="shared" ca="1" si="4"/>
        <v>106.67396096537094</v>
      </c>
      <c r="Y92" s="154"/>
    </row>
    <row r="93" spans="1:26" x14ac:dyDescent="0.25">
      <c r="A93" s="155"/>
      <c r="B93" s="8">
        <v>2019</v>
      </c>
      <c r="C93" s="151">
        <f t="shared" ca="1" si="5"/>
        <v>5437.7550000000001</v>
      </c>
      <c r="D93" s="151">
        <f t="shared" ca="1" si="0"/>
        <v>7112.6589999999997</v>
      </c>
      <c r="E93" s="151">
        <f t="shared" ca="1" si="0"/>
        <v>2009.2139999999999</v>
      </c>
      <c r="F93" s="151">
        <f t="shared" ca="1" si="0"/>
        <v>1452.5540000000001</v>
      </c>
      <c r="G93" s="151">
        <f t="shared" ca="1" si="0"/>
        <v>556.66</v>
      </c>
      <c r="H93" s="151">
        <f t="shared" ca="1" si="0"/>
        <v>10541.2</v>
      </c>
      <c r="I93" s="151">
        <f>'1.12'!I92</f>
        <v>1456.54</v>
      </c>
      <c r="J93" s="237">
        <f t="shared" ca="1" si="1"/>
        <v>861.65941203125215</v>
      </c>
      <c r="K93" s="237">
        <f t="shared" ca="1" si="1"/>
        <v>137.94430636989028</v>
      </c>
      <c r="L93" s="237">
        <f t="shared" ca="1" si="1"/>
        <v>99.726337759347501</v>
      </c>
      <c r="M93" s="237">
        <f t="shared" ca="1" si="1"/>
        <v>38.21796861054279</v>
      </c>
      <c r="N93" s="238">
        <f t="shared" ca="1" si="1"/>
        <v>723.71510566136192</v>
      </c>
      <c r="O93" s="245"/>
      <c r="P93" s="248">
        <f t="shared" ca="1" si="2"/>
        <v>2572.9679999999998</v>
      </c>
      <c r="Q93" s="237">
        <f t="shared" ca="1" si="2"/>
        <v>352.13600000000002</v>
      </c>
      <c r="R93" s="237">
        <f t="shared" ca="1" si="2"/>
        <v>5297.2920000000004</v>
      </c>
      <c r="S93" s="151">
        <f>'1.3'!D112</f>
        <v>377.65699999999998</v>
      </c>
      <c r="T93" s="237">
        <f t="shared" ca="1" si="3"/>
        <v>681.29757954969716</v>
      </c>
      <c r="U93" s="238">
        <f t="shared" ca="1" si="3"/>
        <v>1495.9150763788307</v>
      </c>
      <c r="V93" s="249"/>
      <c r="W93" s="236">
        <f t="shared" ca="1" si="4"/>
        <v>2361.35</v>
      </c>
      <c r="X93" s="238">
        <f t="shared" ca="1" si="4"/>
        <v>104.810957668597</v>
      </c>
      <c r="Y93" s="154"/>
    </row>
    <row r="94" spans="1:26" x14ac:dyDescent="0.25">
      <c r="A94" s="155"/>
      <c r="B94" s="8">
        <v>2020</v>
      </c>
      <c r="C94" s="151">
        <f t="shared" ca="1" si="5"/>
        <v>5814.4530000000004</v>
      </c>
      <c r="D94" s="151">
        <f t="shared" ca="1" si="0"/>
        <v>7563.1440000000002</v>
      </c>
      <c r="E94" s="151">
        <f t="shared" ca="1" si="0"/>
        <v>2067.665</v>
      </c>
      <c r="F94" s="151">
        <f t="shared" ca="1" si="0"/>
        <v>1499.76</v>
      </c>
      <c r="G94" s="151">
        <f t="shared" ca="1" si="0"/>
        <v>567.90499999999997</v>
      </c>
      <c r="H94" s="151">
        <f t="shared" ca="1" si="0"/>
        <v>11309.932000000001</v>
      </c>
      <c r="I94" s="151">
        <f>'1.12'!I93</f>
        <v>1454.3409999999999</v>
      </c>
      <c r="J94" s="237">
        <f t="shared" ca="1" si="1"/>
        <v>919.83908863189595</v>
      </c>
      <c r="K94" s="237">
        <f t="shared" ca="1" si="1"/>
        <v>142.17195279511478</v>
      </c>
      <c r="L94" s="237">
        <f t="shared" ca="1" si="1"/>
        <v>103.12299522601647</v>
      </c>
      <c r="M94" s="237">
        <f t="shared" ca="1" si="1"/>
        <v>39.048957569098306</v>
      </c>
      <c r="N94" s="238">
        <f t="shared" ca="1" si="1"/>
        <v>777.66713583678109</v>
      </c>
      <c r="O94" s="245"/>
      <c r="P94" s="248">
        <f t="shared" ca="1" si="2"/>
        <v>2832.0369999999998</v>
      </c>
      <c r="Q94" s="237">
        <f t="shared" ca="1" si="2"/>
        <v>391.73500000000001</v>
      </c>
      <c r="R94" s="237">
        <f t="shared" ca="1" si="2"/>
        <v>5647.9049999999997</v>
      </c>
      <c r="S94" s="151">
        <f>'1.3'!D113</f>
        <v>381.54500000000002</v>
      </c>
      <c r="T94" s="237">
        <f t="shared" ca="1" si="3"/>
        <v>742.2550420002882</v>
      </c>
      <c r="U94" s="238">
        <f t="shared" ca="1" si="3"/>
        <v>1582.9430342423566</v>
      </c>
      <c r="V94" s="249"/>
      <c r="W94" s="236">
        <f t="shared" ca="1" si="4"/>
        <v>2459.4</v>
      </c>
      <c r="X94" s="238">
        <f t="shared" ca="1" si="4"/>
        <v>115.75172257991639</v>
      </c>
      <c r="Y94" s="154"/>
    </row>
    <row r="95" spans="1:26" x14ac:dyDescent="0.25">
      <c r="A95" s="155"/>
      <c r="B95" s="8">
        <v>2021</v>
      </c>
      <c r="C95" s="151">
        <f t="shared" ca="1" si="5"/>
        <v>6190.7089999999998</v>
      </c>
      <c r="D95" s="151">
        <f t="shared" ca="1" si="0"/>
        <v>7661.8630000000003</v>
      </c>
      <c r="E95" s="151">
        <f t="shared" ca="1" si="0"/>
        <v>2095.29</v>
      </c>
      <c r="F95" s="151">
        <f t="shared" ca="1" si="0"/>
        <v>1562.357</v>
      </c>
      <c r="G95" s="151">
        <f t="shared" ca="1" si="0"/>
        <v>532.93299999999999</v>
      </c>
      <c r="H95" s="151">
        <f t="shared" ca="1" si="0"/>
        <v>11757.281999999999</v>
      </c>
      <c r="I95" s="151">
        <f>'1.12'!I94</f>
        <v>1519.777</v>
      </c>
      <c r="J95" s="237">
        <f t="shared" ca="1" si="1"/>
        <v>911.48714581152376</v>
      </c>
      <c r="K95" s="237">
        <f t="shared" ca="1" si="1"/>
        <v>137.86825303975516</v>
      </c>
      <c r="L95" s="237">
        <f t="shared" ca="1" si="1"/>
        <v>102.80172683229183</v>
      </c>
      <c r="M95" s="237">
        <f t="shared" ca="1" si="1"/>
        <v>35.066526207463326</v>
      </c>
      <c r="N95" s="238">
        <f t="shared" ca="1" si="1"/>
        <v>773.6188927717684</v>
      </c>
      <c r="O95" s="245"/>
      <c r="P95" s="248">
        <f t="shared" ca="1" si="2"/>
        <v>2879.9369999999999</v>
      </c>
      <c r="Q95" s="237">
        <f t="shared" ca="1" si="2"/>
        <v>392.041</v>
      </c>
      <c r="R95" s="237">
        <f t="shared" ca="1" si="2"/>
        <v>5971.0690000000004</v>
      </c>
      <c r="S95" s="157">
        <f>'1.3'!D114</f>
        <v>409.678</v>
      </c>
      <c r="T95" s="237">
        <f t="shared" ca="1" si="3"/>
        <v>702.97575168791093</v>
      </c>
      <c r="U95" s="238">
        <f t="shared" ca="1" si="3"/>
        <v>1553.1978773573392</v>
      </c>
      <c r="V95" s="249"/>
      <c r="W95" s="236">
        <f t="shared" ca="1" si="4"/>
        <v>2487.3310000000001</v>
      </c>
      <c r="X95" s="238">
        <f t="shared" ca="1" si="4"/>
        <v>107.09012800884507</v>
      </c>
      <c r="Y95" s="154"/>
    </row>
    <row r="96" spans="1:26" x14ac:dyDescent="0.25">
      <c r="A96" s="155"/>
      <c r="B96" s="8">
        <v>2022</v>
      </c>
      <c r="C96" s="151">
        <f t="shared" ca="1" si="5"/>
        <v>6644.0159999999996</v>
      </c>
      <c r="D96" s="151">
        <f t="shared" ca="1" si="0"/>
        <v>6580.6080000000002</v>
      </c>
      <c r="E96" s="151">
        <f t="shared" ca="1" si="0"/>
        <v>2189.9009999999998</v>
      </c>
      <c r="F96" s="151">
        <f t="shared" ca="1" si="0"/>
        <v>1619.6110000000001</v>
      </c>
      <c r="G96" s="151">
        <f t="shared" ca="1" si="0"/>
        <v>570.29</v>
      </c>
      <c r="H96" s="151">
        <f t="shared" ca="1" si="0"/>
        <v>11034.723</v>
      </c>
      <c r="I96" s="151">
        <f>'1.12'!I95</f>
        <v>1613.529</v>
      </c>
      <c r="J96" s="237">
        <f t="shared" ca="1" si="1"/>
        <v>819.60869621804113</v>
      </c>
      <c r="K96" s="237">
        <f t="shared" ca="1" si="1"/>
        <v>135.72120488692795</v>
      </c>
      <c r="L96" s="237">
        <f t="shared" ca="1" si="1"/>
        <v>100.37693775568954</v>
      </c>
      <c r="M96" s="237">
        <f t="shared" ca="1" si="1"/>
        <v>35.344267131238418</v>
      </c>
      <c r="N96" s="238">
        <f t="shared" ca="1" si="1"/>
        <v>683.88749133111321</v>
      </c>
      <c r="O96" s="250"/>
      <c r="P96" s="248">
        <f t="shared" ca="1" si="2"/>
        <v>3096.1590000000001</v>
      </c>
      <c r="Q96" s="237">
        <f t="shared" ca="1" si="2"/>
        <v>395.53699999999998</v>
      </c>
      <c r="R96" s="237">
        <f t="shared" ca="1" si="2"/>
        <v>5570.0690000000004</v>
      </c>
      <c r="S96" s="157">
        <f>'1.3'!D115</f>
        <v>441.762</v>
      </c>
      <c r="T96" s="237">
        <f t="shared" ca="1" si="3"/>
        <v>700.86585084276157</v>
      </c>
      <c r="U96" s="238">
        <f t="shared" ca="1" si="3"/>
        <v>1350.4117601785579</v>
      </c>
      <c r="V96" s="116"/>
      <c r="W96" s="236">
        <f t="shared" ca="1" si="4"/>
        <v>2585.4379999999996</v>
      </c>
      <c r="X96" s="238">
        <f t="shared" ca="1" si="4"/>
        <v>100.17392827212004</v>
      </c>
      <c r="Y96" s="154"/>
    </row>
    <row r="97" spans="1:25" x14ac:dyDescent="0.25">
      <c r="A97" s="155"/>
      <c r="B97" s="8">
        <v>2023</v>
      </c>
      <c r="C97" s="151">
        <f t="shared" ca="1" si="5"/>
        <v>6466.8270000000002</v>
      </c>
      <c r="D97" s="151">
        <f t="shared" ca="1" si="0"/>
        <v>6582.1589999999997</v>
      </c>
      <c r="E97" s="151">
        <f t="shared" ca="1" si="0"/>
        <v>2239.942</v>
      </c>
      <c r="F97" s="151">
        <f t="shared" ca="1" si="0"/>
        <v>1619.94</v>
      </c>
      <c r="G97" s="151">
        <f t="shared" ca="1" si="0"/>
        <v>620.00199999999995</v>
      </c>
      <c r="H97" s="151">
        <f t="shared" ca="1" si="0"/>
        <v>10809.044</v>
      </c>
      <c r="I97" s="151">
        <f>'1.12'!I96</f>
        <v>1740.15</v>
      </c>
      <c r="J97" s="237">
        <f t="shared" ca="1" si="1"/>
        <v>749.87707956210681</v>
      </c>
      <c r="K97" s="237">
        <f t="shared" ca="1" si="1"/>
        <v>128.72120219521307</v>
      </c>
      <c r="L97" s="237">
        <f t="shared" ca="1" si="1"/>
        <v>93.091974829756069</v>
      </c>
      <c r="M97" s="237">
        <f t="shared" ca="1" si="1"/>
        <v>35.629227365456998</v>
      </c>
      <c r="N97" s="238">
        <f t="shared" ca="1" si="1"/>
        <v>621.15587736689372</v>
      </c>
      <c r="O97" s="250"/>
      <c r="P97" s="248">
        <f t="shared" ca="1" si="2"/>
        <v>2980.66</v>
      </c>
      <c r="Q97" s="237">
        <f t="shared" ca="1" si="2"/>
        <v>391.15499999999997</v>
      </c>
      <c r="R97" s="237">
        <f t="shared" ca="1" si="2"/>
        <v>5489.2960000000003</v>
      </c>
      <c r="S97" s="157">
        <f>'1.3'!D116</f>
        <v>483.21</v>
      </c>
      <c r="T97" s="237">
        <f t="shared" ca="1" si="3"/>
        <v>616.84567786262699</v>
      </c>
      <c r="U97" s="238">
        <f t="shared" ca="1" si="3"/>
        <v>1216.9555679725172</v>
      </c>
      <c r="V97" s="116"/>
      <c r="W97" s="236">
        <f t="shared" ca="1" si="4"/>
        <v>2631.0969999999998</v>
      </c>
      <c r="X97" s="238">
        <f t="shared" ca="1" si="4"/>
        <v>95.601025229601149</v>
      </c>
      <c r="Y97" s="154"/>
    </row>
    <row r="98" spans="1:25" x14ac:dyDescent="0.25">
      <c r="A98" s="155"/>
      <c r="B98" s="8">
        <v>2024</v>
      </c>
      <c r="C98" s="151">
        <f t="shared" ca="1" si="5"/>
        <v>6706.5749999999998</v>
      </c>
      <c r="D98" s="151">
        <f t="shared" ca="1" si="0"/>
        <v>6566.9589999999998</v>
      </c>
      <c r="E98" s="151">
        <f t="shared" ca="1" si="0"/>
        <v>2293.0709999999999</v>
      </c>
      <c r="F98" s="151">
        <f t="shared" ca="1" si="0"/>
        <v>1643.883</v>
      </c>
      <c r="G98" s="151">
        <f t="shared" ca="1" si="0"/>
        <v>649.18799999999999</v>
      </c>
      <c r="H98" s="151">
        <f t="shared" ca="1" si="0"/>
        <v>10980.463</v>
      </c>
      <c r="I98" s="151">
        <f>'1.12'!I97</f>
        <v>1863.2629999999999</v>
      </c>
      <c r="J98" s="237">
        <f t="shared" ca="1" si="1"/>
        <v>712.38112923403719</v>
      </c>
      <c r="K98" s="237">
        <f t="shared" ca="1" si="1"/>
        <v>123.06748966732017</v>
      </c>
      <c r="L98" s="237">
        <f t="shared" ca="1" si="1"/>
        <v>88.226031429808884</v>
      </c>
      <c r="M98" s="237">
        <f t="shared" ca="1" si="1"/>
        <v>34.841458237511283</v>
      </c>
      <c r="N98" s="238">
        <f t="shared" ca="1" si="1"/>
        <v>589.31363956671703</v>
      </c>
      <c r="O98" s="250"/>
      <c r="P98" s="248">
        <f t="shared" ca="1" si="2"/>
        <v>2955.413</v>
      </c>
      <c r="Q98" s="237">
        <f t="shared" ca="1" si="2"/>
        <v>403.11200000000002</v>
      </c>
      <c r="R98" s="237">
        <f t="shared" ca="1" si="2"/>
        <v>5460.1710000000003</v>
      </c>
      <c r="S98" s="237">
        <f>'1.3'!D117</f>
        <v>481.55200000000002</v>
      </c>
      <c r="T98" s="237">
        <f t="shared" ca="1" si="3"/>
        <v>613.72665880320301</v>
      </c>
      <c r="U98" s="247">
        <f t="shared" ca="1" si="3"/>
        <v>1217.5804482174306</v>
      </c>
      <c r="V98" s="116"/>
      <c r="W98" s="248">
        <f t="shared" ca="1" si="4"/>
        <v>2696.183</v>
      </c>
      <c r="X98" s="247">
        <f t="shared" ca="1" si="4"/>
        <v>93.285330631840665</v>
      </c>
      <c r="Y98" s="154"/>
    </row>
    <row r="99" spans="1:25" x14ac:dyDescent="0.25">
      <c r="A99" s="155"/>
      <c r="B99" s="8">
        <v>2025</v>
      </c>
      <c r="C99" s="151">
        <f t="shared" ca="1" si="5"/>
        <v>6695.6869999999999</v>
      </c>
      <c r="D99" s="151">
        <f t="shared" ca="1" si="0"/>
        <v>6747.8819999999996</v>
      </c>
      <c r="E99" s="151">
        <f t="shared" ca="1" si="0"/>
        <v>2363.0810000000001</v>
      </c>
      <c r="F99" s="151">
        <f t="shared" ca="1" si="0"/>
        <v>1689.548</v>
      </c>
      <c r="G99" s="151">
        <f t="shared" ca="1" si="0"/>
        <v>673.53300000000002</v>
      </c>
      <c r="H99" s="151">
        <f t="shared" ca="1" si="0"/>
        <v>11080.487999999999</v>
      </c>
      <c r="I99" s="151">
        <f>'1.12'!I98</f>
        <v>1945.7729999999999</v>
      </c>
      <c r="J99" s="237">
        <f t="shared" ca="1" si="1"/>
        <v>690.91147836875109</v>
      </c>
      <c r="K99" s="237">
        <f t="shared" ca="1" si="1"/>
        <v>121.44690053772975</v>
      </c>
      <c r="L99" s="237">
        <f t="shared" ca="1" si="1"/>
        <v>86.831711612814033</v>
      </c>
      <c r="M99" s="237">
        <f t="shared" ca="1" si="1"/>
        <v>34.615188924915699</v>
      </c>
      <c r="N99" s="238">
        <f t="shared" ca="1" si="1"/>
        <v>569.46457783102142</v>
      </c>
      <c r="O99" s="250"/>
      <c r="P99" s="248">
        <f t="shared" ca="1" si="2"/>
        <v>2853.0349999999999</v>
      </c>
      <c r="Q99" s="237">
        <f t="shared" ca="1" si="2"/>
        <v>433.23599999999999</v>
      </c>
      <c r="R99" s="237">
        <f t="shared" ca="1" si="2"/>
        <v>5500.643</v>
      </c>
      <c r="S99" s="237">
        <f>'1.3'!D118</f>
        <v>498.017</v>
      </c>
      <c r="T99" s="237">
        <f t="shared" ca="1" si="3"/>
        <v>572.87903826576201</v>
      </c>
      <c r="U99" s="247">
        <f t="shared" ca="1" si="3"/>
        <v>1191.5012941325297</v>
      </c>
      <c r="V99" s="116"/>
      <c r="W99" s="248">
        <f t="shared" ca="1" si="4"/>
        <v>2796.317</v>
      </c>
      <c r="X99" s="247">
        <f t="shared" ca="1" si="4"/>
        <v>92.170089252458737</v>
      </c>
      <c r="Y99" s="158"/>
    </row>
    <row r="100" spans="1:25" x14ac:dyDescent="0.25">
      <c r="A100" s="155"/>
      <c r="B100" s="8">
        <v>2026</v>
      </c>
      <c r="C100" s="151">
        <f t="shared" ca="1" si="5"/>
        <v>6902.9312399999999</v>
      </c>
      <c r="D100" s="151">
        <f t="shared" ca="1" si="0"/>
        <v>6805.0324692076374</v>
      </c>
      <c r="E100" s="151">
        <f t="shared" ca="1" si="0"/>
        <v>2414.7538192076363</v>
      </c>
      <c r="F100" s="151">
        <f t="shared" ca="1" si="0"/>
        <v>1733.3957942076361</v>
      </c>
      <c r="G100" s="151">
        <f t="shared" ca="1" si="0"/>
        <v>681.358025</v>
      </c>
      <c r="H100" s="151">
        <f t="shared" ca="1" si="0"/>
        <v>11293.20989</v>
      </c>
      <c r="I100" s="151">
        <f>'1.12'!I99</f>
        <v>1988.3399550000001</v>
      </c>
      <c r="J100" s="237">
        <f t="shared" ca="1" si="1"/>
        <v>689.41750502658067</v>
      </c>
      <c r="K100" s="237">
        <f t="shared" ca="1" si="1"/>
        <v>121.44572225364934</v>
      </c>
      <c r="L100" s="237">
        <f t="shared" ca="1" si="1"/>
        <v>87.178039643006429</v>
      </c>
      <c r="M100" s="237">
        <f t="shared" ca="1" si="1"/>
        <v>34.267682610642908</v>
      </c>
      <c r="N100" s="238">
        <f t="shared" ca="1" si="1"/>
        <v>567.97178277293142</v>
      </c>
      <c r="O100" s="250"/>
      <c r="P100" s="248">
        <f t="shared" ca="1" si="2"/>
        <v>2901.3292499999998</v>
      </c>
      <c r="Q100" s="237">
        <f t="shared" ca="1" si="2"/>
        <v>447.13576499999999</v>
      </c>
      <c r="R100" s="237">
        <f t="shared" ca="1" si="2"/>
        <v>5675.2902450000001</v>
      </c>
      <c r="S100" s="237">
        <f>'1.3'!D119</f>
        <v>524.34269545363554</v>
      </c>
      <c r="T100" s="237">
        <f t="shared" ca="1" si="3"/>
        <v>553.32691294381664</v>
      </c>
      <c r="U100" s="237">
        <f t="shared" ca="1" si="3"/>
        <v>1167.6382760902538</v>
      </c>
      <c r="V100" s="251"/>
      <c r="W100" s="248">
        <f t="shared" ca="1" si="4"/>
        <v>2861.8895842076363</v>
      </c>
      <c r="X100" s="247">
        <f t="shared" ca="1" si="4"/>
        <v>90.524331313868856</v>
      </c>
      <c r="Y100" s="154"/>
    </row>
    <row r="101" spans="1:25" x14ac:dyDescent="0.25">
      <c r="A101" s="155"/>
      <c r="B101" s="8">
        <v>2027</v>
      </c>
      <c r="C101" s="151">
        <f t="shared" ca="1" si="5"/>
        <v>7103.9364999999998</v>
      </c>
      <c r="D101" s="151">
        <f t="shared" ca="1" si="0"/>
        <v>6916.4420789710157</v>
      </c>
      <c r="E101" s="151">
        <f t="shared" ca="1" si="0"/>
        <v>2437.4307189710144</v>
      </c>
      <c r="F101" s="151">
        <f t="shared" ca="1" si="0"/>
        <v>1781.4850939710145</v>
      </c>
      <c r="G101" s="151">
        <f t="shared" ca="1" si="0"/>
        <v>655.94562499999995</v>
      </c>
      <c r="H101" s="151">
        <f t="shared" ca="1" si="0"/>
        <v>11582.94786</v>
      </c>
      <c r="I101" s="151">
        <f>'1.12'!I100</f>
        <v>2053.503604</v>
      </c>
      <c r="J101" s="237">
        <f t="shared" ca="1" si="1"/>
        <v>682.75402836697515</v>
      </c>
      <c r="K101" s="237">
        <f t="shared" ca="1" si="1"/>
        <v>118.69619874166115</v>
      </c>
      <c r="L101" s="237">
        <f t="shared" ca="1" si="1"/>
        <v>86.753443748570831</v>
      </c>
      <c r="M101" s="237">
        <f t="shared" ca="1" si="1"/>
        <v>31.942754993090333</v>
      </c>
      <c r="N101" s="238">
        <f t="shared" ca="1" si="1"/>
        <v>564.05782962531384</v>
      </c>
      <c r="O101" s="250"/>
      <c r="P101" s="248">
        <f t="shared" ca="1" si="2"/>
        <v>2974.4539100000002</v>
      </c>
      <c r="Q101" s="237">
        <f t="shared" ca="1" si="2"/>
        <v>450.64612300000005</v>
      </c>
      <c r="R101" s="237">
        <f t="shared" ca="1" si="2"/>
        <v>5857.4426370000001</v>
      </c>
      <c r="S101" s="237">
        <f>'1.3'!D120</f>
        <v>546.89210058528442</v>
      </c>
      <c r="T101" s="237">
        <f t="shared" ca="1" si="3"/>
        <v>543.88313651207193</v>
      </c>
      <c r="U101" s="247">
        <f t="shared" ca="1" si="3"/>
        <v>1153.4430197929498</v>
      </c>
      <c r="V101" s="316"/>
      <c r="W101" s="248">
        <f t="shared" ca="1" si="4"/>
        <v>2888.0768419710143</v>
      </c>
      <c r="X101" s="247">
        <f t="shared" ca="1" si="4"/>
        <v>88.487714247939408</v>
      </c>
      <c r="Y101" s="251"/>
    </row>
    <row r="102" spans="1:25" x14ac:dyDescent="0.25">
      <c r="A102" s="155"/>
      <c r="B102" s="8">
        <v>2028</v>
      </c>
      <c r="C102" s="151">
        <f t="shared" ca="1" si="5"/>
        <v>7310.8669799999998</v>
      </c>
      <c r="D102" s="151">
        <f t="shared" ca="1" si="5"/>
        <v>7048.3755994016246</v>
      </c>
      <c r="E102" s="151">
        <f t="shared" ca="1" si="5"/>
        <v>2486.4577994016245</v>
      </c>
      <c r="F102" s="151">
        <f t="shared" ca="1" si="5"/>
        <v>1835.7872534016244</v>
      </c>
      <c r="G102" s="151">
        <f t="shared" ca="1" si="5"/>
        <v>650.67054599999994</v>
      </c>
      <c r="H102" s="151">
        <f t="shared" ca="1" si="5"/>
        <v>11872.78478</v>
      </c>
      <c r="I102" s="151">
        <f>'1.12'!I101</f>
        <v>2117.362795</v>
      </c>
      <c r="J102" s="237">
        <f t="shared" ca="1" si="1"/>
        <v>678.16637816202035</v>
      </c>
      <c r="K102" s="237">
        <f t="shared" ca="1" si="1"/>
        <v>117.43182629227337</v>
      </c>
      <c r="L102" s="237">
        <f t="shared" ca="1" si="1"/>
        <v>86.701592081276956</v>
      </c>
      <c r="M102" s="237">
        <f t="shared" ca="1" si="1"/>
        <v>30.730234210996414</v>
      </c>
      <c r="N102" s="238">
        <f t="shared" ca="1" si="1"/>
        <v>560.73455186974707</v>
      </c>
      <c r="O102" s="250"/>
      <c r="P102" s="248">
        <f t="shared" ca="1" si="2"/>
        <v>3064.7739500000002</v>
      </c>
      <c r="Q102" s="237">
        <f t="shared" ca="1" si="2"/>
        <v>454.90739399999995</v>
      </c>
      <c r="R102" s="237">
        <f t="shared" ca="1" si="2"/>
        <v>6084.6111959999998</v>
      </c>
      <c r="S102" s="237">
        <f>'1.3'!D121</f>
        <v>575.49719324904072</v>
      </c>
      <c r="T102" s="237">
        <f t="shared" ca="1" si="3"/>
        <v>532.54368326236988</v>
      </c>
      <c r="U102" s="247">
        <f t="shared" ca="1" si="3"/>
        <v>1136.3250189076227</v>
      </c>
      <c r="V102" s="316"/>
      <c r="W102" s="248">
        <f t="shared" ca="1" si="4"/>
        <v>2941.3651934016243</v>
      </c>
      <c r="X102" s="247">
        <f t="shared" ca="1" si="4"/>
        <v>86.976712297607264</v>
      </c>
      <c r="Y102" s="251"/>
    </row>
    <row r="103" spans="1:25" x14ac:dyDescent="0.25">
      <c r="A103" s="155"/>
      <c r="B103" s="8">
        <v>2029</v>
      </c>
      <c r="C103" s="151">
        <f t="shared" ca="1" si="5"/>
        <v>7527.6077599999999</v>
      </c>
      <c r="D103" s="151">
        <f t="shared" ca="1" si="5"/>
        <v>7163.6938514651629</v>
      </c>
      <c r="E103" s="151">
        <f t="shared" ca="1" si="5"/>
        <v>2553.8765514651632</v>
      </c>
      <c r="F103" s="151">
        <f t="shared" ca="1" si="5"/>
        <v>1897.1597544651631</v>
      </c>
      <c r="G103" s="151">
        <f t="shared" ca="1" si="5"/>
        <v>656.71679700000004</v>
      </c>
      <c r="H103" s="151">
        <f t="shared" ca="1" si="5"/>
        <v>12137.425059999998</v>
      </c>
      <c r="I103" s="151">
        <f>'1.12'!I102</f>
        <v>2176.82924</v>
      </c>
      <c r="J103" s="237">
        <f t="shared" ca="1" si="1"/>
        <v>674.89453658134255</v>
      </c>
      <c r="K103" s="237">
        <f t="shared" ca="1" si="1"/>
        <v>117.32094114397155</v>
      </c>
      <c r="L103" s="237">
        <f t="shared" ca="1" si="1"/>
        <v>87.152438032537788</v>
      </c>
      <c r="M103" s="237">
        <f t="shared" ca="1" si="1"/>
        <v>30.168503111433768</v>
      </c>
      <c r="N103" s="238">
        <f t="shared" ca="1" si="1"/>
        <v>557.57359543737095</v>
      </c>
      <c r="O103" s="250"/>
      <c r="P103" s="248">
        <f t="shared" ca="1" si="2"/>
        <v>3155.0618399999998</v>
      </c>
      <c r="Q103" s="237">
        <f t="shared" ca="1" si="2"/>
        <v>458.37929499999996</v>
      </c>
      <c r="R103" s="237">
        <f t="shared" ca="1" si="2"/>
        <v>6300.8745349999999</v>
      </c>
      <c r="S103" s="237">
        <f>'1.3'!D122</f>
        <v>600.60980031276199</v>
      </c>
      <c r="T103" s="237">
        <f t="shared" ca="1" si="3"/>
        <v>525.30974991700612</v>
      </c>
      <c r="U103" s="247">
        <f t="shared" ca="1" si="3"/>
        <v>1125.3985243797522</v>
      </c>
      <c r="V103" s="316"/>
      <c r="W103" s="248">
        <f t="shared" ca="1" si="4"/>
        <v>3012.2558464651629</v>
      </c>
      <c r="X103" s="247">
        <f t="shared" ca="1" si="4"/>
        <v>85.79778172911702</v>
      </c>
      <c r="Y103" s="251"/>
    </row>
    <row r="104" spans="1:25" x14ac:dyDescent="0.25">
      <c r="A104" s="155"/>
      <c r="B104" s="8">
        <v>2030</v>
      </c>
      <c r="C104" s="151">
        <f t="shared" ca="1" si="5"/>
        <v>7758.4111999999996</v>
      </c>
      <c r="D104" s="151">
        <f t="shared" ca="1" si="5"/>
        <v>7279.3044404416942</v>
      </c>
      <c r="E104" s="151">
        <f t="shared" ca="1" si="5"/>
        <v>2639.6960604416945</v>
      </c>
      <c r="F104" s="151">
        <f t="shared" ca="1" si="5"/>
        <v>1965.2240364416948</v>
      </c>
      <c r="G104" s="151">
        <f t="shared" ca="1" si="5"/>
        <v>674.47202399999992</v>
      </c>
      <c r="H104" s="151">
        <f t="shared" ca="1" si="5"/>
        <v>12398.019579999998</v>
      </c>
      <c r="I104" s="151">
        <f>'1.12'!I103</f>
        <v>2245.2481809999999</v>
      </c>
      <c r="J104" s="237">
        <f t="shared" ca="1" si="1"/>
        <v>669.75739108467383</v>
      </c>
      <c r="K104" s="237">
        <f t="shared" ca="1" si="1"/>
        <v>117.56811931881906</v>
      </c>
      <c r="L104" s="237">
        <f t="shared" ca="1" si="1"/>
        <v>87.52814290518269</v>
      </c>
      <c r="M104" s="237">
        <f t="shared" ca="1" si="1"/>
        <v>30.039976413636381</v>
      </c>
      <c r="N104" s="238">
        <f t="shared" ca="1" si="1"/>
        <v>552.18927176585476</v>
      </c>
      <c r="O104" s="250"/>
      <c r="P104" s="248">
        <f t="shared" ca="1" si="2"/>
        <v>3246.2731699999999</v>
      </c>
      <c r="Q104" s="237">
        <f t="shared" ca="1" si="2"/>
        <v>461.33447899999999</v>
      </c>
      <c r="R104" s="237">
        <f t="shared" ca="1" si="2"/>
        <v>6512.3668909999997</v>
      </c>
      <c r="S104" s="237">
        <f>'1.3'!D123</f>
        <v>625.24697133863378</v>
      </c>
      <c r="T104" s="237">
        <f t="shared" ca="1" si="3"/>
        <v>519.19854374501529</v>
      </c>
      <c r="U104" s="247">
        <f t="shared" ca="1" si="3"/>
        <v>1115.3514834417394</v>
      </c>
      <c r="V104" s="316"/>
      <c r="W104" s="248">
        <f t="shared" ca="1" si="4"/>
        <v>3101.0305394416946</v>
      </c>
      <c r="X104" s="247">
        <f t="shared" ca="1" si="4"/>
        <v>85.186497179767258</v>
      </c>
      <c r="Y104" s="251"/>
    </row>
    <row r="105" spans="1:25" x14ac:dyDescent="0.25">
      <c r="A105" s="155"/>
      <c r="B105" s="8">
        <v>2031</v>
      </c>
      <c r="C105" s="151">
        <f t="shared" ref="C105:H105" ca="1" si="6">OFFSET(C$8,4*(ROW()-ROW(C$86)),0)</f>
        <v>8001.2912699999997</v>
      </c>
      <c r="D105" s="151">
        <f t="shared" ca="1" si="6"/>
        <v>7390.3138771254853</v>
      </c>
      <c r="E105" s="151">
        <f t="shared" ca="1" si="6"/>
        <v>2739.4430771254856</v>
      </c>
      <c r="F105" s="151">
        <f t="shared" ca="1" si="6"/>
        <v>2039.6186761254858</v>
      </c>
      <c r="G105" s="151">
        <f t="shared" ca="1" si="6"/>
        <v>699.82440099999997</v>
      </c>
      <c r="H105" s="151">
        <f t="shared" ca="1" si="6"/>
        <v>12652.16207</v>
      </c>
      <c r="I105" s="151">
        <f>'1.12'!I104</f>
        <v>2312.5576179999998</v>
      </c>
      <c r="J105" s="237">
        <f ca="1">OFFSET(J$8,4*(ROW()-ROW(J$86)),0)</f>
        <v>665.5663421020754</v>
      </c>
      <c r="K105" s="237">
        <f ca="1">OFFSET(K$8,4*(ROW()-ROW(K$86)),0)</f>
        <v>118.45945181226121</v>
      </c>
      <c r="L105" s="237">
        <f ca="1">OFFSET(L$8,4*(ROW()-ROW(L$86)),0)</f>
        <v>88.19752901505808</v>
      </c>
      <c r="M105" s="237">
        <f ca="1">OFFSET(M$8,4*(ROW()-ROW(M$86)),0)</f>
        <v>30.261922797203145</v>
      </c>
      <c r="N105" s="238">
        <f ca="1">OFFSET(N$8,4*(ROW()-ROW(N$86)),0)</f>
        <v>547.10689028981426</v>
      </c>
      <c r="O105" s="250"/>
      <c r="P105" s="248">
        <f ca="1">OFFSET(P$8,4*(ROW()-ROW(P$86)),0)</f>
        <v>3334.7140099999997</v>
      </c>
      <c r="Q105" s="237">
        <f ca="1">OFFSET(Q$8,4*(ROW()-ROW(Q$86)),0)</f>
        <v>462.96824400000003</v>
      </c>
      <c r="R105" s="237">
        <f ca="1">OFFSET(R$8,4*(ROW()-ROW(R$86)),0)</f>
        <v>6698.6369560000003</v>
      </c>
      <c r="S105" s="237">
        <f>'1.3'!D124</f>
        <v>650.1363118522695</v>
      </c>
      <c r="T105" s="237">
        <f ca="1">OFFSET(T$8,4*(ROW()-ROW(T$86)),0)</f>
        <v>512.92535876041745</v>
      </c>
      <c r="U105" s="247">
        <f ca="1">OFFSET(U$8,4*(ROW()-ROW(U$86)),0)</f>
        <v>1101.5544078127623</v>
      </c>
      <c r="V105" s="316"/>
      <c r="W105" s="248">
        <f ca="1">OFFSET(W$8,4*(ROW()-ROW(W$86)),0)</f>
        <v>3202.4113211254858</v>
      </c>
      <c r="X105" s="247">
        <f ca="1">OFFSET(X$8,4*(ROW()-ROW(X$86)),0)</f>
        <v>84.942229764764051</v>
      </c>
      <c r="Y105" s="116"/>
    </row>
    <row r="106" spans="1:25" x14ac:dyDescent="0.25">
      <c r="A106" s="155"/>
      <c r="B106" s="252" t="s">
        <v>140</v>
      </c>
      <c r="C106" s="242">
        <f ca="1">OFFSET(C$9,4*(ROW()-ROW(C$106)),0)</f>
        <v>3766.6444299999998</v>
      </c>
      <c r="D106" s="242">
        <f t="shared" ref="D106:H124" ca="1" si="7">OFFSET(D$9,4*(ROW()-ROW(D$106)),0)</f>
        <v>5382.12</v>
      </c>
      <c r="E106" s="242">
        <f t="shared" ca="1" si="7"/>
        <v>1701.24</v>
      </c>
      <c r="F106" s="242">
        <f t="shared" ca="1" si="7"/>
        <v>1261.1010000000001</v>
      </c>
      <c r="G106" s="242">
        <f t="shared" ca="1" si="7"/>
        <v>440.13900000000001</v>
      </c>
      <c r="H106" s="242">
        <f t="shared" ca="1" si="7"/>
        <v>7447.5244299999995</v>
      </c>
      <c r="I106" s="242">
        <f>'1.12'!I105</f>
        <v>1134.597</v>
      </c>
      <c r="J106" s="242">
        <f t="shared" ref="J106:N124" ca="1" si="8">OFFSET(J$9,4*(ROW()-ROW(J$106)),0)</f>
        <v>806.34484579106061</v>
      </c>
      <c r="K106" s="242">
        <f t="shared" ca="1" si="8"/>
        <v>149.94222618251237</v>
      </c>
      <c r="L106" s="242">
        <f t="shared" ca="1" si="8"/>
        <v>111.14968574745043</v>
      </c>
      <c r="M106" s="242">
        <f t="shared" ca="1" si="8"/>
        <v>38.792540435061966</v>
      </c>
      <c r="N106" s="253">
        <f t="shared" ca="1" si="8"/>
        <v>656.40261960854821</v>
      </c>
      <c r="O106" s="250"/>
      <c r="P106" s="414">
        <f t="shared" ref="P106:R124" ca="1" si="9">OFFSET(P$9,4*(ROW()-ROW(P$106)),0)</f>
        <v>1832.0329999999999</v>
      </c>
      <c r="Q106" s="242">
        <f t="shared" ca="1" si="9"/>
        <v>332.90300000000002</v>
      </c>
      <c r="R106" s="242">
        <f t="shared" ca="1" si="9"/>
        <v>4244.585</v>
      </c>
      <c r="S106" s="242">
        <f>'1.3'!D129</f>
        <v>276.714</v>
      </c>
      <c r="T106" s="242">
        <f t="shared" ref="T106:U124" ca="1" si="10">OFFSET(T$9,4*(ROW()-ROW(T$106)),0)</f>
        <v>662.06733305868147</v>
      </c>
      <c r="U106" s="253">
        <f t="shared" ca="1" si="10"/>
        <v>1654.2307219728673</v>
      </c>
      <c r="V106" s="71"/>
      <c r="W106" s="415">
        <f t="shared" ref="W106:X124" ca="1" si="11">OFFSET(W$9,4*(ROW()-ROW(W$106)),0)</f>
        <v>2034.143</v>
      </c>
      <c r="X106" s="416">
        <f t="shared" ca="1" si="11"/>
        <v>117.23538738269362</v>
      </c>
      <c r="Y106" s="294"/>
    </row>
    <row r="107" spans="1:25" x14ac:dyDescent="0.25">
      <c r="A107" s="155"/>
      <c r="B107" s="123" t="s">
        <v>141</v>
      </c>
      <c r="C107" s="151">
        <f t="shared" ref="C107:C124" ca="1" si="12">OFFSET(C$9,4*(ROW()-ROW(C$106)),0)</f>
        <v>4033.9368599999998</v>
      </c>
      <c r="D107" s="151">
        <f t="shared" ca="1" si="7"/>
        <v>5545.3819999999996</v>
      </c>
      <c r="E107" s="151">
        <f t="shared" ca="1" si="7"/>
        <v>1724.4079999999999</v>
      </c>
      <c r="F107" s="151">
        <f t="shared" ca="1" si="7"/>
        <v>1277.3130000000001</v>
      </c>
      <c r="G107" s="151">
        <f t="shared" ca="1" si="7"/>
        <v>447.09500000000003</v>
      </c>
      <c r="H107" s="151">
        <f t="shared" ca="1" si="7"/>
        <v>7854.910859999999</v>
      </c>
      <c r="I107" s="151">
        <f>'1.12'!I106</f>
        <v>1193.5740000000001</v>
      </c>
      <c r="J107" s="151">
        <f t="shared" ca="1" si="8"/>
        <v>802.5743573502773</v>
      </c>
      <c r="K107" s="151">
        <f t="shared" ca="1" si="8"/>
        <v>144.47432668607055</v>
      </c>
      <c r="L107" s="151">
        <f t="shared" ca="1" si="8"/>
        <v>107.01581971457152</v>
      </c>
      <c r="M107" s="151">
        <f t="shared" ca="1" si="8"/>
        <v>37.458506971499048</v>
      </c>
      <c r="N107" s="255">
        <f t="shared" ca="1" si="8"/>
        <v>658.10003066420666</v>
      </c>
      <c r="O107" s="250"/>
      <c r="P107" s="254">
        <f t="shared" ca="1" si="9"/>
        <v>1849.722</v>
      </c>
      <c r="Q107" s="151">
        <f t="shared" ca="1" si="9"/>
        <v>311.36500000000001</v>
      </c>
      <c r="R107" s="151">
        <f t="shared" ca="1" si="9"/>
        <v>4422.8789999999999</v>
      </c>
      <c r="S107" s="151">
        <f>'1.3'!D130</f>
        <v>281.33800000000002</v>
      </c>
      <c r="T107" s="151">
        <f t="shared" ca="1" si="10"/>
        <v>657.47321726890789</v>
      </c>
      <c r="U107" s="156">
        <f t="shared" ca="1" si="10"/>
        <v>1682.7602385742416</v>
      </c>
      <c r="V107" s="71"/>
      <c r="W107" s="151">
        <f t="shared" ca="1" si="11"/>
        <v>2035.7729999999999</v>
      </c>
      <c r="X107" s="156">
        <f t="shared" ca="1" si="11"/>
        <v>112.49129697698422</v>
      </c>
      <c r="Y107" s="154"/>
    </row>
    <row r="108" spans="1:25" x14ac:dyDescent="0.25">
      <c r="A108" s="155"/>
      <c r="B108" s="123" t="s">
        <v>142</v>
      </c>
      <c r="C108" s="151">
        <f t="shared" ca="1" si="12"/>
        <v>4391.7131600000002</v>
      </c>
      <c r="D108" s="151">
        <f t="shared" ca="1" si="7"/>
        <v>6049.2020000000002</v>
      </c>
      <c r="E108" s="151">
        <f t="shared" ca="1" si="7"/>
        <v>1774.037</v>
      </c>
      <c r="F108" s="151">
        <f t="shared" ca="1" si="7"/>
        <v>1299.8240000000001</v>
      </c>
      <c r="G108" s="151">
        <f t="shared" ca="1" si="7"/>
        <v>474.21300000000002</v>
      </c>
      <c r="H108" s="151">
        <f t="shared" ca="1" si="7"/>
        <v>8666.8781600000002</v>
      </c>
      <c r="I108" s="151">
        <f>'1.12'!I107</f>
        <v>1228.019</v>
      </c>
      <c r="J108" s="151">
        <f t="shared" ca="1" si="8"/>
        <v>850.22423594423219</v>
      </c>
      <c r="K108" s="151">
        <f t="shared" ca="1" si="8"/>
        <v>144.46331856428932</v>
      </c>
      <c r="L108" s="151">
        <f t="shared" ca="1" si="8"/>
        <v>105.84722223353222</v>
      </c>
      <c r="M108" s="151">
        <f t="shared" ca="1" si="8"/>
        <v>38.616096330757102</v>
      </c>
      <c r="N108" s="255">
        <f t="shared" ca="1" si="8"/>
        <v>705.76091737994284</v>
      </c>
      <c r="O108" s="250"/>
      <c r="P108" s="254">
        <f t="shared" ca="1" si="9"/>
        <v>1990.3910000000001</v>
      </c>
      <c r="Q108" s="151">
        <f t="shared" ca="1" si="9"/>
        <v>299.59300000000002</v>
      </c>
      <c r="R108" s="151">
        <f t="shared" ca="1" si="9"/>
        <v>4721.5460000000003</v>
      </c>
      <c r="S108" s="151">
        <f>'1.3'!D131</f>
        <v>324.66500000000002</v>
      </c>
      <c r="T108" s="151">
        <f t="shared" ca="1" si="10"/>
        <v>613.05992330556126</v>
      </c>
      <c r="U108" s="156">
        <f t="shared" ca="1" si="10"/>
        <v>1546.559992607765</v>
      </c>
      <c r="V108" s="71"/>
      <c r="W108" s="151">
        <f t="shared" ca="1" si="11"/>
        <v>2073.63</v>
      </c>
      <c r="X108" s="156">
        <f t="shared" ca="1" si="11"/>
        <v>109.57672796448954</v>
      </c>
      <c r="Y108" s="154"/>
    </row>
    <row r="109" spans="1:25" x14ac:dyDescent="0.25">
      <c r="A109" s="155"/>
      <c r="B109" s="123" t="s">
        <v>143</v>
      </c>
      <c r="C109" s="151">
        <f t="shared" ca="1" si="12"/>
        <v>4745.7022299999999</v>
      </c>
      <c r="D109" s="151">
        <f t="shared" ca="1" si="7"/>
        <v>6502.1549999999997</v>
      </c>
      <c r="E109" s="151">
        <f t="shared" ca="1" si="7"/>
        <v>1844.9970000000001</v>
      </c>
      <c r="F109" s="151">
        <f t="shared" ca="1" si="7"/>
        <v>1330.854</v>
      </c>
      <c r="G109" s="151">
        <f t="shared" ca="1" si="7"/>
        <v>514.14300000000003</v>
      </c>
      <c r="H109" s="151">
        <f t="shared" ca="1" si="7"/>
        <v>9402.8602300000002</v>
      </c>
      <c r="I109" s="151">
        <f>'1.12'!I108</f>
        <v>1301.6559999999999</v>
      </c>
      <c r="J109" s="151">
        <f t="shared" ca="1" si="8"/>
        <v>864.11903221742148</v>
      </c>
      <c r="K109" s="151">
        <f t="shared" ca="1" si="8"/>
        <v>141.74228828507688</v>
      </c>
      <c r="L109" s="151">
        <f t="shared" ca="1" si="8"/>
        <v>102.24314258145012</v>
      </c>
      <c r="M109" s="151">
        <f t="shared" ca="1" si="8"/>
        <v>39.499145703626773</v>
      </c>
      <c r="N109" s="255">
        <f t="shared" ca="1" si="8"/>
        <v>722.37674393234465</v>
      </c>
      <c r="O109" s="250"/>
      <c r="P109" s="254">
        <f t="shared" ca="1" si="9"/>
        <v>1996.568</v>
      </c>
      <c r="Q109" s="151">
        <f t="shared" ca="1" si="9"/>
        <v>297.58199999999999</v>
      </c>
      <c r="R109" s="151">
        <f t="shared" ca="1" si="9"/>
        <v>4992.518</v>
      </c>
      <c r="S109" s="151">
        <f>'1.3'!D132</f>
        <v>325.93099999999998</v>
      </c>
      <c r="T109" s="151">
        <f t="shared" ca="1" si="10"/>
        <v>612.5738269756481</v>
      </c>
      <c r="U109" s="156">
        <f t="shared" ca="1" si="10"/>
        <v>1623.073595331527</v>
      </c>
      <c r="V109" s="71"/>
      <c r="W109" s="151">
        <f t="shared" ca="1" si="11"/>
        <v>2142.5790000000002</v>
      </c>
      <c r="X109" s="156">
        <f t="shared" ca="1" si="11"/>
        <v>110.29190114091929</v>
      </c>
      <c r="Y109" s="154"/>
    </row>
    <row r="110" spans="1:25" x14ac:dyDescent="0.25">
      <c r="A110" s="155"/>
      <c r="B110" s="123" t="s">
        <v>144</v>
      </c>
      <c r="C110" s="151">
        <f t="shared" ca="1" si="12"/>
        <v>5018.2009099999996</v>
      </c>
      <c r="D110" s="151">
        <f t="shared" ca="1" si="7"/>
        <v>6938.2389999999996</v>
      </c>
      <c r="E110" s="151">
        <f t="shared" ca="1" si="7"/>
        <v>1915.3420000000001</v>
      </c>
      <c r="F110" s="151">
        <f t="shared" ca="1" si="7"/>
        <v>1374.595</v>
      </c>
      <c r="G110" s="151">
        <f t="shared" ca="1" si="7"/>
        <v>540.74699999999996</v>
      </c>
      <c r="H110" s="151">
        <f t="shared" ca="1" si="7"/>
        <v>10041.09791</v>
      </c>
      <c r="I110" s="151">
        <f>'1.12'!I109</f>
        <v>1314.0029999999999</v>
      </c>
      <c r="J110" s="151">
        <f t="shared" ca="1" si="8"/>
        <v>909.92485633594424</v>
      </c>
      <c r="K110" s="151">
        <f t="shared" ca="1" si="8"/>
        <v>145.76389856035334</v>
      </c>
      <c r="L110" s="151">
        <f t="shared" ca="1" si="8"/>
        <v>104.61125279013821</v>
      </c>
      <c r="M110" s="151">
        <f t="shared" ca="1" si="8"/>
        <v>41.15264577021513</v>
      </c>
      <c r="N110" s="255">
        <f t="shared" ca="1" si="8"/>
        <v>764.1609577755911</v>
      </c>
      <c r="O110" s="250"/>
      <c r="P110" s="254">
        <f t="shared" ca="1" si="9"/>
        <v>2281.0709999999999</v>
      </c>
      <c r="Q110" s="151">
        <f t="shared" ca="1" si="9"/>
        <v>302.46199999999999</v>
      </c>
      <c r="R110" s="151">
        <f t="shared" ca="1" si="9"/>
        <v>5429.3119999999999</v>
      </c>
      <c r="S110" s="151">
        <f>'1.3'!D133</f>
        <v>341.80599999999998</v>
      </c>
      <c r="T110" s="151">
        <f t="shared" ca="1" si="10"/>
        <v>667.35838458072715</v>
      </c>
      <c r="U110" s="156">
        <f t="shared" ca="1" si="10"/>
        <v>1676.9085387617538</v>
      </c>
      <c r="V110" s="71"/>
      <c r="W110" s="151">
        <f t="shared" ca="1" si="11"/>
        <v>2217.8040000000001</v>
      </c>
      <c r="X110" s="156">
        <f t="shared" ca="1" si="11"/>
        <v>109.28281373419067</v>
      </c>
      <c r="Y110" s="154"/>
    </row>
    <row r="111" spans="1:25" x14ac:dyDescent="0.25">
      <c r="A111" s="155"/>
      <c r="B111" s="123" t="s">
        <v>145</v>
      </c>
      <c r="C111" s="151">
        <f t="shared" ca="1" si="12"/>
        <v>5237.7961100000002</v>
      </c>
      <c r="D111" s="151">
        <f t="shared" ca="1" si="7"/>
        <v>6705.8280000000004</v>
      </c>
      <c r="E111" s="151">
        <f t="shared" ca="1" si="7"/>
        <v>1939.5640000000001</v>
      </c>
      <c r="F111" s="151">
        <f t="shared" ca="1" si="7"/>
        <v>1400.165</v>
      </c>
      <c r="G111" s="151">
        <f t="shared" ca="1" si="7"/>
        <v>539.399</v>
      </c>
      <c r="H111" s="151">
        <f t="shared" ca="1" si="7"/>
        <v>10004.060109999999</v>
      </c>
      <c r="I111" s="151">
        <f>'1.12'!I110</f>
        <v>1368.604</v>
      </c>
      <c r="J111" s="151">
        <f t="shared" ca="1" si="8"/>
        <v>872.68662885685001</v>
      </c>
      <c r="K111" s="151">
        <f t="shared" ca="1" si="8"/>
        <v>141.71842256781363</v>
      </c>
      <c r="L111" s="151">
        <f t="shared" ca="1" si="8"/>
        <v>102.30607246508121</v>
      </c>
      <c r="M111" s="151">
        <f t="shared" ca="1" si="8"/>
        <v>39.412350102732425</v>
      </c>
      <c r="N111" s="255">
        <f t="shared" ca="1" si="8"/>
        <v>730.96820628903606</v>
      </c>
      <c r="O111" s="250"/>
      <c r="P111" s="254">
        <f t="shared" ca="1" si="9"/>
        <v>2354.049</v>
      </c>
      <c r="Q111" s="151">
        <f t="shared" ca="1" si="9"/>
        <v>329.31400000000002</v>
      </c>
      <c r="R111" s="151">
        <f t="shared" ca="1" si="9"/>
        <v>5171.6319999999996</v>
      </c>
      <c r="S111" s="151">
        <f>'1.3'!D134</f>
        <v>356.42500000000001</v>
      </c>
      <c r="T111" s="151">
        <f t="shared" ca="1" si="10"/>
        <v>660.46124710668437</v>
      </c>
      <c r="U111" s="156">
        <f t="shared" ca="1" si="10"/>
        <v>1543.3670477660096</v>
      </c>
      <c r="V111" s="71"/>
      <c r="W111" s="151">
        <f t="shared" ca="1" si="11"/>
        <v>2268.8780000000002</v>
      </c>
      <c r="X111" s="156">
        <f t="shared" ca="1" si="11"/>
        <v>107.27154872229359</v>
      </c>
      <c r="Y111" s="154"/>
    </row>
    <row r="112" spans="1:25" x14ac:dyDescent="0.25">
      <c r="A112" s="155"/>
      <c r="B112" s="123" t="s">
        <v>146</v>
      </c>
      <c r="C112" s="151">
        <f t="shared" ca="1" si="12"/>
        <v>5360.7856000000002</v>
      </c>
      <c r="D112" s="151">
        <f t="shared" ca="1" si="7"/>
        <v>6954.0140000000001</v>
      </c>
      <c r="E112" s="151">
        <f t="shared" ca="1" si="7"/>
        <v>1968.3040000000001</v>
      </c>
      <c r="F112" s="151">
        <f t="shared" ca="1" si="7"/>
        <v>1406.8</v>
      </c>
      <c r="G112" s="151">
        <f t="shared" ca="1" si="7"/>
        <v>561.50400000000002</v>
      </c>
      <c r="H112" s="151">
        <f t="shared" ca="1" si="7"/>
        <v>10346.495600000002</v>
      </c>
      <c r="I112" s="151">
        <f>'1.12'!I111</f>
        <v>1410.8679999999999</v>
      </c>
      <c r="J112" s="151">
        <f t="shared" ca="1" si="8"/>
        <v>872.85271194753875</v>
      </c>
      <c r="K112" s="151">
        <f t="shared" ca="1" si="8"/>
        <v>139.51014552743419</v>
      </c>
      <c r="L112" s="151">
        <f t="shared" ca="1" si="8"/>
        <v>99.711666860400825</v>
      </c>
      <c r="M112" s="151">
        <f t="shared" ca="1" si="8"/>
        <v>39.798478667033351</v>
      </c>
      <c r="N112" s="255">
        <f t="shared" ca="1" si="8"/>
        <v>733.34256642010473</v>
      </c>
      <c r="O112" s="250"/>
      <c r="P112" s="254">
        <f t="shared" ca="1" si="9"/>
        <v>2451.123</v>
      </c>
      <c r="Q112" s="151">
        <f t="shared" ca="1" si="9"/>
        <v>348.505</v>
      </c>
      <c r="R112" s="151">
        <f t="shared" ca="1" si="9"/>
        <v>5312.8220000000001</v>
      </c>
      <c r="S112" s="151">
        <f>'1.3'!D135</f>
        <v>367.38900000000001</v>
      </c>
      <c r="T112" s="151">
        <f t="shared" ca="1" si="10"/>
        <v>667.1737586046396</v>
      </c>
      <c r="U112" s="156">
        <f t="shared" ca="1" si="10"/>
        <v>1540.9625764516627</v>
      </c>
      <c r="V112" s="71"/>
      <c r="W112" s="151">
        <f t="shared" ca="1" si="11"/>
        <v>2316.8090000000002</v>
      </c>
      <c r="X112" s="156">
        <f t="shared" ca="1" si="11"/>
        <v>105.77201216227321</v>
      </c>
      <c r="Y112" s="154"/>
    </row>
    <row r="113" spans="1:25" x14ac:dyDescent="0.25">
      <c r="A113" s="155"/>
      <c r="B113" s="123" t="s">
        <v>147</v>
      </c>
      <c r="C113" s="151">
        <f t="shared" ca="1" si="12"/>
        <v>5529.5774199999996</v>
      </c>
      <c r="D113" s="151">
        <f t="shared" ca="1" si="7"/>
        <v>7149.9780000000001</v>
      </c>
      <c r="E113" s="151">
        <f t="shared" ca="1" si="7"/>
        <v>2049.3969999999999</v>
      </c>
      <c r="F113" s="151">
        <f t="shared" ca="1" si="7"/>
        <v>1463.875</v>
      </c>
      <c r="G113" s="151">
        <f t="shared" ca="1" si="7"/>
        <v>585.52200000000005</v>
      </c>
      <c r="H113" s="151">
        <f t="shared" ca="1" si="7"/>
        <v>10630.15842</v>
      </c>
      <c r="I113" s="151">
        <f>'1.12'!I112</f>
        <v>1461.6949999999999</v>
      </c>
      <c r="J113" s="151">
        <f t="shared" ca="1" si="8"/>
        <v>867.45561967441893</v>
      </c>
      <c r="K113" s="151">
        <f t="shared" ca="1" si="8"/>
        <v>140.2068831048885</v>
      </c>
      <c r="L113" s="151">
        <f t="shared" ca="1" si="8"/>
        <v>100.14914192085216</v>
      </c>
      <c r="M113" s="151">
        <f t="shared" ca="1" si="8"/>
        <v>40.057741184036338</v>
      </c>
      <c r="N113" s="255">
        <f t="shared" ca="1" si="8"/>
        <v>727.24873656953048</v>
      </c>
      <c r="O113" s="250"/>
      <c r="P113" s="254">
        <f t="shared" ca="1" si="9"/>
        <v>2710.8229999999999</v>
      </c>
      <c r="Q113" s="151">
        <f t="shared" ca="1" si="9"/>
        <v>380.47300000000001</v>
      </c>
      <c r="R113" s="151">
        <f t="shared" ca="1" si="9"/>
        <v>5147.1970000000001</v>
      </c>
      <c r="S113" s="151">
        <f>'1.3'!D136</f>
        <v>379.44600000000003</v>
      </c>
      <c r="T113" s="151">
        <f t="shared" ca="1" si="10"/>
        <v>714.41601703536207</v>
      </c>
      <c r="U113" s="156">
        <f t="shared" ca="1" si="10"/>
        <v>1456.7738228891596</v>
      </c>
      <c r="V113" s="71"/>
      <c r="W113" s="151">
        <f t="shared" ca="1" si="11"/>
        <v>2429.87</v>
      </c>
      <c r="X113" s="156">
        <f t="shared" ca="1" si="11"/>
        <v>107.59530664531769</v>
      </c>
      <c r="Y113" s="154"/>
    </row>
    <row r="114" spans="1:25" x14ac:dyDescent="0.25">
      <c r="A114" s="155"/>
      <c r="B114" s="123" t="s">
        <v>148</v>
      </c>
      <c r="C114" s="151">
        <f t="shared" ca="1" si="12"/>
        <v>5906.3169099999996</v>
      </c>
      <c r="D114" s="151">
        <f t="shared" ca="1" si="7"/>
        <v>7397.9009999999998</v>
      </c>
      <c r="E114" s="151">
        <f t="shared" ca="1" si="7"/>
        <v>2075.5819999999999</v>
      </c>
      <c r="F114" s="151">
        <f t="shared" ca="1" si="7"/>
        <v>1517.2829999999999</v>
      </c>
      <c r="G114" s="151">
        <f t="shared" ca="1" si="7"/>
        <v>558.29899999999998</v>
      </c>
      <c r="H114" s="151">
        <f t="shared" ca="1" si="7"/>
        <v>11228.635910000001</v>
      </c>
      <c r="I114" s="151">
        <f>'1.12'!I113</f>
        <v>1468.7070000000001</v>
      </c>
      <c r="J114" s="151">
        <f t="shared" ca="1" si="8"/>
        <v>905.84561182046525</v>
      </c>
      <c r="K114" s="151">
        <f t="shared" ca="1" si="8"/>
        <v>141.32035865560658</v>
      </c>
      <c r="L114" s="151">
        <f t="shared" ca="1" si="8"/>
        <v>103.30739895704181</v>
      </c>
      <c r="M114" s="151">
        <f t="shared" ca="1" si="8"/>
        <v>38.012959698564792</v>
      </c>
      <c r="N114" s="255">
        <f t="shared" ca="1" si="8"/>
        <v>764.52525316485878</v>
      </c>
      <c r="O114" s="250"/>
      <c r="P114" s="254">
        <f t="shared" ca="1" si="9"/>
        <v>2814.288</v>
      </c>
      <c r="Q114" s="151">
        <f t="shared" ca="1" si="9"/>
        <v>395.94799999999998</v>
      </c>
      <c r="R114" s="151">
        <f t="shared" ca="1" si="9"/>
        <v>5682.6130000000003</v>
      </c>
      <c r="S114" s="151">
        <f>'1.3'!D137</f>
        <v>385.85</v>
      </c>
      <c r="T114" s="151">
        <f t="shared" ca="1" si="10"/>
        <v>729.37359077361657</v>
      </c>
      <c r="U114" s="156">
        <f t="shared" ca="1" si="10"/>
        <v>1575.3689257483479</v>
      </c>
      <c r="V114" s="71"/>
      <c r="W114" s="151">
        <f t="shared" ca="1" si="11"/>
        <v>2471.5299999999997</v>
      </c>
      <c r="X114" s="156">
        <f t="shared" ca="1" si="11"/>
        <v>117.10798205708582</v>
      </c>
      <c r="Y114" s="154"/>
    </row>
    <row r="115" spans="1:25" x14ac:dyDescent="0.25">
      <c r="A115" s="155"/>
      <c r="B115" s="123" t="s">
        <v>149</v>
      </c>
      <c r="C115" s="157">
        <f t="shared" ca="1" si="12"/>
        <v>6301.0505000000003</v>
      </c>
      <c r="D115" s="157">
        <f t="shared" ca="1" si="7"/>
        <v>7331.0969999999998</v>
      </c>
      <c r="E115" s="157">
        <f t="shared" ca="1" si="7"/>
        <v>2119.1280000000002</v>
      </c>
      <c r="F115" s="157">
        <f t="shared" ca="1" si="7"/>
        <v>1577.2950000000001</v>
      </c>
      <c r="G115" s="157">
        <f t="shared" ca="1" si="7"/>
        <v>541.83299999999997</v>
      </c>
      <c r="H115" s="157">
        <f t="shared" ca="1" si="7"/>
        <v>11513.0195</v>
      </c>
      <c r="I115" s="157">
        <f>'1.12'!I114</f>
        <v>1535.5260000000001</v>
      </c>
      <c r="J115" s="157">
        <f t="shared" ca="1" si="8"/>
        <v>887.78356732481234</v>
      </c>
      <c r="K115" s="157">
        <f t="shared" ca="1" si="8"/>
        <v>138.0066504897996</v>
      </c>
      <c r="L115" s="157">
        <f t="shared" ca="1" si="8"/>
        <v>102.72017536661704</v>
      </c>
      <c r="M115" s="157">
        <f t="shared" ca="1" si="8"/>
        <v>35.286475123182541</v>
      </c>
      <c r="N115" s="255">
        <f t="shared" ca="1" si="8"/>
        <v>749.7769168350128</v>
      </c>
      <c r="O115" s="250"/>
      <c r="P115" s="254">
        <f t="shared" ca="1" si="9"/>
        <v>3019.2330000000002</v>
      </c>
      <c r="Q115" s="157">
        <f t="shared" ca="1" si="9"/>
        <v>396.87799999999999</v>
      </c>
      <c r="R115" s="157">
        <f t="shared" ca="1" si="9"/>
        <v>5707.5659999999998</v>
      </c>
      <c r="S115" s="157">
        <f>'1.3'!D138</f>
        <v>419.71699999999998</v>
      </c>
      <c r="T115" s="157">
        <f t="shared" ca="1" si="10"/>
        <v>719.34970468196434</v>
      </c>
      <c r="U115" s="156">
        <f t="shared" ca="1" si="10"/>
        <v>1454.4190490258911</v>
      </c>
      <c r="V115" s="71"/>
      <c r="W115" s="157">
        <f t="shared" ca="1" si="11"/>
        <v>2516.0060000000003</v>
      </c>
      <c r="X115" s="156">
        <f t="shared" ca="1" si="11"/>
        <v>104.80956447480787</v>
      </c>
      <c r="Y115" s="154"/>
    </row>
    <row r="116" spans="1:25" x14ac:dyDescent="0.25">
      <c r="A116" s="155"/>
      <c r="B116" s="123" t="s">
        <v>150</v>
      </c>
      <c r="C116" s="157">
        <f t="shared" ca="1" si="12"/>
        <v>6599.26872</v>
      </c>
      <c r="D116" s="157">
        <f t="shared" ca="1" si="7"/>
        <v>6609.1310000000003</v>
      </c>
      <c r="E116" s="157">
        <f t="shared" ca="1" si="7"/>
        <v>2197.0500000000002</v>
      </c>
      <c r="F116" s="157">
        <f t="shared" ca="1" si="7"/>
        <v>1618.7940000000001</v>
      </c>
      <c r="G116" s="157">
        <f t="shared" ca="1" si="7"/>
        <v>578.25599999999997</v>
      </c>
      <c r="H116" s="157">
        <f t="shared" ca="1" si="7"/>
        <v>11011.349719999998</v>
      </c>
      <c r="I116" s="157">
        <f>'1.12'!I115</f>
        <v>1647.953</v>
      </c>
      <c r="J116" s="157">
        <f t="shared" ca="1" si="8"/>
        <v>801.50342394473637</v>
      </c>
      <c r="K116" s="157">
        <f t="shared" ca="1" si="8"/>
        <v>133.31994298381085</v>
      </c>
      <c r="L116" s="157">
        <f t="shared" ca="1" si="8"/>
        <v>98.230592741419215</v>
      </c>
      <c r="M116" s="157">
        <f t="shared" ca="1" si="8"/>
        <v>35.089350242391617</v>
      </c>
      <c r="N116" s="255">
        <f t="shared" ca="1" si="8"/>
        <v>668.18348096092541</v>
      </c>
      <c r="O116" s="250"/>
      <c r="P116" s="254">
        <f t="shared" ca="1" si="9"/>
        <v>3040.5659999999998</v>
      </c>
      <c r="Q116" s="157">
        <f t="shared" ca="1" si="9"/>
        <v>394.75900000000001</v>
      </c>
      <c r="R116" s="157">
        <f t="shared" ca="1" si="9"/>
        <v>5573.777</v>
      </c>
      <c r="S116" s="157">
        <f>'1.3'!D139</f>
        <v>464.64299999999997</v>
      </c>
      <c r="T116" s="157">
        <f t="shared" ca="1" si="10"/>
        <v>654.38756206377798</v>
      </c>
      <c r="U116" s="156">
        <f t="shared" ca="1" si="10"/>
        <v>1284.5423260438658</v>
      </c>
      <c r="V116" s="71"/>
      <c r="W116" s="256">
        <f t="shared" ca="1" si="11"/>
        <v>2591.8090000000002</v>
      </c>
      <c r="X116" s="156">
        <f t="shared" ca="1" si="11"/>
        <v>98.281464425896502</v>
      </c>
      <c r="Y116" s="154"/>
    </row>
    <row r="117" spans="1:25" x14ac:dyDescent="0.25">
      <c r="A117" s="155"/>
      <c r="B117" s="123" t="s">
        <v>151</v>
      </c>
      <c r="C117" s="157">
        <f t="shared" ca="1" si="12"/>
        <v>6525.9483</v>
      </c>
      <c r="D117" s="157">
        <f t="shared" ca="1" si="7"/>
        <v>6619.7560000000003</v>
      </c>
      <c r="E117" s="157">
        <f t="shared" ca="1" si="7"/>
        <v>2252.288</v>
      </c>
      <c r="F117" s="157">
        <f t="shared" ca="1" si="7"/>
        <v>1620.57</v>
      </c>
      <c r="G117" s="157">
        <f t="shared" ca="1" si="7"/>
        <v>631.71799999999996</v>
      </c>
      <c r="H117" s="157">
        <f t="shared" ca="1" si="7"/>
        <v>10893.416300000001</v>
      </c>
      <c r="I117" s="157">
        <f>'1.12'!I116</f>
        <v>1768.778</v>
      </c>
      <c r="J117" s="157">
        <f t="shared" ca="1" si="8"/>
        <v>743.20826581967901</v>
      </c>
      <c r="K117" s="157">
        <f t="shared" ca="1" si="8"/>
        <v>127.3358216802787</v>
      </c>
      <c r="L117" s="157">
        <f t="shared" ca="1" si="8"/>
        <v>91.620881761306393</v>
      </c>
      <c r="M117" s="157">
        <f t="shared" ca="1" si="8"/>
        <v>35.714939918972306</v>
      </c>
      <c r="N117" s="255">
        <f t="shared" ca="1" si="8"/>
        <v>615.87244413940027</v>
      </c>
      <c r="O117" s="250"/>
      <c r="P117" s="254">
        <f t="shared" ca="1" si="9"/>
        <v>2942.1289999999999</v>
      </c>
      <c r="Q117" s="157">
        <f t="shared" ca="1" si="9"/>
        <v>393.04399999999998</v>
      </c>
      <c r="R117" s="157">
        <f t="shared" ca="1" si="9"/>
        <v>5599.5609999999997</v>
      </c>
      <c r="S117" s="157">
        <f>'1.3'!D140</f>
        <v>468.05799999999999</v>
      </c>
      <c r="T117" s="157">
        <f t="shared" ca="1" si="10"/>
        <v>628.58214152946857</v>
      </c>
      <c r="U117" s="156">
        <f t="shared" ca="1" si="10"/>
        <v>1280.3124826410401</v>
      </c>
      <c r="V117" s="71"/>
      <c r="W117" s="256">
        <f t="shared" ca="1" si="11"/>
        <v>2645.3319999999999</v>
      </c>
      <c r="X117" s="156">
        <f t="shared" ca="1" si="11"/>
        <v>95.223991274329464</v>
      </c>
      <c r="Y117" s="154"/>
    </row>
    <row r="118" spans="1:25" x14ac:dyDescent="0.25">
      <c r="A118" s="155"/>
      <c r="B118" s="123" t="s">
        <v>152</v>
      </c>
      <c r="C118" s="157">
        <f t="shared" ca="1" si="12"/>
        <v>6674.26307</v>
      </c>
      <c r="D118" s="157">
        <f t="shared" ca="1" si="7"/>
        <v>6548.5910000000003</v>
      </c>
      <c r="E118" s="157">
        <f t="shared" ca="1" si="7"/>
        <v>2315.0419999999999</v>
      </c>
      <c r="F118" s="157">
        <f t="shared" ca="1" si="7"/>
        <v>1658.8409999999999</v>
      </c>
      <c r="G118" s="157">
        <f t="shared" ca="1" si="7"/>
        <v>656.20100000000002</v>
      </c>
      <c r="H118" s="157">
        <f t="shared" ca="1" si="7"/>
        <v>10907.81207</v>
      </c>
      <c r="I118" s="157">
        <f>'1.12'!I117</f>
        <v>1891.7629999999999</v>
      </c>
      <c r="J118" s="157">
        <f t="shared" ca="1" si="8"/>
        <v>698.96990637833608</v>
      </c>
      <c r="K118" s="157">
        <f t="shared" ca="1" si="8"/>
        <v>122.37484293751383</v>
      </c>
      <c r="L118" s="157">
        <f t="shared" ca="1" si="8"/>
        <v>87.687569743144351</v>
      </c>
      <c r="M118" s="157">
        <f t="shared" ca="1" si="8"/>
        <v>34.687273194369489</v>
      </c>
      <c r="N118" s="255">
        <f t="shared" ca="1" si="8"/>
        <v>576.59506344082217</v>
      </c>
      <c r="O118" s="250"/>
      <c r="P118" s="256">
        <f t="shared" ca="1" si="9"/>
        <v>2789.3009999999999</v>
      </c>
      <c r="Q118" s="157">
        <f t="shared" ca="1" si="9"/>
        <v>407.30099999999999</v>
      </c>
      <c r="R118" s="157">
        <f t="shared" ca="1" si="9"/>
        <v>5287.5290000000005</v>
      </c>
      <c r="S118" s="157">
        <f>'1.3'!D141</f>
        <v>487.589</v>
      </c>
      <c r="T118" s="157">
        <f t="shared" ca="1" si="10"/>
        <v>572.05987009551086</v>
      </c>
      <c r="U118" s="159">
        <f t="shared" ca="1" si="10"/>
        <v>1167.957029383354</v>
      </c>
      <c r="V118" s="71"/>
      <c r="W118" s="157">
        <f t="shared" ca="1" si="11"/>
        <v>2722.3429999999998</v>
      </c>
      <c r="X118" s="151">
        <f t="shared" ca="1" si="11"/>
        <v>92.823296871307946</v>
      </c>
      <c r="Y118" s="158"/>
    </row>
    <row r="119" spans="1:25" x14ac:dyDescent="0.25">
      <c r="A119" s="155"/>
      <c r="B119" s="123" t="s">
        <v>153</v>
      </c>
      <c r="C119" s="157">
        <f t="shared" ca="1" si="12"/>
        <v>6757.4913500000002</v>
      </c>
      <c r="D119" s="157">
        <f t="shared" ca="1" si="7"/>
        <v>6744.9520000000002</v>
      </c>
      <c r="E119" s="157">
        <f t="shared" ca="1" si="7"/>
        <v>2362.7860000000001</v>
      </c>
      <c r="F119" s="157">
        <f t="shared" ca="1" si="7"/>
        <v>1703.221</v>
      </c>
      <c r="G119" s="157">
        <f t="shared" ca="1" si="7"/>
        <v>659.56500000000005</v>
      </c>
      <c r="H119" s="157">
        <f t="shared" ca="1" si="7"/>
        <v>11139.657350000001</v>
      </c>
      <c r="I119" s="157">
        <f>'1.12'!I118</f>
        <v>1955.1559999999999</v>
      </c>
      <c r="J119" s="157">
        <f t="shared" ca="1" si="8"/>
        <v>690.60695668274047</v>
      </c>
      <c r="K119" s="157">
        <f t="shared" ca="1" si="8"/>
        <v>120.84897573390563</v>
      </c>
      <c r="L119" s="157">
        <f t="shared" ca="1" si="8"/>
        <v>87.114327450085824</v>
      </c>
      <c r="M119" s="157">
        <f t="shared" ca="1" si="8"/>
        <v>33.734648283819816</v>
      </c>
      <c r="N119" s="255">
        <f t="shared" ca="1" si="8"/>
        <v>569.75798094883487</v>
      </c>
      <c r="O119" s="250"/>
      <c r="P119" s="256">
        <f t="shared" ca="1" si="9"/>
        <v>2844.3009999999999</v>
      </c>
      <c r="Q119" s="157">
        <f t="shared" ca="1" si="9"/>
        <v>444.86599999999999</v>
      </c>
      <c r="R119" s="157">
        <f t="shared" ca="1" si="9"/>
        <v>5540.5020000000004</v>
      </c>
      <c r="S119" s="157">
        <f>'1.3'!D142</f>
        <v>507.59699999999998</v>
      </c>
      <c r="T119" s="157">
        <f t="shared" ca="1" si="10"/>
        <v>560.34629834297687</v>
      </c>
      <c r="U119" s="159">
        <f t="shared" ca="1" si="10"/>
        <v>1179.1574812301888</v>
      </c>
      <c r="V119" s="71"/>
      <c r="W119" s="157">
        <f t="shared" ca="1" si="11"/>
        <v>2807.652</v>
      </c>
      <c r="X119" s="151">
        <f t="shared" ca="1" si="11"/>
        <v>91.548366712305224</v>
      </c>
      <c r="Y119" s="158"/>
    </row>
    <row r="120" spans="1:25" x14ac:dyDescent="0.25">
      <c r="A120" s="155"/>
      <c r="B120" s="123" t="s">
        <v>154</v>
      </c>
      <c r="C120" s="157">
        <f t="shared" ca="1" si="12"/>
        <v>6949.37619</v>
      </c>
      <c r="D120" s="157">
        <f t="shared" ca="1" si="7"/>
        <v>6810.6927971720825</v>
      </c>
      <c r="E120" s="157">
        <f t="shared" ca="1" si="7"/>
        <v>2418.3367271720817</v>
      </c>
      <c r="F120" s="157">
        <f t="shared" ca="1" si="7"/>
        <v>1744.7443861720817</v>
      </c>
      <c r="G120" s="157">
        <f t="shared" ca="1" si="7"/>
        <v>673.59234100000003</v>
      </c>
      <c r="H120" s="157">
        <f t="shared" ca="1" si="7"/>
        <v>11341.732260000002</v>
      </c>
      <c r="I120" s="157">
        <f>'1.12'!I119</f>
        <v>2002.7868460000002</v>
      </c>
      <c r="J120" s="157">
        <f t="shared" ca="1" si="8"/>
        <v>687.04610351590475</v>
      </c>
      <c r="K120" s="157">
        <f t="shared" ca="1" si="8"/>
        <v>120.7485825065221</v>
      </c>
      <c r="L120" s="157">
        <f t="shared" ca="1" si="8"/>
        <v>87.115830107268522</v>
      </c>
      <c r="M120" s="157">
        <f t="shared" ca="1" si="8"/>
        <v>33.632752399253576</v>
      </c>
      <c r="N120" s="255">
        <f t="shared" ca="1" si="8"/>
        <v>566.29752100938276</v>
      </c>
      <c r="O120" s="250"/>
      <c r="P120" s="256">
        <f t="shared" ca="1" si="9"/>
        <v>2918.3024799999998</v>
      </c>
      <c r="Q120" s="157">
        <f t="shared" ca="1" si="9"/>
        <v>447.908365</v>
      </c>
      <c r="R120" s="157">
        <f t="shared" ca="1" si="9"/>
        <v>5716.6344449999997</v>
      </c>
      <c r="S120" s="157">
        <f>'1.3'!D143</f>
        <v>529.41616326155349</v>
      </c>
      <c r="T120" s="157">
        <f t="shared" ca="1" si="10"/>
        <v>551.23033305619686</v>
      </c>
      <c r="U120" s="151">
        <f t="shared" ca="1" si="10"/>
        <v>1164.4039675748359</v>
      </c>
      <c r="V120" s="257"/>
      <c r="W120" s="157">
        <f t="shared" ca="1" si="11"/>
        <v>2866.245092172082</v>
      </c>
      <c r="X120" s="159">
        <f t="shared" ca="1" si="11"/>
        <v>89.933018935999812</v>
      </c>
      <c r="Y120" s="154"/>
    </row>
    <row r="121" spans="1:25" x14ac:dyDescent="0.25">
      <c r="A121" s="155"/>
      <c r="B121" s="123" t="s">
        <v>155</v>
      </c>
      <c r="C121" s="157">
        <f t="shared" ca="1" si="12"/>
        <v>7151.7626499999997</v>
      </c>
      <c r="D121" s="157">
        <f t="shared" ca="1" si="7"/>
        <v>6931.1345666315783</v>
      </c>
      <c r="E121" s="157">
        <f t="shared" ca="1" si="7"/>
        <v>2447.4950966315787</v>
      </c>
      <c r="F121" s="157">
        <f t="shared" ca="1" si="7"/>
        <v>1794.4123186315787</v>
      </c>
      <c r="G121" s="157">
        <f t="shared" ca="1" si="7"/>
        <v>653.08277800000008</v>
      </c>
      <c r="H121" s="157">
        <f t="shared" ca="1" si="7"/>
        <v>11635.402119999999</v>
      </c>
      <c r="I121" s="157">
        <f>'1.12'!I120</f>
        <v>2069.871725</v>
      </c>
      <c r="J121" s="157">
        <f t="shared" ca="1" si="8"/>
        <v>680.37536077901541</v>
      </c>
      <c r="K121" s="157">
        <f t="shared" ca="1" si="8"/>
        <v>118.24380550111525</v>
      </c>
      <c r="L121" s="157">
        <f t="shared" ca="1" si="8"/>
        <v>86.6919576203003</v>
      </c>
      <c r="M121" s="157">
        <f t="shared" ca="1" si="8"/>
        <v>31.551847880814936</v>
      </c>
      <c r="N121" s="238">
        <f t="shared" ca="1" si="8"/>
        <v>562.13155527790002</v>
      </c>
      <c r="O121" s="250"/>
      <c r="P121" s="256">
        <f t="shared" ca="1" si="9"/>
        <v>2996.1908699999999</v>
      </c>
      <c r="Q121" s="157">
        <f t="shared" ca="1" si="9"/>
        <v>451.765737</v>
      </c>
      <c r="R121" s="157">
        <f t="shared" ca="1" si="9"/>
        <v>5913.4116730000005</v>
      </c>
      <c r="S121" s="157">
        <f>'1.3'!D144</f>
        <v>553.78708926153024</v>
      </c>
      <c r="T121" s="157">
        <f t="shared" ca="1" si="10"/>
        <v>541.03660560151218</v>
      </c>
      <c r="U121" s="159">
        <f t="shared" ca="1" si="10"/>
        <v>1149.3907195431195</v>
      </c>
      <c r="V121" s="257"/>
      <c r="W121" s="256">
        <f t="shared" ca="1" si="11"/>
        <v>2899.2608336315789</v>
      </c>
      <c r="X121" s="159">
        <f t="shared" ca="1" si="11"/>
        <v>88.096074637859218</v>
      </c>
      <c r="Y121" s="154"/>
    </row>
    <row r="122" spans="1:25" x14ac:dyDescent="0.25">
      <c r="A122" s="155"/>
      <c r="B122" s="123" t="s">
        <v>156</v>
      </c>
      <c r="C122" s="157">
        <f t="shared" ca="1" si="12"/>
        <v>7358.5613400000002</v>
      </c>
      <c r="D122" s="157">
        <f t="shared" ca="1" si="7"/>
        <v>7061.4908065164136</v>
      </c>
      <c r="E122" s="157">
        <f t="shared" ca="1" si="7"/>
        <v>2502.041576516413</v>
      </c>
      <c r="F122" s="157">
        <f t="shared" ca="1" si="7"/>
        <v>1850.4731235164131</v>
      </c>
      <c r="G122" s="157">
        <f t="shared" ca="1" si="7"/>
        <v>651.56845299999998</v>
      </c>
      <c r="H122" s="157">
        <f t="shared" ca="1" si="7"/>
        <v>11918.01057</v>
      </c>
      <c r="I122" s="157">
        <f>'1.12'!I121</f>
        <v>2132.564151</v>
      </c>
      <c r="J122" s="157">
        <f t="shared" ca="1" si="8"/>
        <v>676.18374526996422</v>
      </c>
      <c r="K122" s="157">
        <f t="shared" ca="1" si="8"/>
        <v>117.32550110359674</v>
      </c>
      <c r="L122" s="157">
        <f t="shared" ca="1" si="8"/>
        <v>86.77221375257065</v>
      </c>
      <c r="M122" s="157">
        <f t="shared" ca="1" si="8"/>
        <v>30.5532873510261</v>
      </c>
      <c r="N122" s="238">
        <f t="shared" ca="1" si="8"/>
        <v>558.85824416636751</v>
      </c>
      <c r="O122" s="250"/>
      <c r="P122" s="256">
        <f t="shared" ca="1" si="9"/>
        <v>3087.86373</v>
      </c>
      <c r="Q122" s="157">
        <f t="shared" ca="1" si="9"/>
        <v>455.86205000000001</v>
      </c>
      <c r="R122" s="157">
        <f t="shared" ca="1" si="9"/>
        <v>6140.8478600000008</v>
      </c>
      <c r="S122" s="157">
        <f>'1.3'!D145</f>
        <v>582.13371429677852</v>
      </c>
      <c r="T122" s="157">
        <f t="shared" ca="1" si="10"/>
        <v>530.43891019611533</v>
      </c>
      <c r="U122" s="159">
        <f t="shared" ca="1" si="10"/>
        <v>1133.1949598502242</v>
      </c>
      <c r="V122" s="257"/>
      <c r="W122" s="256">
        <f t="shared" ca="1" si="11"/>
        <v>2957.9036265164132</v>
      </c>
      <c r="X122" s="159">
        <f t="shared" ca="1" si="11"/>
        <v>86.637905560728939</v>
      </c>
      <c r="Y122" s="154"/>
    </row>
    <row r="123" spans="1:25" x14ac:dyDescent="0.25">
      <c r="A123" s="155"/>
      <c r="B123" s="123" t="s">
        <v>157</v>
      </c>
      <c r="C123" s="157">
        <f t="shared" ca="1" si="12"/>
        <v>7578.8627200000001</v>
      </c>
      <c r="D123" s="157">
        <f t="shared" ca="1" si="7"/>
        <v>7173.4649854611907</v>
      </c>
      <c r="E123" s="157">
        <f t="shared" ca="1" si="7"/>
        <v>2573.2567554611896</v>
      </c>
      <c r="F123" s="157">
        <f t="shared" ca="1" si="7"/>
        <v>1913.5040844611897</v>
      </c>
      <c r="G123" s="157">
        <f t="shared" ca="1" si="7"/>
        <v>659.75267099999996</v>
      </c>
      <c r="H123" s="157">
        <f t="shared" ca="1" si="7"/>
        <v>12179.070949999999</v>
      </c>
      <c r="I123" s="157">
        <f>'1.12'!I122</f>
        <v>2192.5772190000002</v>
      </c>
      <c r="J123" s="157">
        <f t="shared" ca="1" si="8"/>
        <v>672.83047445824934</v>
      </c>
      <c r="K123" s="157">
        <f t="shared" ca="1" si="8"/>
        <v>117.36219519031633</v>
      </c>
      <c r="L123" s="157">
        <f t="shared" ca="1" si="8"/>
        <v>87.271913065570786</v>
      </c>
      <c r="M123" s="157">
        <f t="shared" ca="1" si="8"/>
        <v>30.090282124745542</v>
      </c>
      <c r="N123" s="238">
        <f t="shared" ca="1" si="8"/>
        <v>555.46827926793299</v>
      </c>
      <c r="O123" s="250"/>
      <c r="P123" s="256">
        <f t="shared" ca="1" si="9"/>
        <v>3177.9551099999999</v>
      </c>
      <c r="Q123" s="157">
        <f t="shared" ca="1" si="9"/>
        <v>459.18811099999999</v>
      </c>
      <c r="R123" s="157">
        <f t="shared" ca="1" si="9"/>
        <v>6354.8807990000005</v>
      </c>
      <c r="S123" s="157">
        <f>'1.3'!D146</f>
        <v>606.7094229365224</v>
      </c>
      <c r="T123" s="157">
        <f t="shared" ca="1" si="10"/>
        <v>523.80183822074866</v>
      </c>
      <c r="U123" s="159">
        <f t="shared" ca="1" si="10"/>
        <v>1123.1190175058368</v>
      </c>
      <c r="V123" s="257"/>
      <c r="W123" s="256">
        <f t="shared" ca="1" si="11"/>
        <v>3032.4448664611896</v>
      </c>
      <c r="X123" s="159">
        <f t="shared" ca="1" si="11"/>
        <v>85.590969508129703</v>
      </c>
      <c r="Y123" s="154"/>
    </row>
    <row r="124" spans="1:25" x14ac:dyDescent="0.25">
      <c r="A124" s="155"/>
      <c r="B124" s="123" t="s">
        <v>158</v>
      </c>
      <c r="C124" s="157">
        <f t="shared" ca="1" si="12"/>
        <v>7812.68426</v>
      </c>
      <c r="D124" s="157">
        <f t="shared" ca="1" si="7"/>
        <v>7290.3946219749459</v>
      </c>
      <c r="E124" s="157">
        <f t="shared" ca="1" si="7"/>
        <v>2663.7645819749459</v>
      </c>
      <c r="F124" s="157">
        <f t="shared" ca="1" si="7"/>
        <v>1983.2601739749457</v>
      </c>
      <c r="G124" s="157">
        <f t="shared" ca="1" si="7"/>
        <v>680.50440800000001</v>
      </c>
      <c r="H124" s="157">
        <f t="shared" ca="1" si="7"/>
        <v>12439.3143</v>
      </c>
      <c r="I124" s="157">
        <f>'1.12'!I123</f>
        <v>2263.0879289999998</v>
      </c>
      <c r="J124" s="157">
        <f t="shared" ca="1" si="8"/>
        <v>667.36597762900908</v>
      </c>
      <c r="K124" s="157">
        <f t="shared" ca="1" si="8"/>
        <v>117.70486457200955</v>
      </c>
      <c r="L124" s="157">
        <f t="shared" ca="1" si="8"/>
        <v>87.635135540283528</v>
      </c>
      <c r="M124" s="157">
        <f t="shared" ca="1" si="8"/>
        <v>30.069729031726013</v>
      </c>
      <c r="N124" s="238">
        <f t="shared" ca="1" si="8"/>
        <v>549.66111305699951</v>
      </c>
      <c r="O124" s="250"/>
      <c r="P124" s="256">
        <f t="shared" ca="1" si="9"/>
        <v>3268.9162299999998</v>
      </c>
      <c r="Q124" s="157">
        <f t="shared" ca="1" si="9"/>
        <v>461.90662300000002</v>
      </c>
      <c r="R124" s="157">
        <f t="shared" ca="1" si="9"/>
        <v>6562.4872269999996</v>
      </c>
      <c r="S124" s="157">
        <f>'1.3'!D147</f>
        <v>631.49055980970195</v>
      </c>
      <c r="T124" s="157">
        <f t="shared" ca="1" si="10"/>
        <v>517.65084674980392</v>
      </c>
      <c r="U124" s="159">
        <f t="shared" ca="1" si="10"/>
        <v>1112.3513631172541</v>
      </c>
      <c r="V124" s="257"/>
      <c r="W124" s="256">
        <f t="shared" ca="1" si="11"/>
        <v>3125.6712049749458</v>
      </c>
      <c r="X124" s="159">
        <f t="shared" ca="1" si="11"/>
        <v>85.099104307951464</v>
      </c>
      <c r="Y124" s="154"/>
    </row>
    <row r="125" spans="1:25" ht="15.75" thickBot="1" x14ac:dyDescent="0.3">
      <c r="A125" s="155"/>
      <c r="B125" s="123" t="s">
        <v>649</v>
      </c>
      <c r="C125" s="157">
        <f t="shared" ref="C125:H125" ca="1" si="13">OFFSET(C$9,4*(ROW()-ROW(C$106)),0)</f>
        <v>8058.1868899999999</v>
      </c>
      <c r="D125" s="157">
        <f t="shared" ca="1" si="13"/>
        <v>7396.863851648448</v>
      </c>
      <c r="E125" s="157">
        <f t="shared" ca="1" si="13"/>
        <v>2764.764771648448</v>
      </c>
      <c r="F125" s="157">
        <f t="shared" ca="1" si="13"/>
        <v>2058.5650266484481</v>
      </c>
      <c r="G125" s="157">
        <f t="shared" ca="1" si="13"/>
        <v>706.19974500000001</v>
      </c>
      <c r="H125" s="157">
        <f t="shared" ca="1" si="13"/>
        <v>12690.285969999999</v>
      </c>
      <c r="I125" s="157">
        <f>'1.12'!I124</f>
        <v>2328.5203700000002</v>
      </c>
      <c r="J125" s="157">
        <f ca="1">OFFSET(J$9,4*(ROW()-ROW(J$106)),0)</f>
        <v>663.72838909923087</v>
      </c>
      <c r="K125" s="157">
        <f ca="1">OFFSET(K$9,4*(ROW()-ROW(K$106)),0)</f>
        <v>118.73483295524909</v>
      </c>
      <c r="L125" s="157">
        <f ca="1">OFFSET(L$9,4*(ROW()-ROW(L$106)),0)</f>
        <v>88.406571536604091</v>
      </c>
      <c r="M125" s="157">
        <f ca="1">OFFSET(M$9,4*(ROW()-ROW(M$106)),0)</f>
        <v>30.328261418645013</v>
      </c>
      <c r="N125" s="238">
        <f ca="1">OFFSET(N$9,4*(ROW()-ROW(N$106)),0)</f>
        <v>544.99355614398178</v>
      </c>
      <c r="O125" s="250"/>
      <c r="P125" s="256">
        <f ca="1">OFFSET(P$9,4*(ROW()-ROW(P$106)),0)</f>
        <v>3356.26818</v>
      </c>
      <c r="Q125" s="157">
        <f ca="1">OFFSET(Q$9,4*(ROW()-ROW(Q$106)),0)</f>
        <v>463.14192200000002</v>
      </c>
      <c r="R125" s="157">
        <f ca="1">OFFSET(R$9,4*(ROW()-ROW(R$106)),0)</f>
        <v>6740.5028279999997</v>
      </c>
      <c r="S125" s="157">
        <f>'1.3'!D148</f>
        <v>656.25978018542241</v>
      </c>
      <c r="T125" s="157">
        <f ca="1">OFFSET(T$9,4*(ROW()-ROW(T$106)),0)</f>
        <v>511.42371989514669</v>
      </c>
      <c r="U125" s="159">
        <f ca="1">OFFSET(U$9,4*(ROW()-ROW(U$106)),0)</f>
        <v>1097.6818887125235</v>
      </c>
      <c r="V125" s="257"/>
      <c r="W125" s="256">
        <f ca="1">OFFSET(W$9,4*(ROW()-ROW(W$106)),0)</f>
        <v>3227.9066936484478</v>
      </c>
      <c r="X125" s="159">
        <f ca="1">OFFSET(X$9,4*(ROW()-ROW(X$106)),0)</f>
        <v>84.904754449525456</v>
      </c>
      <c r="Y125" s="154"/>
    </row>
    <row r="126" spans="1:25" x14ac:dyDescent="0.25">
      <c r="A126" s="5"/>
      <c r="B126" s="417" t="s">
        <v>159</v>
      </c>
      <c r="C126" s="418"/>
      <c r="D126" s="418"/>
      <c r="E126" s="419"/>
      <c r="F126" s="419"/>
      <c r="G126" s="419"/>
      <c r="H126" s="418"/>
      <c r="I126" s="420"/>
      <c r="J126" s="420"/>
      <c r="K126" s="420"/>
      <c r="L126" s="420"/>
      <c r="M126" s="420"/>
      <c r="N126" s="421"/>
      <c r="O126" s="260"/>
      <c r="P126" s="417" t="s">
        <v>159</v>
      </c>
      <c r="Q126" s="418"/>
      <c r="R126" s="418"/>
      <c r="S126" s="418"/>
      <c r="T126" s="418"/>
      <c r="U126" s="422"/>
      <c r="V126" s="424"/>
      <c r="W126" s="426" t="s">
        <v>159</v>
      </c>
      <c r="X126" s="427"/>
    </row>
    <row r="127" spans="1:25" ht="14.25" customHeight="1" x14ac:dyDescent="0.25">
      <c r="A127" s="5"/>
      <c r="B127" s="160" t="s">
        <v>365</v>
      </c>
      <c r="C127" s="99"/>
      <c r="D127" s="99"/>
      <c r="E127" s="258"/>
      <c r="F127" s="258"/>
      <c r="G127" s="258"/>
      <c r="H127" s="99"/>
      <c r="I127" s="10"/>
      <c r="J127" s="10"/>
      <c r="K127" s="10"/>
      <c r="L127" s="10"/>
      <c r="M127" s="10"/>
      <c r="N127" s="259"/>
      <c r="O127" s="262"/>
      <c r="P127" s="625" t="s">
        <v>366</v>
      </c>
      <c r="Q127" s="602"/>
      <c r="R127" s="602"/>
      <c r="S127" s="602"/>
      <c r="T127" s="602"/>
      <c r="U127" s="626"/>
      <c r="V127" s="425"/>
      <c r="W127" s="627" t="s">
        <v>367</v>
      </c>
      <c r="X127" s="628"/>
    </row>
    <row r="128" spans="1:25" ht="15" customHeight="1" x14ac:dyDescent="0.25">
      <c r="A128" s="5"/>
      <c r="B128" s="161" t="s">
        <v>368</v>
      </c>
      <c r="C128" s="162"/>
      <c r="D128" s="162"/>
      <c r="E128" s="162"/>
      <c r="F128" s="162"/>
      <c r="G128" s="99"/>
      <c r="H128" s="99"/>
      <c r="I128" s="10"/>
      <c r="J128" s="10"/>
      <c r="K128" s="10"/>
      <c r="L128" s="10"/>
      <c r="M128" s="10"/>
      <c r="N128" s="259"/>
      <c r="O128" s="262"/>
      <c r="P128" s="625" t="s">
        <v>369</v>
      </c>
      <c r="Q128" s="602"/>
      <c r="R128" s="602"/>
      <c r="S128" s="602"/>
      <c r="T128" s="602"/>
      <c r="U128" s="626"/>
      <c r="V128" s="425"/>
      <c r="W128" s="627"/>
      <c r="X128" s="628"/>
    </row>
    <row r="129" spans="1:24" x14ac:dyDescent="0.25">
      <c r="A129" s="5"/>
      <c r="B129" s="160" t="s">
        <v>370</v>
      </c>
      <c r="C129" s="162"/>
      <c r="D129" s="162"/>
      <c r="E129" s="162"/>
      <c r="F129" s="162"/>
      <c r="G129" s="99"/>
      <c r="H129" s="99"/>
      <c r="I129" s="10"/>
      <c r="J129" s="10"/>
      <c r="K129" s="10"/>
      <c r="L129" s="10"/>
      <c r="M129" s="10"/>
      <c r="N129" s="259"/>
      <c r="O129" s="262"/>
      <c r="P129" s="629" t="s">
        <v>371</v>
      </c>
      <c r="Q129" s="630"/>
      <c r="R129" s="630"/>
      <c r="S129" s="630"/>
      <c r="T129" s="630"/>
      <c r="U129" s="631"/>
      <c r="V129" s="425"/>
      <c r="W129" s="627"/>
      <c r="X129" s="628"/>
    </row>
    <row r="130" spans="1:24" x14ac:dyDescent="0.25">
      <c r="A130" s="5"/>
      <c r="B130" s="160" t="s">
        <v>372</v>
      </c>
      <c r="C130" s="99"/>
      <c r="D130" s="99"/>
      <c r="E130" s="99"/>
      <c r="F130" s="99"/>
      <c r="G130" s="99"/>
      <c r="H130" s="99"/>
      <c r="I130" s="10"/>
      <c r="J130" s="10"/>
      <c r="K130" s="10"/>
      <c r="L130" s="10"/>
      <c r="M130" s="10"/>
      <c r="N130" s="259"/>
      <c r="O130" s="262"/>
      <c r="P130" s="632"/>
      <c r="Q130" s="630"/>
      <c r="R130" s="630"/>
      <c r="S130" s="630"/>
      <c r="T130" s="630"/>
      <c r="U130" s="631"/>
      <c r="V130" s="425"/>
      <c r="W130" s="627"/>
      <c r="X130" s="628"/>
    </row>
    <row r="131" spans="1:24" x14ac:dyDescent="0.25">
      <c r="A131" s="5"/>
      <c r="B131" s="160" t="s">
        <v>373</v>
      </c>
      <c r="C131" s="99"/>
      <c r="D131" s="99"/>
      <c r="E131" s="99"/>
      <c r="F131" s="99"/>
      <c r="G131" s="99"/>
      <c r="H131" s="99"/>
      <c r="I131" s="10"/>
      <c r="J131" s="10"/>
      <c r="K131" s="10"/>
      <c r="L131" s="10"/>
      <c r="M131" s="10"/>
      <c r="N131" s="259"/>
      <c r="O131" s="262"/>
      <c r="P131" s="160" t="s">
        <v>374</v>
      </c>
      <c r="Q131" s="99"/>
      <c r="R131" s="99"/>
      <c r="S131" s="99"/>
      <c r="T131" s="99"/>
      <c r="U131" s="423"/>
      <c r="V131" s="425"/>
      <c r="W131" s="627"/>
      <c r="X131" s="628"/>
    </row>
    <row r="132" spans="1:24" ht="15" customHeight="1" x14ac:dyDescent="0.25">
      <c r="A132" s="5"/>
      <c r="B132" s="160" t="s">
        <v>375</v>
      </c>
      <c r="C132" s="99"/>
      <c r="D132" s="99"/>
      <c r="E132" s="99"/>
      <c r="F132" s="99"/>
      <c r="G132" s="99"/>
      <c r="H132" s="99"/>
      <c r="I132" s="10"/>
      <c r="J132" s="10"/>
      <c r="K132" s="10"/>
      <c r="L132" s="10"/>
      <c r="M132" s="10"/>
      <c r="N132" s="259"/>
      <c r="O132" s="262"/>
      <c r="P132" s="627" t="s">
        <v>376</v>
      </c>
      <c r="Q132" s="633"/>
      <c r="R132" s="633"/>
      <c r="S132" s="633"/>
      <c r="T132" s="633"/>
      <c r="U132" s="628"/>
      <c r="V132" s="425"/>
      <c r="W132" s="627"/>
      <c r="X132" s="628"/>
    </row>
    <row r="133" spans="1:24" x14ac:dyDescent="0.25">
      <c r="A133" s="5"/>
      <c r="B133" s="160" t="s">
        <v>377</v>
      </c>
      <c r="C133" s="99"/>
      <c r="D133" s="99"/>
      <c r="E133" s="99"/>
      <c r="F133" s="99"/>
      <c r="G133" s="99"/>
      <c r="H133" s="99"/>
      <c r="I133" s="10"/>
      <c r="J133" s="10"/>
      <c r="K133" s="10"/>
      <c r="L133" s="10"/>
      <c r="M133" s="10"/>
      <c r="N133" s="259"/>
      <c r="O133" s="262"/>
      <c r="P133" s="627"/>
      <c r="Q133" s="633"/>
      <c r="R133" s="633"/>
      <c r="S133" s="633"/>
      <c r="T133" s="633"/>
      <c r="U133" s="628"/>
      <c r="V133" s="425"/>
      <c r="W133" s="263"/>
      <c r="X133" s="264"/>
    </row>
    <row r="134" spans="1:24" ht="15.75" thickBot="1" x14ac:dyDescent="0.3">
      <c r="A134" s="5"/>
      <c r="B134" s="265" t="s">
        <v>378</v>
      </c>
      <c r="C134" s="266"/>
      <c r="D134" s="284"/>
      <c r="E134" s="284"/>
      <c r="F134" s="284"/>
      <c r="G134" s="284"/>
      <c r="H134" s="284"/>
      <c r="I134" s="267"/>
      <c r="J134" s="267"/>
      <c r="K134" s="267"/>
      <c r="L134" s="267"/>
      <c r="M134" s="267"/>
      <c r="N134" s="268"/>
      <c r="O134" s="262"/>
      <c r="P134" s="616"/>
      <c r="Q134" s="617"/>
      <c r="R134" s="617"/>
      <c r="S134" s="617"/>
      <c r="T134" s="617"/>
      <c r="U134" s="618"/>
      <c r="V134" s="425"/>
      <c r="W134" s="269"/>
      <c r="X134" s="270"/>
    </row>
  </sheetData>
  <mergeCells count="10">
    <mergeCell ref="P134:U134"/>
    <mergeCell ref="B2:X2"/>
    <mergeCell ref="C3:N3"/>
    <mergeCell ref="P3:U3"/>
    <mergeCell ref="W3:X3"/>
    <mergeCell ref="P127:U127"/>
    <mergeCell ref="W127:X132"/>
    <mergeCell ref="P128:U128"/>
    <mergeCell ref="P129:U130"/>
    <mergeCell ref="P132:U133"/>
  </mergeCells>
  <phoneticPr fontId="91" type="noConversion"/>
  <hyperlinks>
    <hyperlink ref="A1" location="Contents!A1" display="Back to contents" xr:uid="{2DFD1412-E7EB-4F19-A468-49A3EBB92697}"/>
  </hyperlinks>
  <pageMargins left="0.70866141732283472" right="0.70866141732283472" top="0.74803149606299213" bottom="0.74803149606299213" header="0.31496062992125984" footer="0.31496062992125984"/>
  <pageSetup paperSize="9" scale="30" orientation="landscape" r:id="rId1"/>
  <headerFooter>
    <oddHeader>&amp;C&amp;8March 2018 Economic and fiscal outlook: Supplementary economy tables</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75D0F-AB07-4F91-9585-DC1110CEA5D5}">
  <sheetPr codeName="Sheet13">
    <tabColor theme="5"/>
    <pageSetUpPr fitToPage="1"/>
  </sheetPr>
  <dimension ref="A1:J130"/>
  <sheetViews>
    <sheetView showGridLines="0" zoomScaleNormal="100" zoomScaleSheetLayoutView="55" workbookViewId="0"/>
  </sheetViews>
  <sheetFormatPr defaultColWidth="8.77734375" defaultRowHeight="15" x14ac:dyDescent="0.25"/>
  <cols>
    <col min="1" max="1" width="9.21875" style="1" customWidth="1"/>
    <col min="2" max="2" width="10.44140625" style="1" customWidth="1"/>
    <col min="3" max="8" width="14.21875" style="1" customWidth="1"/>
    <col min="9" max="9" width="3.44140625" style="1" customWidth="1"/>
    <col min="10" max="16384" width="8.77734375" style="1"/>
  </cols>
  <sheetData>
    <row r="1" spans="1:9" ht="35.1" customHeight="1" thickBot="1" x14ac:dyDescent="0.3">
      <c r="A1" s="9" t="s">
        <v>22</v>
      </c>
      <c r="B1" s="363"/>
      <c r="C1" s="478"/>
      <c r="D1" s="5"/>
      <c r="E1" s="5"/>
      <c r="F1" s="5"/>
      <c r="G1" s="5"/>
      <c r="H1" s="5"/>
      <c r="I1" s="5"/>
    </row>
    <row r="2" spans="1:9" ht="22.5" customHeight="1" thickBot="1" x14ac:dyDescent="0.35">
      <c r="A2" s="5"/>
      <c r="B2" s="533" t="s">
        <v>379</v>
      </c>
      <c r="C2" s="534"/>
      <c r="D2" s="534"/>
      <c r="E2" s="534"/>
      <c r="F2" s="534"/>
      <c r="G2" s="534"/>
      <c r="H2" s="634"/>
      <c r="I2" s="326"/>
    </row>
    <row r="3" spans="1:9" ht="21" customHeight="1" x14ac:dyDescent="0.35">
      <c r="A3" s="5"/>
      <c r="B3" s="234"/>
      <c r="C3" s="622" t="s">
        <v>343</v>
      </c>
      <c r="D3" s="622"/>
      <c r="E3" s="622"/>
      <c r="F3" s="622"/>
      <c r="G3" s="622"/>
      <c r="H3" s="623"/>
      <c r="I3" s="326"/>
    </row>
    <row r="4" spans="1:9" ht="72.95" customHeight="1" x14ac:dyDescent="0.3">
      <c r="A4" s="5"/>
      <c r="B4" s="235"/>
      <c r="C4" s="107" t="s">
        <v>380</v>
      </c>
      <c r="D4" s="107" t="s">
        <v>381</v>
      </c>
      <c r="E4" s="107" t="s">
        <v>382</v>
      </c>
      <c r="F4" s="215" t="s">
        <v>383</v>
      </c>
      <c r="G4" s="215" t="s">
        <v>384</v>
      </c>
      <c r="H4" s="215" t="s">
        <v>385</v>
      </c>
      <c r="I4" s="327"/>
    </row>
    <row r="5" spans="1:9" x14ac:dyDescent="0.25">
      <c r="A5" s="5"/>
      <c r="B5" s="123" t="s">
        <v>59</v>
      </c>
      <c r="C5" s="151">
        <v>40.877000000000002</v>
      </c>
      <c r="D5" s="151">
        <v>388.85</v>
      </c>
      <c r="E5" s="151">
        <v>429.72699999999998</v>
      </c>
      <c r="F5" s="116">
        <v>3.7206368508432126</v>
      </c>
      <c r="G5" s="116">
        <v>35.393244109166112</v>
      </c>
      <c r="H5" s="116">
        <v>39.113880960009318</v>
      </c>
      <c r="I5" s="152"/>
    </row>
    <row r="6" spans="1:9" x14ac:dyDescent="0.25">
      <c r="A6" s="5"/>
      <c r="B6" s="123" t="s">
        <v>60</v>
      </c>
      <c r="C6" s="151">
        <v>43.024000000000001</v>
      </c>
      <c r="D6" s="151">
        <v>394.60300000000001</v>
      </c>
      <c r="E6" s="151">
        <v>437.62700000000001</v>
      </c>
      <c r="F6" s="116">
        <v>3.8735723044622077</v>
      </c>
      <c r="G6" s="116">
        <v>35.52722322558806</v>
      </c>
      <c r="H6" s="116">
        <v>39.40079553005026</v>
      </c>
      <c r="I6" s="152"/>
    </row>
    <row r="7" spans="1:9" x14ac:dyDescent="0.25">
      <c r="A7" s="5"/>
      <c r="B7" s="123" t="s">
        <v>61</v>
      </c>
      <c r="C7" s="151">
        <v>44.451999999999998</v>
      </c>
      <c r="D7" s="151">
        <v>389.31799999999998</v>
      </c>
      <c r="E7" s="151">
        <v>433.77</v>
      </c>
      <c r="F7" s="116">
        <v>3.9708714621082462</v>
      </c>
      <c r="G7" s="116">
        <v>34.7775518735953</v>
      </c>
      <c r="H7" s="116">
        <v>38.748423335703549</v>
      </c>
      <c r="I7" s="152"/>
    </row>
    <row r="8" spans="1:9" x14ac:dyDescent="0.25">
      <c r="A8" s="5"/>
      <c r="B8" s="123" t="s">
        <v>62</v>
      </c>
      <c r="C8" s="151">
        <v>44.195</v>
      </c>
      <c r="D8" s="151">
        <v>391.64</v>
      </c>
      <c r="E8" s="151">
        <v>435.83499999999998</v>
      </c>
      <c r="F8" s="116">
        <v>3.9110031088027881</v>
      </c>
      <c r="G8" s="116">
        <v>34.657885677826087</v>
      </c>
      <c r="H8" s="116">
        <v>38.568888786628868</v>
      </c>
      <c r="I8" s="152"/>
    </row>
    <row r="9" spans="1:9" ht="18.75" customHeight="1" x14ac:dyDescent="0.25">
      <c r="A9" s="5"/>
      <c r="B9" s="123" t="s">
        <v>63</v>
      </c>
      <c r="C9" s="151">
        <v>45.656999999999996</v>
      </c>
      <c r="D9" s="151">
        <v>394.48200000000003</v>
      </c>
      <c r="E9" s="151">
        <v>440.13900000000001</v>
      </c>
      <c r="F9" s="116">
        <v>4.0240719832680671</v>
      </c>
      <c r="G9" s="116">
        <v>34.7684684517939</v>
      </c>
      <c r="H9" s="116">
        <v>38.792540435061966</v>
      </c>
      <c r="I9" s="152"/>
    </row>
    <row r="10" spans="1:9" x14ac:dyDescent="0.25">
      <c r="A10" s="5"/>
      <c r="B10" s="123" t="s">
        <v>64</v>
      </c>
      <c r="C10" s="151">
        <v>48.033999999999999</v>
      </c>
      <c r="D10" s="151">
        <v>385.37799999999999</v>
      </c>
      <c r="E10" s="151">
        <v>433.41199999999998</v>
      </c>
      <c r="F10" s="116">
        <v>4.2021555796619658</v>
      </c>
      <c r="G10" s="116">
        <v>33.714000769849875</v>
      </c>
      <c r="H10" s="116">
        <v>37.916156349511851</v>
      </c>
      <c r="I10" s="152"/>
    </row>
    <row r="11" spans="1:9" x14ac:dyDescent="0.25">
      <c r="A11" s="5"/>
      <c r="B11" s="123" t="s">
        <v>65</v>
      </c>
      <c r="C11" s="151">
        <v>49.54</v>
      </c>
      <c r="D11" s="151">
        <v>394.56700000000001</v>
      </c>
      <c r="E11" s="151">
        <v>444.10700000000003</v>
      </c>
      <c r="F11" s="116">
        <v>4.273559571470841</v>
      </c>
      <c r="G11" s="116">
        <v>34.037254328553402</v>
      </c>
      <c r="H11" s="116">
        <v>38.310813900024243</v>
      </c>
      <c r="I11" s="152"/>
    </row>
    <row r="12" spans="1:9" x14ac:dyDescent="0.25">
      <c r="A12" s="5"/>
      <c r="B12" s="123" t="s">
        <v>66</v>
      </c>
      <c r="C12" s="151">
        <v>49.14</v>
      </c>
      <c r="D12" s="151">
        <v>397.68400000000003</v>
      </c>
      <c r="E12" s="151">
        <v>446.82400000000001</v>
      </c>
      <c r="F12" s="116">
        <v>4.1787952926049616</v>
      </c>
      <c r="G12" s="116">
        <v>33.818478370865115</v>
      </c>
      <c r="H12" s="116">
        <v>37.997273663470068</v>
      </c>
      <c r="I12" s="152"/>
    </row>
    <row r="13" spans="1:9" ht="18.75" customHeight="1" x14ac:dyDescent="0.25">
      <c r="A13" s="5"/>
      <c r="B13" s="123" t="s">
        <v>67</v>
      </c>
      <c r="C13" s="151">
        <v>50.883000000000003</v>
      </c>
      <c r="D13" s="151">
        <v>396.21199999999999</v>
      </c>
      <c r="E13" s="151">
        <v>447.09500000000003</v>
      </c>
      <c r="F13" s="116">
        <v>4.2630787869038702</v>
      </c>
      <c r="G13" s="116">
        <v>33.195428184595173</v>
      </c>
      <c r="H13" s="116">
        <v>37.458506971499048</v>
      </c>
      <c r="I13" s="152"/>
    </row>
    <row r="14" spans="1:9" x14ac:dyDescent="0.25">
      <c r="A14" s="5"/>
      <c r="B14" s="123" t="s">
        <v>68</v>
      </c>
      <c r="C14" s="151">
        <v>53.448</v>
      </c>
      <c r="D14" s="151">
        <v>398.13400000000001</v>
      </c>
      <c r="E14" s="151">
        <v>451.58199999999999</v>
      </c>
      <c r="F14" s="116">
        <v>4.4320355703857635</v>
      </c>
      <c r="G14" s="116">
        <v>33.014220359601211</v>
      </c>
      <c r="H14" s="116">
        <v>37.446255929986968</v>
      </c>
      <c r="I14" s="152"/>
    </row>
    <row r="15" spans="1:9" x14ac:dyDescent="0.25">
      <c r="A15" s="5"/>
      <c r="B15" s="123" t="s">
        <v>69</v>
      </c>
      <c r="C15" s="151">
        <v>55.021000000000001</v>
      </c>
      <c r="D15" s="151">
        <v>407.40800000000002</v>
      </c>
      <c r="E15" s="151">
        <v>462.42899999999997</v>
      </c>
      <c r="F15" s="116">
        <v>4.5424411668792537</v>
      </c>
      <c r="G15" s="116">
        <v>33.634918865813837</v>
      </c>
      <c r="H15" s="116">
        <v>38.177360032693088</v>
      </c>
      <c r="I15" s="152"/>
    </row>
    <row r="16" spans="1:9" x14ac:dyDescent="0.25">
      <c r="A16" s="5"/>
      <c r="B16" s="123" t="s">
        <v>70</v>
      </c>
      <c r="C16" s="151">
        <v>54.798999999999999</v>
      </c>
      <c r="D16" s="151">
        <v>419.38900000000001</v>
      </c>
      <c r="E16" s="151">
        <v>474.18799999999999</v>
      </c>
      <c r="F16" s="116">
        <v>4.4994995447047392</v>
      </c>
      <c r="G16" s="116">
        <v>34.435676099092611</v>
      </c>
      <c r="H16" s="116">
        <v>38.935175643797351</v>
      </c>
      <c r="I16" s="152"/>
    </row>
    <row r="17" spans="1:9" ht="18.75" customHeight="1" x14ac:dyDescent="0.25">
      <c r="A17" s="5"/>
      <c r="B17" s="123" t="s">
        <v>71</v>
      </c>
      <c r="C17" s="151">
        <v>56.548999999999999</v>
      </c>
      <c r="D17" s="151">
        <v>417.66399999999999</v>
      </c>
      <c r="E17" s="151">
        <v>474.21300000000002</v>
      </c>
      <c r="F17" s="116">
        <v>4.6048961783164595</v>
      </c>
      <c r="G17" s="116">
        <v>34.011200152440637</v>
      </c>
      <c r="H17" s="116">
        <v>38.616096330757102</v>
      </c>
      <c r="I17" s="152"/>
    </row>
    <row r="18" spans="1:9" x14ac:dyDescent="0.25">
      <c r="A18" s="5"/>
      <c r="B18" s="123" t="s">
        <v>72</v>
      </c>
      <c r="C18" s="151">
        <v>59.280999999999999</v>
      </c>
      <c r="D18" s="151">
        <v>416.39299999999997</v>
      </c>
      <c r="E18" s="151">
        <v>475.67399999999998</v>
      </c>
      <c r="F18" s="116">
        <v>4.767173961118595</v>
      </c>
      <c r="G18" s="116">
        <v>33.484891739209104</v>
      </c>
      <c r="H18" s="116">
        <v>38.252065700327698</v>
      </c>
      <c r="I18" s="152"/>
    </row>
    <row r="19" spans="1:9" x14ac:dyDescent="0.25">
      <c r="A19" s="155"/>
      <c r="B19" s="123" t="s">
        <v>73</v>
      </c>
      <c r="C19" s="151">
        <v>60.902999999999999</v>
      </c>
      <c r="D19" s="151">
        <v>432.88600000000002</v>
      </c>
      <c r="E19" s="151">
        <v>493.78899999999999</v>
      </c>
      <c r="F19" s="116">
        <v>4.8074699192716377</v>
      </c>
      <c r="G19" s="116">
        <v>34.170507585403378</v>
      </c>
      <c r="H19" s="116">
        <v>38.977977504675017</v>
      </c>
      <c r="I19" s="152"/>
    </row>
    <row r="20" spans="1:9" x14ac:dyDescent="0.25">
      <c r="A20" s="155"/>
      <c r="B20" s="123" t="s">
        <v>74</v>
      </c>
      <c r="C20" s="151">
        <v>60.63</v>
      </c>
      <c r="D20" s="151">
        <v>432.85899999999998</v>
      </c>
      <c r="E20" s="151">
        <v>493.48899999999998</v>
      </c>
      <c r="F20" s="116">
        <v>4.7105311409383459</v>
      </c>
      <c r="G20" s="116">
        <v>33.630146777757403</v>
      </c>
      <c r="H20" s="116">
        <v>38.340677918695746</v>
      </c>
      <c r="I20" s="152"/>
    </row>
    <row r="21" spans="1:9" ht="18.75" customHeight="1" x14ac:dyDescent="0.25">
      <c r="A21" s="155"/>
      <c r="B21" s="123" t="s">
        <v>75</v>
      </c>
      <c r="C21" s="151">
        <v>62.417999999999999</v>
      </c>
      <c r="D21" s="151">
        <v>451.72500000000002</v>
      </c>
      <c r="E21" s="151">
        <v>514.14300000000003</v>
      </c>
      <c r="F21" s="116">
        <v>4.7952761712772043</v>
      </c>
      <c r="G21" s="116">
        <v>34.703869532349565</v>
      </c>
      <c r="H21" s="116">
        <v>39.499145703626773</v>
      </c>
      <c r="I21" s="152"/>
    </row>
    <row r="22" spans="1:9" x14ac:dyDescent="0.25">
      <c r="A22" s="155"/>
      <c r="B22" s="123" t="s">
        <v>76</v>
      </c>
      <c r="C22" s="151">
        <v>65.293999999999997</v>
      </c>
      <c r="D22" s="151">
        <v>465.48399999999998</v>
      </c>
      <c r="E22" s="151">
        <v>530.77800000000002</v>
      </c>
      <c r="F22" s="116">
        <v>4.9834569135599871</v>
      </c>
      <c r="G22" s="116">
        <v>35.527298954751693</v>
      </c>
      <c r="H22" s="116">
        <v>40.510755868311691</v>
      </c>
      <c r="I22" s="152"/>
    </row>
    <row r="23" spans="1:9" x14ac:dyDescent="0.25">
      <c r="A23" s="155"/>
      <c r="B23" s="123" t="s">
        <v>77</v>
      </c>
      <c r="C23" s="151">
        <v>67.019000000000005</v>
      </c>
      <c r="D23" s="151">
        <v>469.30700000000002</v>
      </c>
      <c r="E23" s="151">
        <v>536.32600000000002</v>
      </c>
      <c r="F23" s="116">
        <v>5.1077038920339364</v>
      </c>
      <c r="G23" s="116">
        <v>35.76718826689104</v>
      </c>
      <c r="H23" s="116">
        <v>40.874892158924972</v>
      </c>
      <c r="I23" s="152"/>
    </row>
    <row r="24" spans="1:9" x14ac:dyDescent="0.25">
      <c r="A24" s="155"/>
      <c r="B24" s="123" t="s">
        <v>78</v>
      </c>
      <c r="C24" s="151">
        <v>66.701999999999998</v>
      </c>
      <c r="D24" s="151">
        <v>454.79</v>
      </c>
      <c r="E24" s="151">
        <v>521.49199999999996</v>
      </c>
      <c r="F24" s="116">
        <v>5.0811551168440179</v>
      </c>
      <c r="G24" s="116">
        <v>34.644516440129102</v>
      </c>
      <c r="H24" s="116">
        <v>39.725671556973111</v>
      </c>
      <c r="I24" s="152"/>
    </row>
    <row r="25" spans="1:9" ht="18.75" customHeight="1" x14ac:dyDescent="0.25">
      <c r="A25" s="155"/>
      <c r="B25" s="123" t="s">
        <v>79</v>
      </c>
      <c r="C25" s="151">
        <v>69.031999999999996</v>
      </c>
      <c r="D25" s="151">
        <v>471.71499999999997</v>
      </c>
      <c r="E25" s="151">
        <v>540.74699999999996</v>
      </c>
      <c r="F25" s="116">
        <v>5.2535648700954249</v>
      </c>
      <c r="G25" s="116">
        <v>35.899080900119706</v>
      </c>
      <c r="H25" s="116">
        <v>41.15264577021513</v>
      </c>
      <c r="I25" s="152"/>
    </row>
    <row r="26" spans="1:9" x14ac:dyDescent="0.25">
      <c r="A26" s="155"/>
      <c r="B26" s="123" t="s">
        <v>80</v>
      </c>
      <c r="C26" s="151">
        <v>72.272000000000006</v>
      </c>
      <c r="D26" s="151">
        <v>468.04899999999998</v>
      </c>
      <c r="E26" s="151">
        <v>540.32100000000003</v>
      </c>
      <c r="F26" s="116">
        <v>5.4629963482766</v>
      </c>
      <c r="G26" s="116">
        <v>35.37953810347733</v>
      </c>
      <c r="H26" s="116">
        <v>40.842534451753934</v>
      </c>
      <c r="I26" s="152"/>
    </row>
    <row r="27" spans="1:9" x14ac:dyDescent="0.25">
      <c r="A27" s="155"/>
      <c r="B27" s="123" t="s">
        <v>81</v>
      </c>
      <c r="C27" s="151">
        <v>74.340999999999994</v>
      </c>
      <c r="D27" s="151">
        <v>466.73700000000002</v>
      </c>
      <c r="E27" s="151">
        <v>541.07799999999997</v>
      </c>
      <c r="F27" s="116">
        <v>5.5734821574498774</v>
      </c>
      <c r="G27" s="116">
        <v>34.992135453137344</v>
      </c>
      <c r="H27" s="116">
        <v>40.565617610587225</v>
      </c>
      <c r="I27" s="152"/>
    </row>
    <row r="28" spans="1:9" x14ac:dyDescent="0.25">
      <c r="A28" s="155"/>
      <c r="B28" s="123" t="s">
        <v>82</v>
      </c>
      <c r="C28" s="151">
        <v>71.322999999999993</v>
      </c>
      <c r="D28" s="151">
        <v>468.51</v>
      </c>
      <c r="E28" s="151">
        <v>539.83299999999997</v>
      </c>
      <c r="F28" s="116">
        <v>5.2895522388059693</v>
      </c>
      <c r="G28" s="116">
        <v>34.746268656716417</v>
      </c>
      <c r="H28" s="116">
        <v>40.035820895522384</v>
      </c>
      <c r="I28" s="152"/>
    </row>
    <row r="29" spans="1:9" ht="18.75" customHeight="1" x14ac:dyDescent="0.25">
      <c r="A29" s="155"/>
      <c r="B29" s="123" t="s">
        <v>83</v>
      </c>
      <c r="C29" s="151">
        <v>70.808999999999997</v>
      </c>
      <c r="D29" s="151">
        <v>468.59</v>
      </c>
      <c r="E29" s="151">
        <v>539.399</v>
      </c>
      <c r="F29" s="116">
        <v>5.1738121472683121</v>
      </c>
      <c r="G29" s="116">
        <v>34.23853795546411</v>
      </c>
      <c r="H29" s="116">
        <v>39.412350102732425</v>
      </c>
      <c r="I29" s="152"/>
    </row>
    <row r="30" spans="1:9" x14ac:dyDescent="0.25">
      <c r="A30" s="155"/>
      <c r="B30" s="123" t="s">
        <v>84</v>
      </c>
      <c r="C30" s="151">
        <v>74.781999999999996</v>
      </c>
      <c r="D30" s="151">
        <v>479.56700000000001</v>
      </c>
      <c r="E30" s="151">
        <v>554.34900000000005</v>
      </c>
      <c r="F30" s="116">
        <v>5.4249529554974236</v>
      </c>
      <c r="G30" s="116">
        <v>34.789500334425838</v>
      </c>
      <c r="H30" s="116">
        <v>40.21445328992327</v>
      </c>
      <c r="I30" s="152"/>
    </row>
    <row r="31" spans="1:9" x14ac:dyDescent="0.25">
      <c r="A31" s="155"/>
      <c r="B31" s="123" t="s">
        <v>85</v>
      </c>
      <c r="C31" s="151">
        <v>77.402000000000001</v>
      </c>
      <c r="D31" s="151">
        <v>469.90899999999999</v>
      </c>
      <c r="E31" s="151">
        <v>547.31100000000004</v>
      </c>
      <c r="F31" s="116">
        <v>5.5721812798264176</v>
      </c>
      <c r="G31" s="116">
        <v>33.828817511459029</v>
      </c>
      <c r="H31" s="116">
        <v>39.400998791285453</v>
      </c>
      <c r="I31" s="152"/>
    </row>
    <row r="32" spans="1:9" x14ac:dyDescent="0.25">
      <c r="A32" s="155"/>
      <c r="B32" s="123" t="s">
        <v>86</v>
      </c>
      <c r="C32" s="151">
        <v>74.033000000000001</v>
      </c>
      <c r="D32" s="151">
        <v>474.904</v>
      </c>
      <c r="E32" s="151">
        <v>548.93700000000001</v>
      </c>
      <c r="F32" s="116">
        <v>5.2782162448114729</v>
      </c>
      <c r="G32" s="116">
        <v>33.858495637431254</v>
      </c>
      <c r="H32" s="116">
        <v>39.136711882242722</v>
      </c>
      <c r="I32" s="152"/>
    </row>
    <row r="33" spans="1:10" ht="18.75" customHeight="1" x14ac:dyDescent="0.25">
      <c r="A33" s="155"/>
      <c r="B33" s="123" t="s">
        <v>87</v>
      </c>
      <c r="C33" s="151">
        <v>79.778000000000006</v>
      </c>
      <c r="D33" s="151">
        <v>481.726</v>
      </c>
      <c r="E33" s="151">
        <v>561.50400000000002</v>
      </c>
      <c r="F33" s="116">
        <v>5.6545332376948103</v>
      </c>
      <c r="G33" s="116">
        <v>34.143945429338537</v>
      </c>
      <c r="H33" s="116">
        <v>39.798478667033351</v>
      </c>
      <c r="I33" s="152"/>
    </row>
    <row r="34" spans="1:10" x14ac:dyDescent="0.25">
      <c r="A34" s="155"/>
      <c r="B34" s="123" t="s">
        <v>88</v>
      </c>
      <c r="C34" s="151">
        <v>83.600999999999999</v>
      </c>
      <c r="D34" s="151">
        <v>487.31299999999999</v>
      </c>
      <c r="E34" s="151">
        <v>570.91399999999999</v>
      </c>
      <c r="F34" s="116">
        <v>5.8578370405664373</v>
      </c>
      <c r="G34" s="116">
        <v>34.145526270613416</v>
      </c>
      <c r="H34" s="116">
        <v>40.003363311179854</v>
      </c>
      <c r="I34" s="152"/>
    </row>
    <row r="35" spans="1:10" x14ac:dyDescent="0.25">
      <c r="A35" s="155"/>
      <c r="B35" s="123" t="s">
        <v>89</v>
      </c>
      <c r="C35" s="151">
        <v>86.116</v>
      </c>
      <c r="D35" s="151">
        <v>498.42899999999997</v>
      </c>
      <c r="E35" s="151">
        <v>584.54499999999996</v>
      </c>
      <c r="F35" s="116">
        <v>5.9672079348427127</v>
      </c>
      <c r="G35" s="116">
        <v>34.537478328716134</v>
      </c>
      <c r="H35" s="116">
        <v>40.504686263558845</v>
      </c>
      <c r="I35" s="152"/>
    </row>
    <row r="36" spans="1:10" x14ac:dyDescent="0.25">
      <c r="A36" s="155"/>
      <c r="B36" s="123" t="s">
        <v>90</v>
      </c>
      <c r="C36" s="151">
        <v>86.138999999999996</v>
      </c>
      <c r="D36" s="151">
        <v>470.52100000000002</v>
      </c>
      <c r="E36" s="151">
        <v>556.66</v>
      </c>
      <c r="F36" s="116">
        <v>5.9139467505183516</v>
      </c>
      <c r="G36" s="116">
        <v>32.304021860024449</v>
      </c>
      <c r="H36" s="116">
        <v>38.21796861054279</v>
      </c>
      <c r="I36" s="152"/>
    </row>
    <row r="37" spans="1:10" ht="18.75" customHeight="1" x14ac:dyDescent="0.25">
      <c r="A37" s="155"/>
      <c r="B37" s="123" t="s">
        <v>91</v>
      </c>
      <c r="C37" s="151">
        <v>83.091999999999999</v>
      </c>
      <c r="D37" s="151">
        <v>502.43</v>
      </c>
      <c r="E37" s="151">
        <v>585.52200000000005</v>
      </c>
      <c r="F37" s="116">
        <v>5.6846332511228397</v>
      </c>
      <c r="G37" s="116">
        <v>34.373107932913499</v>
      </c>
      <c r="H37" s="116">
        <v>40.057741184036338</v>
      </c>
      <c r="I37" s="152"/>
    </row>
    <row r="38" spans="1:10" x14ac:dyDescent="0.25">
      <c r="A38" s="155"/>
      <c r="B38" s="123" t="s">
        <v>92</v>
      </c>
      <c r="C38" s="151">
        <v>86.986000000000004</v>
      </c>
      <c r="D38" s="151">
        <v>501.351</v>
      </c>
      <c r="E38" s="151">
        <v>588.33699999999999</v>
      </c>
      <c r="F38" s="116">
        <v>5.9790767369607654</v>
      </c>
      <c r="G38" s="116">
        <v>34.460902917159267</v>
      </c>
      <c r="H38" s="116">
        <v>40.439979654120037</v>
      </c>
      <c r="I38" s="152"/>
    </row>
    <row r="39" spans="1:10" x14ac:dyDescent="0.25">
      <c r="A39" s="155"/>
      <c r="B39" s="123" t="s">
        <v>93</v>
      </c>
      <c r="C39" s="151">
        <v>89.513000000000005</v>
      </c>
      <c r="D39" s="151">
        <v>492.03899999999999</v>
      </c>
      <c r="E39" s="151">
        <v>581.55200000000002</v>
      </c>
      <c r="F39" s="116">
        <v>6.1498983181268541</v>
      </c>
      <c r="G39" s="116">
        <v>33.805031878641309</v>
      </c>
      <c r="H39" s="116">
        <v>39.95493019676816</v>
      </c>
      <c r="I39" s="152"/>
    </row>
    <row r="40" spans="1:10" x14ac:dyDescent="0.25">
      <c r="A40" s="155"/>
      <c r="B40" s="123" t="s">
        <v>94</v>
      </c>
      <c r="C40" s="151">
        <v>89.427000000000007</v>
      </c>
      <c r="D40" s="151">
        <v>478.47800000000001</v>
      </c>
      <c r="E40" s="151">
        <v>567.90499999999997</v>
      </c>
      <c r="F40" s="116">
        <v>6.1489705646749977</v>
      </c>
      <c r="G40" s="116">
        <v>32.899987004423316</v>
      </c>
      <c r="H40" s="116">
        <v>39.048957569098306</v>
      </c>
      <c r="I40" s="152"/>
    </row>
    <row r="41" spans="1:10" ht="18.75" customHeight="1" x14ac:dyDescent="0.25">
      <c r="A41" s="155"/>
      <c r="B41" s="123" t="s">
        <v>95</v>
      </c>
      <c r="C41" s="151">
        <v>90.268000000000001</v>
      </c>
      <c r="D41" s="151">
        <v>468.03100000000001</v>
      </c>
      <c r="E41" s="151">
        <v>558.29899999999998</v>
      </c>
      <c r="F41" s="116">
        <v>6.1460863194633104</v>
      </c>
      <c r="G41" s="116">
        <v>31.866873379101484</v>
      </c>
      <c r="H41" s="116">
        <v>38.012959698564792</v>
      </c>
      <c r="I41" s="152"/>
    </row>
    <row r="42" spans="1:10" x14ac:dyDescent="0.25">
      <c r="A42" s="155"/>
      <c r="B42" s="123" t="s">
        <v>96</v>
      </c>
      <c r="C42" s="151">
        <v>94.102999999999994</v>
      </c>
      <c r="D42" s="151">
        <v>472.23200000000003</v>
      </c>
      <c r="E42" s="151">
        <v>566.33500000000004</v>
      </c>
      <c r="F42" s="116">
        <v>6.3148280992168111</v>
      </c>
      <c r="G42" s="116">
        <v>31.689360625584239</v>
      </c>
      <c r="H42" s="116">
        <v>38.004188724801054</v>
      </c>
      <c r="I42" s="152"/>
    </row>
    <row r="43" spans="1:10" x14ac:dyDescent="0.25">
      <c r="A43" s="155"/>
      <c r="B43" s="123" t="s">
        <v>97</v>
      </c>
      <c r="C43" s="151">
        <v>96.537999999999997</v>
      </c>
      <c r="D43" s="151">
        <v>462.52100000000002</v>
      </c>
      <c r="E43" s="151">
        <v>559.05899999999997</v>
      </c>
      <c r="F43" s="116">
        <v>6.4154356426234589</v>
      </c>
      <c r="G43" s="116">
        <v>30.736846722138893</v>
      </c>
      <c r="H43" s="116">
        <v>37.15228236476235</v>
      </c>
      <c r="I43" s="152"/>
    </row>
    <row r="44" spans="1:10" x14ac:dyDescent="0.25">
      <c r="A44" s="155"/>
      <c r="B44" s="123" t="s">
        <v>98</v>
      </c>
      <c r="C44" s="151">
        <v>84.247</v>
      </c>
      <c r="D44" s="151">
        <v>448.68599999999998</v>
      </c>
      <c r="E44" s="151">
        <v>532.93299999999999</v>
      </c>
      <c r="F44" s="116">
        <v>5.5433790615333693</v>
      </c>
      <c r="G44" s="116">
        <v>29.523147145929961</v>
      </c>
      <c r="H44" s="116">
        <v>35.066526207463326</v>
      </c>
      <c r="I44" s="152"/>
    </row>
    <row r="45" spans="1:10" ht="18" customHeight="1" x14ac:dyDescent="0.25">
      <c r="A45" s="155"/>
      <c r="B45" s="123" t="s">
        <v>99</v>
      </c>
      <c r="C45" s="151">
        <v>86.509</v>
      </c>
      <c r="D45" s="151">
        <v>455.32400000000001</v>
      </c>
      <c r="E45" s="151">
        <v>541.83299999999997</v>
      </c>
      <c r="F45" s="116">
        <v>5.6338349204116369</v>
      </c>
      <c r="G45" s="116">
        <v>29.652640202770908</v>
      </c>
      <c r="H45" s="116">
        <v>35.286475123182541</v>
      </c>
      <c r="I45" s="152"/>
      <c r="J45" s="154"/>
    </row>
    <row r="46" spans="1:10" ht="15" customHeight="1" x14ac:dyDescent="0.25">
      <c r="A46" s="155"/>
      <c r="B46" s="123" t="s">
        <v>100</v>
      </c>
      <c r="C46" s="151">
        <v>91.674000000000007</v>
      </c>
      <c r="D46" s="151">
        <v>475.358</v>
      </c>
      <c r="E46" s="151">
        <v>567.03200000000004</v>
      </c>
      <c r="F46" s="116">
        <v>5.9016849357486674</v>
      </c>
      <c r="G46" s="116">
        <v>30.602058900970995</v>
      </c>
      <c r="H46" s="116">
        <v>36.503743836719664</v>
      </c>
      <c r="I46" s="152"/>
      <c r="J46" s="154"/>
    </row>
    <row r="47" spans="1:10" ht="15" customHeight="1" x14ac:dyDescent="0.25">
      <c r="A47" s="155"/>
      <c r="B47" s="123" t="s">
        <v>101</v>
      </c>
      <c r="C47" s="151">
        <v>96.897000000000006</v>
      </c>
      <c r="D47" s="151">
        <v>483.57400000000001</v>
      </c>
      <c r="E47" s="151">
        <v>580.471</v>
      </c>
      <c r="F47" s="116">
        <v>6.1513039073098676</v>
      </c>
      <c r="G47" s="116">
        <v>30.698686601994506</v>
      </c>
      <c r="H47" s="116">
        <v>36.849990509304376</v>
      </c>
      <c r="I47" s="152"/>
      <c r="J47" s="154"/>
    </row>
    <row r="48" spans="1:10" ht="15" customHeight="1" x14ac:dyDescent="0.25">
      <c r="A48" s="155"/>
      <c r="B48" s="123" t="s">
        <v>102</v>
      </c>
      <c r="C48" s="151">
        <v>97.117999999999995</v>
      </c>
      <c r="D48" s="151">
        <v>473.17200000000003</v>
      </c>
      <c r="E48" s="151">
        <v>570.29</v>
      </c>
      <c r="F48" s="116">
        <v>6.0189807558463455</v>
      </c>
      <c r="G48" s="116">
        <v>29.325286375392075</v>
      </c>
      <c r="H48" s="116">
        <v>35.344267131238418</v>
      </c>
      <c r="I48" s="152"/>
      <c r="J48" s="154"/>
    </row>
    <row r="49" spans="1:10" ht="18" customHeight="1" x14ac:dyDescent="0.25">
      <c r="A49" s="155"/>
      <c r="B49" s="123" t="s">
        <v>103</v>
      </c>
      <c r="C49" s="151">
        <v>97.49</v>
      </c>
      <c r="D49" s="151">
        <v>480.76600000000002</v>
      </c>
      <c r="E49" s="151">
        <v>578.25599999999997</v>
      </c>
      <c r="F49" s="116">
        <v>5.9158240556617816</v>
      </c>
      <c r="G49" s="116">
        <v>29.173526186729841</v>
      </c>
      <c r="H49" s="116">
        <v>35.089350242391617</v>
      </c>
      <c r="I49" s="152"/>
      <c r="J49" s="154"/>
    </row>
    <row r="50" spans="1:10" ht="15" customHeight="1" x14ac:dyDescent="0.25">
      <c r="A50" s="155"/>
      <c r="B50" s="123" t="s">
        <v>104</v>
      </c>
      <c r="C50" s="151">
        <v>103.586</v>
      </c>
      <c r="D50" s="151">
        <v>484.08800000000002</v>
      </c>
      <c r="E50" s="151">
        <v>587.67399999999998</v>
      </c>
      <c r="F50" s="116">
        <v>6.1381095385840618</v>
      </c>
      <c r="G50" s="116">
        <v>28.685200416215334</v>
      </c>
      <c r="H50" s="116">
        <v>34.823309954799392</v>
      </c>
      <c r="I50" s="152"/>
      <c r="J50" s="154"/>
    </row>
    <row r="51" spans="1:10" ht="15" customHeight="1" x14ac:dyDescent="0.25">
      <c r="A51" s="155"/>
      <c r="B51" s="123" t="s">
        <v>105</v>
      </c>
      <c r="C51" s="151">
        <v>123.43899999999999</v>
      </c>
      <c r="D51" s="151">
        <v>496.45299999999997</v>
      </c>
      <c r="E51" s="151">
        <v>619.89200000000005</v>
      </c>
      <c r="F51" s="116">
        <v>7.1711075918849163</v>
      </c>
      <c r="G51" s="116">
        <v>28.841110810311509</v>
      </c>
      <c r="H51" s="116">
        <v>36.012218402196424</v>
      </c>
      <c r="I51" s="152"/>
      <c r="J51" s="154"/>
    </row>
    <row r="52" spans="1:10" ht="15" customHeight="1" x14ac:dyDescent="0.25">
      <c r="A52" s="155"/>
      <c r="B52" s="123" t="s">
        <v>106</v>
      </c>
      <c r="C52" s="151">
        <v>121.598</v>
      </c>
      <c r="D52" s="151">
        <v>498.404</v>
      </c>
      <c r="E52" s="151">
        <v>620.00199999999995</v>
      </c>
      <c r="F52" s="116">
        <v>6.9877884090451978</v>
      </c>
      <c r="G52" s="116">
        <v>28.641438956411807</v>
      </c>
      <c r="H52" s="116">
        <v>35.629227365456998</v>
      </c>
      <c r="I52" s="152"/>
      <c r="J52" s="154"/>
    </row>
    <row r="53" spans="1:10" ht="18" customHeight="1" x14ac:dyDescent="0.25">
      <c r="A53" s="155"/>
      <c r="B53" s="123" t="s">
        <v>107</v>
      </c>
      <c r="C53" s="151">
        <v>130.203</v>
      </c>
      <c r="D53" s="151">
        <v>501.51499999999999</v>
      </c>
      <c r="E53" s="151">
        <v>631.71799999999996</v>
      </c>
      <c r="F53" s="116">
        <v>7.361183822955736</v>
      </c>
      <c r="G53" s="116">
        <v>28.353756096016568</v>
      </c>
      <c r="H53" s="116">
        <v>35.714939918972306</v>
      </c>
      <c r="I53" s="152"/>
      <c r="J53" s="154"/>
    </row>
    <row r="54" spans="1:10" ht="15" customHeight="1" x14ac:dyDescent="0.25">
      <c r="A54" s="155"/>
      <c r="B54" s="123" t="s">
        <v>108</v>
      </c>
      <c r="C54" s="151">
        <v>137.27699999999999</v>
      </c>
      <c r="D54" s="151">
        <v>503.31099999999998</v>
      </c>
      <c r="E54" s="151">
        <v>640.58799999999997</v>
      </c>
      <c r="F54" s="116">
        <v>7.6594142049306324</v>
      </c>
      <c r="G54" s="116">
        <v>28.082398529235352</v>
      </c>
      <c r="H54" s="116">
        <v>35.741812734165983</v>
      </c>
      <c r="I54" s="152"/>
      <c r="J54" s="154"/>
    </row>
    <row r="55" spans="1:10" ht="15" customHeight="1" x14ac:dyDescent="0.25">
      <c r="A55" s="155"/>
      <c r="B55" s="123" t="s">
        <v>109</v>
      </c>
      <c r="C55" s="151">
        <v>142.21899999999999</v>
      </c>
      <c r="D55" s="151">
        <v>509.57900000000001</v>
      </c>
      <c r="E55" s="151">
        <v>651.798</v>
      </c>
      <c r="F55" s="116">
        <v>7.7957608128434179</v>
      </c>
      <c r="G55" s="116">
        <v>27.932667219203733</v>
      </c>
      <c r="H55" s="116">
        <v>35.728428032047148</v>
      </c>
      <c r="I55" s="152"/>
      <c r="J55" s="154"/>
    </row>
    <row r="56" spans="1:10" ht="15" customHeight="1" x14ac:dyDescent="0.25">
      <c r="A56" s="155"/>
      <c r="B56" s="123" t="s">
        <v>110</v>
      </c>
      <c r="C56" s="151">
        <v>143.13999999999999</v>
      </c>
      <c r="D56" s="151">
        <v>506.048</v>
      </c>
      <c r="E56" s="151">
        <v>649.18799999999999</v>
      </c>
      <c r="F56" s="116">
        <v>7.6822219944259054</v>
      </c>
      <c r="G56" s="116">
        <v>27.159236243085381</v>
      </c>
      <c r="H56" s="116">
        <v>34.841458237511283</v>
      </c>
      <c r="I56" s="152"/>
      <c r="J56" s="154"/>
    </row>
    <row r="57" spans="1:10" ht="18" customHeight="1" x14ac:dyDescent="0.25">
      <c r="A57" s="155"/>
      <c r="B57" s="123" t="s">
        <v>111</v>
      </c>
      <c r="C57" s="151">
        <v>146.065</v>
      </c>
      <c r="D57" s="151">
        <v>510.13600000000002</v>
      </c>
      <c r="E57" s="151">
        <v>656.20100000000002</v>
      </c>
      <c r="F57" s="116">
        <v>7.7211045992547689</v>
      </c>
      <c r="G57" s="116">
        <v>26.96616859511472</v>
      </c>
      <c r="H57" s="116">
        <v>34.687273194369489</v>
      </c>
      <c r="I57" s="152"/>
      <c r="J57" s="154"/>
    </row>
    <row r="58" spans="1:10" ht="15" customHeight="1" x14ac:dyDescent="0.25">
      <c r="A58" s="155"/>
      <c r="B58" s="123" t="s">
        <v>112</v>
      </c>
      <c r="C58" s="151">
        <v>153.12</v>
      </c>
      <c r="D58" s="151">
        <v>506.86</v>
      </c>
      <c r="E58" s="151">
        <v>659.98</v>
      </c>
      <c r="F58" s="116">
        <v>7.9865513818684635</v>
      </c>
      <c r="G58" s="116">
        <v>26.43719588175189</v>
      </c>
      <c r="H58" s="116">
        <v>34.423747263620349</v>
      </c>
      <c r="I58" s="152"/>
      <c r="J58" s="154"/>
    </row>
    <row r="59" spans="1:10" ht="15" customHeight="1" x14ac:dyDescent="0.25">
      <c r="A59" s="155"/>
      <c r="B59" s="123" t="s">
        <v>113</v>
      </c>
      <c r="C59" s="151">
        <v>157.79400000000001</v>
      </c>
      <c r="D59" s="151">
        <v>505.09300000000002</v>
      </c>
      <c r="E59" s="151">
        <v>662.88699999999994</v>
      </c>
      <c r="F59" s="116">
        <v>8.1635672730941256</v>
      </c>
      <c r="G59" s="116">
        <v>26.131289432227661</v>
      </c>
      <c r="H59" s="116">
        <v>34.294856705321777</v>
      </c>
      <c r="I59" s="152"/>
      <c r="J59" s="154"/>
    </row>
    <row r="60" spans="1:10" ht="15" customHeight="1" x14ac:dyDescent="0.25">
      <c r="A60" s="155"/>
      <c r="B60" s="123" t="s">
        <v>114</v>
      </c>
      <c r="C60" s="151">
        <v>157.95599999999999</v>
      </c>
      <c r="D60" s="151">
        <v>515.577</v>
      </c>
      <c r="E60" s="151">
        <v>673.53300000000002</v>
      </c>
      <c r="F60" s="116">
        <v>8.1179048121235109</v>
      </c>
      <c r="G60" s="116">
        <v>26.49728411279219</v>
      </c>
      <c r="H60" s="116">
        <v>34.615188924915699</v>
      </c>
      <c r="I60" s="152"/>
      <c r="J60" s="154"/>
    </row>
    <row r="61" spans="1:10" ht="18" customHeight="1" x14ac:dyDescent="0.25">
      <c r="A61" s="155"/>
      <c r="B61" s="123" t="s">
        <v>115</v>
      </c>
      <c r="C61" s="151">
        <v>153.92546658139796</v>
      </c>
      <c r="D61" s="151">
        <v>521.68007899999998</v>
      </c>
      <c r="E61" s="151">
        <v>659.56500000000005</v>
      </c>
      <c r="F61" s="116">
        <v>7.8727971876104998</v>
      </c>
      <c r="G61" s="116">
        <v>26.682273895279966</v>
      </c>
      <c r="H61" s="116">
        <v>33.734648283819816</v>
      </c>
      <c r="I61" s="152"/>
      <c r="J61" s="154"/>
    </row>
    <row r="62" spans="1:10" ht="14.25" customHeight="1" x14ac:dyDescent="0.25">
      <c r="A62" s="155"/>
      <c r="B62" s="123" t="s">
        <v>116</v>
      </c>
      <c r="C62" s="151">
        <v>159.58537121351657</v>
      </c>
      <c r="D62" s="151">
        <v>523.52392099999997</v>
      </c>
      <c r="E62" s="151">
        <v>683.10929299999998</v>
      </c>
      <c r="F62" s="116">
        <v>8.1146259006964172</v>
      </c>
      <c r="G62" s="116">
        <v>26.620239290585619</v>
      </c>
      <c r="H62" s="116">
        <v>34.73486523127329</v>
      </c>
      <c r="I62" s="152"/>
      <c r="J62" s="154"/>
    </row>
    <row r="63" spans="1:10" ht="14.25" customHeight="1" x14ac:dyDescent="0.25">
      <c r="A63" s="155"/>
      <c r="B63" s="123" t="s">
        <v>117</v>
      </c>
      <c r="C63" s="151">
        <v>165.24527584563518</v>
      </c>
      <c r="D63" s="151">
        <v>519.24640799999997</v>
      </c>
      <c r="E63" s="151">
        <v>684.49168399999996</v>
      </c>
      <c r="F63" s="116">
        <v>8.3498186251901565</v>
      </c>
      <c r="G63" s="116">
        <v>26.237441926216547</v>
      </c>
      <c r="H63" s="116">
        <v>34.58726055920674</v>
      </c>
      <c r="I63" s="152"/>
      <c r="J63" s="154"/>
    </row>
    <row r="64" spans="1:10" ht="14.25" customHeight="1" x14ac:dyDescent="0.25">
      <c r="A64" s="155"/>
      <c r="B64" s="123" t="s">
        <v>118</v>
      </c>
      <c r="C64" s="151">
        <v>170.90518047775382</v>
      </c>
      <c r="D64" s="151">
        <v>510.45284499999997</v>
      </c>
      <c r="E64" s="151">
        <v>681.358025</v>
      </c>
      <c r="F64" s="116">
        <v>8.5953702256993481</v>
      </c>
      <c r="G64" s="116">
        <v>25.672312408971333</v>
      </c>
      <c r="H64" s="116">
        <v>34.267682610642908</v>
      </c>
      <c r="I64" s="152"/>
      <c r="J64" s="154"/>
    </row>
    <row r="65" spans="1:10" ht="18" customHeight="1" x14ac:dyDescent="0.25">
      <c r="A65" s="155"/>
      <c r="B65" s="123" t="s">
        <v>119</v>
      </c>
      <c r="C65" s="151">
        <v>176.56508510987246</v>
      </c>
      <c r="D65" s="151">
        <v>497.02725599999997</v>
      </c>
      <c r="E65" s="151">
        <v>673.59234100000003</v>
      </c>
      <c r="F65" s="116">
        <v>8.8159698802951123</v>
      </c>
      <c r="G65" s="116">
        <v>24.816782524444438</v>
      </c>
      <c r="H65" s="116">
        <v>33.632752399253576</v>
      </c>
      <c r="I65" s="152"/>
      <c r="J65" s="154"/>
    </row>
    <row r="66" spans="1:10" ht="18" customHeight="1" x14ac:dyDescent="0.25">
      <c r="A66" s="155"/>
      <c r="B66" s="123" t="s">
        <v>120</v>
      </c>
      <c r="C66" s="151">
        <v>181.42356941917919</v>
      </c>
      <c r="D66" s="151">
        <v>484.70417499999996</v>
      </c>
      <c r="E66" s="151">
        <v>666.12774399999989</v>
      </c>
      <c r="F66" s="116">
        <v>8.9902540387767633</v>
      </c>
      <c r="G66" s="116">
        <v>24.019005253046483</v>
      </c>
      <c r="H66" s="116">
        <v>33.009259271051256</v>
      </c>
      <c r="I66" s="152"/>
      <c r="J66" s="154"/>
    </row>
    <row r="67" spans="1:10" ht="18" customHeight="1" x14ac:dyDescent="0.25">
      <c r="A67" s="155"/>
      <c r="B67" s="123" t="s">
        <v>121</v>
      </c>
      <c r="C67" s="151">
        <v>186.28205372848601</v>
      </c>
      <c r="D67" s="151">
        <v>474.015807</v>
      </c>
      <c r="E67" s="151">
        <v>660.29786000000001</v>
      </c>
      <c r="F67" s="116">
        <v>9.1491061597405974</v>
      </c>
      <c r="G67" s="116">
        <v>23.280937979990334</v>
      </c>
      <c r="H67" s="116">
        <v>32.430044103951879</v>
      </c>
      <c r="I67" s="152"/>
      <c r="J67" s="154"/>
    </row>
    <row r="68" spans="1:10" ht="18" customHeight="1" x14ac:dyDescent="0.25">
      <c r="A68" s="155"/>
      <c r="B68" s="123" t="s">
        <v>122</v>
      </c>
      <c r="C68" s="151">
        <v>191.14053803779282</v>
      </c>
      <c r="D68" s="151">
        <v>464.80508700000001</v>
      </c>
      <c r="E68" s="151">
        <v>655.94562499999995</v>
      </c>
      <c r="F68" s="116">
        <v>9.3080205783652872</v>
      </c>
      <c r="G68" s="116">
        <v>22.634734416565454</v>
      </c>
      <c r="H68" s="116">
        <v>31.942754993090333</v>
      </c>
      <c r="I68" s="152"/>
      <c r="J68" s="154"/>
    </row>
    <row r="69" spans="1:10" ht="18.75" customHeight="1" x14ac:dyDescent="0.25">
      <c r="A69" s="155"/>
      <c r="B69" s="123" t="s">
        <v>123</v>
      </c>
      <c r="C69" s="151">
        <v>195.99902234709953</v>
      </c>
      <c r="D69" s="151">
        <v>457.08375599999999</v>
      </c>
      <c r="E69" s="151">
        <v>653.08277800000008</v>
      </c>
      <c r="F69" s="116">
        <v>9.4691385934604</v>
      </c>
      <c r="G69" s="116">
        <v>22.082709304123664</v>
      </c>
      <c r="H69" s="116">
        <v>31.551847880814936</v>
      </c>
      <c r="I69" s="152"/>
      <c r="J69" s="154"/>
    </row>
    <row r="70" spans="1:10" x14ac:dyDescent="0.25">
      <c r="A70" s="155"/>
      <c r="B70" s="123" t="s">
        <v>124</v>
      </c>
      <c r="C70" s="151">
        <v>200.70950280907383</v>
      </c>
      <c r="D70" s="151">
        <v>450.55031099999997</v>
      </c>
      <c r="E70" s="151">
        <v>651.25981400000001</v>
      </c>
      <c r="F70" s="116">
        <v>9.6226316784620689</v>
      </c>
      <c r="G70" s="116">
        <v>21.60076944385483</v>
      </c>
      <c r="H70" s="116">
        <v>31.223401131470492</v>
      </c>
      <c r="I70" s="152"/>
    </row>
    <row r="71" spans="1:10" x14ac:dyDescent="0.25">
      <c r="A71" s="155"/>
      <c r="B71" s="123" t="s">
        <v>125</v>
      </c>
      <c r="C71" s="151">
        <v>205.41998327104818</v>
      </c>
      <c r="D71" s="151">
        <v>445.08900900000003</v>
      </c>
      <c r="E71" s="151">
        <v>650.50899199999992</v>
      </c>
      <c r="F71" s="116">
        <v>9.7740757776766571</v>
      </c>
      <c r="G71" s="116">
        <v>21.177753169402301</v>
      </c>
      <c r="H71" s="116">
        <v>30.951828934182231</v>
      </c>
      <c r="I71" s="152"/>
    </row>
    <row r="72" spans="1:10" x14ac:dyDescent="0.25">
      <c r="A72" s="155"/>
      <c r="B72" s="123" t="s">
        <v>126</v>
      </c>
      <c r="C72" s="151">
        <v>210.13046373302248</v>
      </c>
      <c r="D72" s="151">
        <v>440.54008199999998</v>
      </c>
      <c r="E72" s="151">
        <v>650.67054599999994</v>
      </c>
      <c r="F72" s="116">
        <v>9.9241596305191742</v>
      </c>
      <c r="G72" s="116">
        <v>20.806074567868279</v>
      </c>
      <c r="H72" s="116">
        <v>30.730234210996414</v>
      </c>
      <c r="I72" s="152"/>
    </row>
    <row r="73" spans="1:10" x14ac:dyDescent="0.25">
      <c r="A73" s="155"/>
      <c r="B73" s="123" t="s">
        <v>127</v>
      </c>
      <c r="C73" s="151">
        <v>214.84094419499678</v>
      </c>
      <c r="D73" s="151">
        <v>436.727509</v>
      </c>
      <c r="E73" s="151">
        <v>651.56845299999998</v>
      </c>
      <c r="F73" s="116">
        <v>10.074301591080099</v>
      </c>
      <c r="G73" s="116">
        <v>20.478985769089768</v>
      </c>
      <c r="H73" s="116">
        <v>30.5532873510261</v>
      </c>
      <c r="I73" s="152"/>
    </row>
    <row r="74" spans="1:10" x14ac:dyDescent="0.25">
      <c r="A74" s="155"/>
      <c r="B74" s="123" t="s">
        <v>128</v>
      </c>
      <c r="C74" s="151">
        <v>219.30946392395231</v>
      </c>
      <c r="D74" s="151">
        <v>433.42778299999998</v>
      </c>
      <c r="E74" s="151">
        <v>652.73724700000002</v>
      </c>
      <c r="F74" s="116">
        <v>10.21311499548912</v>
      </c>
      <c r="G74" s="116">
        <v>20.184481375386003</v>
      </c>
      <c r="H74" s="116">
        <v>30.397596374416626</v>
      </c>
      <c r="I74" s="152"/>
    </row>
    <row r="75" spans="1:10" x14ac:dyDescent="0.25">
      <c r="A75" s="155"/>
      <c r="B75" s="123" t="s">
        <v>129</v>
      </c>
      <c r="C75" s="151">
        <v>223.77798365290784</v>
      </c>
      <c r="D75" s="151">
        <v>430.67606900000004</v>
      </c>
      <c r="E75" s="151">
        <v>654.45405299999993</v>
      </c>
      <c r="F75" s="116">
        <v>10.350681350905203</v>
      </c>
      <c r="G75" s="116">
        <v>19.920595774934434</v>
      </c>
      <c r="H75" s="116">
        <v>30.271277141894114</v>
      </c>
      <c r="I75" s="152"/>
    </row>
    <row r="76" spans="1:10" x14ac:dyDescent="0.25">
      <c r="A76" s="155"/>
      <c r="B76" s="123" t="s">
        <v>130</v>
      </c>
      <c r="C76" s="151">
        <v>228.24650338186336</v>
      </c>
      <c r="D76" s="151">
        <v>428.47029399999997</v>
      </c>
      <c r="E76" s="151">
        <v>656.71679700000004</v>
      </c>
      <c r="F76" s="116">
        <v>10.485273680992238</v>
      </c>
      <c r="G76" s="116">
        <v>19.683229447983706</v>
      </c>
      <c r="H76" s="116">
        <v>30.168503111433768</v>
      </c>
      <c r="I76" s="152"/>
    </row>
    <row r="77" spans="1:10" x14ac:dyDescent="0.25">
      <c r="A77" s="155"/>
      <c r="B77" s="47" t="s">
        <v>131</v>
      </c>
      <c r="C77" s="151">
        <v>232.71502311081892</v>
      </c>
      <c r="D77" s="151">
        <v>427.03764799999999</v>
      </c>
      <c r="E77" s="151">
        <v>659.75267099999996</v>
      </c>
      <c r="F77" s="116">
        <v>10.613766351953458</v>
      </c>
      <c r="G77" s="116">
        <v>19.476515777846359</v>
      </c>
      <c r="H77" s="116">
        <v>30.090282124745542</v>
      </c>
      <c r="I77" s="152"/>
    </row>
    <row r="78" spans="1:10" x14ac:dyDescent="0.25">
      <c r="A78" s="155"/>
      <c r="B78" s="47" t="s">
        <v>132</v>
      </c>
      <c r="C78" s="151">
        <v>237.37859616112092</v>
      </c>
      <c r="D78" s="151">
        <v>426.47165999999999</v>
      </c>
      <c r="E78" s="151">
        <v>663.85025600000006</v>
      </c>
      <c r="F78" s="116">
        <v>10.743691609463642</v>
      </c>
      <c r="G78" s="116">
        <v>19.301992973730776</v>
      </c>
      <c r="H78" s="116">
        <v>30.045684575902133</v>
      </c>
      <c r="I78" s="152"/>
    </row>
    <row r="79" spans="1:10" x14ac:dyDescent="0.25">
      <c r="A79" s="155"/>
      <c r="B79" s="47" t="s">
        <v>133</v>
      </c>
      <c r="C79" s="151">
        <v>242.04216921142279</v>
      </c>
      <c r="D79" s="151">
        <v>426.77013199999999</v>
      </c>
      <c r="E79" s="151">
        <v>668.81230200000005</v>
      </c>
      <c r="F79" s="116">
        <v>10.867895968968178</v>
      </c>
      <c r="G79" s="116">
        <v>19.162336101803245</v>
      </c>
      <c r="H79" s="116">
        <v>30.030232106179199</v>
      </c>
      <c r="I79" s="152"/>
    </row>
    <row r="80" spans="1:10" x14ac:dyDescent="0.25">
      <c r="A80" s="155"/>
      <c r="B80" s="47" t="s">
        <v>134</v>
      </c>
      <c r="C80" s="151">
        <v>246.70574226172471</v>
      </c>
      <c r="D80" s="151">
        <v>427.76628199999999</v>
      </c>
      <c r="E80" s="151">
        <v>674.47202399999992</v>
      </c>
      <c r="F80" s="116">
        <v>10.987905228002264</v>
      </c>
      <c r="G80" s="116">
        <v>19.05207119729095</v>
      </c>
      <c r="H80" s="116">
        <v>30.039976413636381</v>
      </c>
      <c r="I80" s="152"/>
    </row>
    <row r="81" spans="1:9" x14ac:dyDescent="0.25">
      <c r="A81" s="155"/>
      <c r="B81" s="47" t="s">
        <v>135</v>
      </c>
      <c r="C81" s="151">
        <v>251.3693153120266</v>
      </c>
      <c r="D81" s="151">
        <v>429.13509199999999</v>
      </c>
      <c r="E81" s="151">
        <v>680.50440800000001</v>
      </c>
      <c r="F81" s="116">
        <v>11.107359643029874</v>
      </c>
      <c r="G81" s="116">
        <v>18.962369358296371</v>
      </c>
      <c r="H81" s="116">
        <v>30.069729031726013</v>
      </c>
      <c r="I81" s="152"/>
    </row>
    <row r="82" spans="1:9" x14ac:dyDescent="0.25">
      <c r="A82" s="155"/>
      <c r="B82" s="47" t="s">
        <v>645</v>
      </c>
      <c r="C82" s="151">
        <v>256.12104566825946</v>
      </c>
      <c r="D82" s="151">
        <v>430.73139500000002</v>
      </c>
      <c r="E82" s="151">
        <v>686.852441</v>
      </c>
      <c r="F82" s="116">
        <v>11.232472129513129</v>
      </c>
      <c r="G82" s="116">
        <v>18.890202392467415</v>
      </c>
      <c r="H82" s="116">
        <v>30.122674536529388</v>
      </c>
      <c r="I82" s="152"/>
    </row>
    <row r="83" spans="1:9" x14ac:dyDescent="0.25">
      <c r="A83" s="155"/>
      <c r="B83" s="47" t="s">
        <v>646</v>
      </c>
      <c r="C83" s="151">
        <v>260.96259980171158</v>
      </c>
      <c r="D83" s="151">
        <v>432.37053700000001</v>
      </c>
      <c r="E83" s="151">
        <v>693.33313699999997</v>
      </c>
      <c r="F83" s="116">
        <v>11.36318215842322</v>
      </c>
      <c r="G83" s="116">
        <v>18.826855555544796</v>
      </c>
      <c r="H83" s="116">
        <v>30.190037722602153</v>
      </c>
      <c r="I83" s="152"/>
    </row>
    <row r="84" spans="1:9" x14ac:dyDescent="0.25">
      <c r="A84" s="155"/>
      <c r="B84" s="47" t="s">
        <v>647</v>
      </c>
      <c r="C84" s="151">
        <v>265.89567568561569</v>
      </c>
      <c r="D84" s="151">
        <v>433.92872499999999</v>
      </c>
      <c r="E84" s="151">
        <v>699.82440099999997</v>
      </c>
      <c r="F84" s="116">
        <v>11.497904900444116</v>
      </c>
      <c r="G84" s="116">
        <v>18.764017883164371</v>
      </c>
      <c r="H84" s="116">
        <v>30.261922797203145</v>
      </c>
      <c r="I84" s="152"/>
    </row>
    <row r="85" spans="1:9" x14ac:dyDescent="0.25">
      <c r="A85" s="155"/>
      <c r="B85" s="47" t="s">
        <v>648</v>
      </c>
      <c r="C85" s="151">
        <v>270.92200339064226</v>
      </c>
      <c r="D85" s="151">
        <v>435.27774200000005</v>
      </c>
      <c r="E85" s="151">
        <v>706.19974500000001</v>
      </c>
      <c r="F85" s="116">
        <v>11.634942381485041</v>
      </c>
      <c r="G85" s="116">
        <v>18.693319053936388</v>
      </c>
      <c r="H85" s="116">
        <v>30.328261418645013</v>
      </c>
      <c r="I85" s="152"/>
    </row>
    <row r="86" spans="1:9" x14ac:dyDescent="0.25">
      <c r="A86" s="155"/>
      <c r="B86" s="128">
        <v>2012</v>
      </c>
      <c r="C86" s="242">
        <f ca="1">OFFSET(C$8,4*(ROW()-ROW(C$86)),0)</f>
        <v>44.195</v>
      </c>
      <c r="D86" s="242">
        <f t="shared" ref="D86:H103" ca="1" si="0">OFFSET(D$8,4*(ROW()-ROW(D$86)),0)</f>
        <v>391.64</v>
      </c>
      <c r="E86" s="242">
        <f t="shared" ca="1" si="0"/>
        <v>435.83499999999998</v>
      </c>
      <c r="F86" s="330">
        <f t="shared" ca="1" si="0"/>
        <v>3.9110031088027881</v>
      </c>
      <c r="G86" s="330">
        <f t="shared" ca="1" si="0"/>
        <v>34.657885677826087</v>
      </c>
      <c r="H86" s="330">
        <f t="shared" ca="1" si="0"/>
        <v>38.568888786628868</v>
      </c>
      <c r="I86" s="152"/>
    </row>
    <row r="87" spans="1:9" x14ac:dyDescent="0.25">
      <c r="A87" s="155"/>
      <c r="B87" s="8">
        <v>2013</v>
      </c>
      <c r="C87" s="151">
        <f t="shared" ref="C87:H104" ca="1" si="1">OFFSET(C$8,4*(ROW()-ROW(C$86)),0)</f>
        <v>49.14</v>
      </c>
      <c r="D87" s="151">
        <f t="shared" ca="1" si="0"/>
        <v>397.68400000000003</v>
      </c>
      <c r="E87" s="151">
        <f t="shared" ca="1" si="0"/>
        <v>446.82400000000001</v>
      </c>
      <c r="F87" s="116">
        <f t="shared" ca="1" si="0"/>
        <v>4.1787952926049616</v>
      </c>
      <c r="G87" s="116">
        <f t="shared" ca="1" si="0"/>
        <v>33.818478370865115</v>
      </c>
      <c r="H87" s="116">
        <f t="shared" ca="1" si="0"/>
        <v>37.997273663470068</v>
      </c>
      <c r="I87" s="152"/>
    </row>
    <row r="88" spans="1:9" x14ac:dyDescent="0.25">
      <c r="A88" s="155"/>
      <c r="B88" s="8">
        <v>2014</v>
      </c>
      <c r="C88" s="151">
        <f t="shared" ca="1" si="1"/>
        <v>54.798999999999999</v>
      </c>
      <c r="D88" s="151">
        <f t="shared" ca="1" si="0"/>
        <v>419.38900000000001</v>
      </c>
      <c r="E88" s="151">
        <f t="shared" ca="1" si="0"/>
        <v>474.18799999999999</v>
      </c>
      <c r="F88" s="116">
        <f t="shared" ca="1" si="0"/>
        <v>4.4994995447047392</v>
      </c>
      <c r="G88" s="116">
        <f t="shared" ca="1" si="0"/>
        <v>34.435676099092611</v>
      </c>
      <c r="H88" s="116">
        <f t="shared" ca="1" si="0"/>
        <v>38.935175643797351</v>
      </c>
      <c r="I88" s="152"/>
    </row>
    <row r="89" spans="1:9" x14ac:dyDescent="0.25">
      <c r="A89" s="155"/>
      <c r="B89" s="8">
        <v>2015</v>
      </c>
      <c r="C89" s="151">
        <f t="shared" ca="1" si="1"/>
        <v>60.63</v>
      </c>
      <c r="D89" s="151">
        <f t="shared" ca="1" si="0"/>
        <v>432.85899999999998</v>
      </c>
      <c r="E89" s="151">
        <f t="shared" ca="1" si="0"/>
        <v>493.48899999999998</v>
      </c>
      <c r="F89" s="116">
        <f t="shared" ca="1" si="0"/>
        <v>4.7105311409383459</v>
      </c>
      <c r="G89" s="116">
        <f t="shared" ca="1" si="0"/>
        <v>33.630146777757403</v>
      </c>
      <c r="H89" s="116">
        <f t="shared" ca="1" si="0"/>
        <v>38.340677918695746</v>
      </c>
      <c r="I89" s="152"/>
    </row>
    <row r="90" spans="1:9" x14ac:dyDescent="0.25">
      <c r="A90" s="155"/>
      <c r="B90" s="8">
        <v>2016</v>
      </c>
      <c r="C90" s="151">
        <f t="shared" ca="1" si="1"/>
        <v>66.701999999999998</v>
      </c>
      <c r="D90" s="151">
        <f t="shared" ca="1" si="0"/>
        <v>454.79</v>
      </c>
      <c r="E90" s="151">
        <f t="shared" ca="1" si="0"/>
        <v>521.49199999999996</v>
      </c>
      <c r="F90" s="116">
        <f t="shared" ca="1" si="0"/>
        <v>5.0811551168440179</v>
      </c>
      <c r="G90" s="116">
        <f t="shared" ca="1" si="0"/>
        <v>34.644516440129102</v>
      </c>
      <c r="H90" s="116">
        <f t="shared" ca="1" si="0"/>
        <v>39.725671556973111</v>
      </c>
      <c r="I90" s="152"/>
    </row>
    <row r="91" spans="1:9" x14ac:dyDescent="0.25">
      <c r="A91" s="155"/>
      <c r="B91" s="8">
        <v>2017</v>
      </c>
      <c r="C91" s="151">
        <f t="shared" ca="1" si="1"/>
        <v>71.322999999999993</v>
      </c>
      <c r="D91" s="151">
        <f t="shared" ca="1" si="0"/>
        <v>468.51</v>
      </c>
      <c r="E91" s="151">
        <f t="shared" ca="1" si="0"/>
        <v>539.83299999999997</v>
      </c>
      <c r="F91" s="116">
        <f t="shared" ca="1" si="0"/>
        <v>5.2895522388059693</v>
      </c>
      <c r="G91" s="116">
        <f t="shared" ca="1" si="0"/>
        <v>34.746268656716417</v>
      </c>
      <c r="H91" s="116">
        <f t="shared" ca="1" si="0"/>
        <v>40.035820895522384</v>
      </c>
      <c r="I91" s="152"/>
    </row>
    <row r="92" spans="1:9" x14ac:dyDescent="0.25">
      <c r="A92" s="155"/>
      <c r="B92" s="8">
        <v>2018</v>
      </c>
      <c r="C92" s="151">
        <f t="shared" ca="1" si="1"/>
        <v>74.033000000000001</v>
      </c>
      <c r="D92" s="151">
        <f t="shared" ca="1" si="0"/>
        <v>474.904</v>
      </c>
      <c r="E92" s="151">
        <f t="shared" ca="1" si="0"/>
        <v>548.93700000000001</v>
      </c>
      <c r="F92" s="116">
        <f t="shared" ca="1" si="0"/>
        <v>5.2782162448114729</v>
      </c>
      <c r="G92" s="116">
        <f t="shared" ca="1" si="0"/>
        <v>33.858495637431254</v>
      </c>
      <c r="H92" s="116">
        <f t="shared" ca="1" si="0"/>
        <v>39.136711882242722</v>
      </c>
      <c r="I92" s="152"/>
    </row>
    <row r="93" spans="1:9" x14ac:dyDescent="0.25">
      <c r="A93" s="155"/>
      <c r="B93" s="8">
        <v>2019</v>
      </c>
      <c r="C93" s="151">
        <f t="shared" ca="1" si="1"/>
        <v>86.138999999999996</v>
      </c>
      <c r="D93" s="151">
        <f t="shared" ca="1" si="0"/>
        <v>470.52100000000002</v>
      </c>
      <c r="E93" s="151">
        <f t="shared" ca="1" si="0"/>
        <v>556.66</v>
      </c>
      <c r="F93" s="116">
        <f t="shared" ca="1" si="0"/>
        <v>5.9139467505183516</v>
      </c>
      <c r="G93" s="116">
        <f t="shared" ca="1" si="0"/>
        <v>32.304021860024449</v>
      </c>
      <c r="H93" s="116">
        <f t="shared" ca="1" si="0"/>
        <v>38.21796861054279</v>
      </c>
      <c r="I93" s="152"/>
    </row>
    <row r="94" spans="1:9" x14ac:dyDescent="0.25">
      <c r="A94" s="155"/>
      <c r="B94" s="8">
        <v>2020</v>
      </c>
      <c r="C94" s="151">
        <f t="shared" ca="1" si="1"/>
        <v>89.427000000000007</v>
      </c>
      <c r="D94" s="151">
        <f t="shared" ca="1" si="0"/>
        <v>478.47800000000001</v>
      </c>
      <c r="E94" s="151">
        <f t="shared" ca="1" si="0"/>
        <v>567.90499999999997</v>
      </c>
      <c r="F94" s="116">
        <f t="shared" ca="1" si="0"/>
        <v>6.1489705646749977</v>
      </c>
      <c r="G94" s="116">
        <f t="shared" ca="1" si="0"/>
        <v>32.899987004423316</v>
      </c>
      <c r="H94" s="116">
        <f t="shared" ca="1" si="0"/>
        <v>39.048957569098306</v>
      </c>
      <c r="I94" s="152"/>
    </row>
    <row r="95" spans="1:9" x14ac:dyDescent="0.25">
      <c r="A95" s="155"/>
      <c r="B95" s="8">
        <v>2021</v>
      </c>
      <c r="C95" s="151">
        <f t="shared" ca="1" si="1"/>
        <v>84.247</v>
      </c>
      <c r="D95" s="151">
        <f t="shared" ca="1" si="0"/>
        <v>448.68599999999998</v>
      </c>
      <c r="E95" s="151">
        <f t="shared" ca="1" si="0"/>
        <v>532.93299999999999</v>
      </c>
      <c r="F95" s="116">
        <f t="shared" ca="1" si="0"/>
        <v>5.5433790615333693</v>
      </c>
      <c r="G95" s="116">
        <f t="shared" ca="1" si="0"/>
        <v>29.523147145929961</v>
      </c>
      <c r="H95" s="116">
        <f t="shared" ca="1" si="0"/>
        <v>35.066526207463326</v>
      </c>
      <c r="I95" s="152"/>
    </row>
    <row r="96" spans="1:9" x14ac:dyDescent="0.25">
      <c r="A96" s="155"/>
      <c r="B96" s="8">
        <v>2022</v>
      </c>
      <c r="C96" s="151">
        <f t="shared" ca="1" si="1"/>
        <v>97.117999999999995</v>
      </c>
      <c r="D96" s="151">
        <f t="shared" ca="1" si="0"/>
        <v>473.17200000000003</v>
      </c>
      <c r="E96" s="151">
        <f t="shared" ca="1" si="0"/>
        <v>570.29</v>
      </c>
      <c r="F96" s="116">
        <f t="shared" ca="1" si="0"/>
        <v>6.0189807558463455</v>
      </c>
      <c r="G96" s="116">
        <f t="shared" ca="1" si="0"/>
        <v>29.325286375392075</v>
      </c>
      <c r="H96" s="116">
        <f t="shared" ca="1" si="0"/>
        <v>35.344267131238418</v>
      </c>
      <c r="I96" s="152"/>
    </row>
    <row r="97" spans="1:9" x14ac:dyDescent="0.25">
      <c r="A97" s="155"/>
      <c r="B97" s="8">
        <v>2023</v>
      </c>
      <c r="C97" s="151">
        <f t="shared" ca="1" si="1"/>
        <v>121.598</v>
      </c>
      <c r="D97" s="151">
        <f t="shared" ca="1" si="0"/>
        <v>498.404</v>
      </c>
      <c r="E97" s="151">
        <f t="shared" ca="1" si="0"/>
        <v>620.00199999999995</v>
      </c>
      <c r="F97" s="116">
        <f t="shared" ca="1" si="0"/>
        <v>6.9877884090451978</v>
      </c>
      <c r="G97" s="116">
        <f t="shared" ca="1" si="0"/>
        <v>28.641438956411807</v>
      </c>
      <c r="H97" s="116">
        <f t="shared" ca="1" si="0"/>
        <v>35.629227365456998</v>
      </c>
      <c r="I97" s="152"/>
    </row>
    <row r="98" spans="1:9" x14ac:dyDescent="0.25">
      <c r="A98" s="155"/>
      <c r="B98" s="8">
        <v>2024</v>
      </c>
      <c r="C98" s="151">
        <f t="shared" ca="1" si="1"/>
        <v>143.13999999999999</v>
      </c>
      <c r="D98" s="151">
        <f t="shared" ca="1" si="0"/>
        <v>506.048</v>
      </c>
      <c r="E98" s="151">
        <f t="shared" ca="1" si="0"/>
        <v>649.18799999999999</v>
      </c>
      <c r="F98" s="116">
        <f t="shared" ca="1" si="0"/>
        <v>7.6822219944259054</v>
      </c>
      <c r="G98" s="116">
        <f t="shared" ca="1" si="0"/>
        <v>27.159236243085381</v>
      </c>
      <c r="H98" s="116">
        <f t="shared" ca="1" si="0"/>
        <v>34.841458237511283</v>
      </c>
      <c r="I98" s="152"/>
    </row>
    <row r="99" spans="1:9" x14ac:dyDescent="0.25">
      <c r="A99" s="155"/>
      <c r="B99" s="8">
        <v>2025</v>
      </c>
      <c r="C99" s="151">
        <f t="shared" ca="1" si="1"/>
        <v>157.95599999999999</v>
      </c>
      <c r="D99" s="151">
        <f t="shared" ca="1" si="0"/>
        <v>515.577</v>
      </c>
      <c r="E99" s="151">
        <f t="shared" ca="1" si="0"/>
        <v>673.53300000000002</v>
      </c>
      <c r="F99" s="116">
        <f t="shared" ca="1" si="0"/>
        <v>8.1179048121235109</v>
      </c>
      <c r="G99" s="116">
        <f t="shared" ca="1" si="0"/>
        <v>26.49728411279219</v>
      </c>
      <c r="H99" s="116">
        <f t="shared" ca="1" si="0"/>
        <v>34.615188924915699</v>
      </c>
      <c r="I99" s="152"/>
    </row>
    <row r="100" spans="1:9" x14ac:dyDescent="0.25">
      <c r="A100" s="155"/>
      <c r="B100" s="8">
        <v>2026</v>
      </c>
      <c r="C100" s="151">
        <f t="shared" ca="1" si="1"/>
        <v>170.90518047775382</v>
      </c>
      <c r="D100" s="151">
        <f t="shared" ca="1" si="0"/>
        <v>510.45284499999997</v>
      </c>
      <c r="E100" s="151">
        <f t="shared" ca="1" si="0"/>
        <v>681.358025</v>
      </c>
      <c r="F100" s="116">
        <f t="shared" ca="1" si="0"/>
        <v>8.5953702256993481</v>
      </c>
      <c r="G100" s="116">
        <f t="shared" ca="1" si="0"/>
        <v>25.672312408971333</v>
      </c>
      <c r="H100" s="116">
        <f t="shared" ca="1" si="0"/>
        <v>34.267682610642908</v>
      </c>
      <c r="I100" s="152"/>
    </row>
    <row r="101" spans="1:9" x14ac:dyDescent="0.25">
      <c r="A101" s="155"/>
      <c r="B101" s="8">
        <v>2027</v>
      </c>
      <c r="C101" s="151">
        <f t="shared" ca="1" si="1"/>
        <v>191.14053803779282</v>
      </c>
      <c r="D101" s="151">
        <f t="shared" ca="1" si="0"/>
        <v>464.80508700000001</v>
      </c>
      <c r="E101" s="151">
        <f t="shared" ca="1" si="0"/>
        <v>655.94562499999995</v>
      </c>
      <c r="F101" s="116">
        <f t="shared" ca="1" si="0"/>
        <v>9.3080205783652872</v>
      </c>
      <c r="G101" s="116">
        <f t="shared" ca="1" si="0"/>
        <v>22.634734416565454</v>
      </c>
      <c r="H101" s="116">
        <f t="shared" ca="1" si="0"/>
        <v>31.942754993090333</v>
      </c>
      <c r="I101" s="152"/>
    </row>
    <row r="102" spans="1:9" x14ac:dyDescent="0.25">
      <c r="A102" s="155"/>
      <c r="B102" s="8">
        <v>2028</v>
      </c>
      <c r="C102" s="151">
        <f t="shared" ca="1" si="1"/>
        <v>210.13046373302248</v>
      </c>
      <c r="D102" s="151">
        <f t="shared" ca="1" si="0"/>
        <v>440.54008199999998</v>
      </c>
      <c r="E102" s="151">
        <f t="shared" ca="1" si="0"/>
        <v>650.67054599999994</v>
      </c>
      <c r="F102" s="116">
        <f t="shared" ca="1" si="0"/>
        <v>9.9241596305191742</v>
      </c>
      <c r="G102" s="116">
        <f t="shared" ca="1" si="0"/>
        <v>20.806074567868279</v>
      </c>
      <c r="H102" s="116">
        <f t="shared" ca="1" si="0"/>
        <v>30.730234210996414</v>
      </c>
      <c r="I102" s="152"/>
    </row>
    <row r="103" spans="1:9" x14ac:dyDescent="0.25">
      <c r="A103" s="155"/>
      <c r="B103" s="8">
        <v>2029</v>
      </c>
      <c r="C103" s="151">
        <f t="shared" ca="1" si="1"/>
        <v>228.24650338186336</v>
      </c>
      <c r="D103" s="151">
        <f t="shared" ca="1" si="0"/>
        <v>428.47029399999997</v>
      </c>
      <c r="E103" s="151">
        <f t="shared" ca="1" si="0"/>
        <v>656.71679700000004</v>
      </c>
      <c r="F103" s="116">
        <f t="shared" ca="1" si="0"/>
        <v>10.485273680992238</v>
      </c>
      <c r="G103" s="116">
        <f t="shared" ca="1" si="0"/>
        <v>19.683229447983706</v>
      </c>
      <c r="H103" s="116">
        <f t="shared" ca="1" si="0"/>
        <v>30.168503111433768</v>
      </c>
      <c r="I103" s="152"/>
    </row>
    <row r="104" spans="1:9" x14ac:dyDescent="0.25">
      <c r="A104" s="328"/>
      <c r="B104" s="8">
        <v>2030</v>
      </c>
      <c r="C104" s="151">
        <f t="shared" ca="1" si="1"/>
        <v>246.70574226172471</v>
      </c>
      <c r="D104" s="151">
        <f t="shared" ca="1" si="1"/>
        <v>427.76628199999999</v>
      </c>
      <c r="E104" s="151">
        <f t="shared" ca="1" si="1"/>
        <v>674.47202399999992</v>
      </c>
      <c r="F104" s="116">
        <f t="shared" ca="1" si="1"/>
        <v>10.987905228002264</v>
      </c>
      <c r="G104" s="116">
        <f t="shared" ca="1" si="1"/>
        <v>19.05207119729095</v>
      </c>
      <c r="H104" s="116">
        <f t="shared" ca="1" si="1"/>
        <v>30.039976413636381</v>
      </c>
      <c r="I104" s="152"/>
    </row>
    <row r="105" spans="1:9" x14ac:dyDescent="0.25">
      <c r="A105" s="328"/>
      <c r="B105" s="8">
        <v>2031</v>
      </c>
      <c r="C105" s="151">
        <f t="shared" ref="C105:H105" ca="1" si="2">OFFSET(C$8,4*(ROW()-ROW(C$86)),0)</f>
        <v>265.89567568561569</v>
      </c>
      <c r="D105" s="151">
        <f t="shared" ca="1" si="2"/>
        <v>433.92872499999999</v>
      </c>
      <c r="E105" s="151">
        <f t="shared" ca="1" si="2"/>
        <v>699.82440099999997</v>
      </c>
      <c r="F105" s="116">
        <f t="shared" ca="1" si="2"/>
        <v>11.497904900444116</v>
      </c>
      <c r="G105" s="116">
        <f t="shared" ca="1" si="2"/>
        <v>18.764017883164371</v>
      </c>
      <c r="H105" s="116">
        <f t="shared" ca="1" si="2"/>
        <v>30.261922797203145</v>
      </c>
      <c r="I105" s="152"/>
    </row>
    <row r="106" spans="1:9" x14ac:dyDescent="0.25">
      <c r="A106" s="155"/>
      <c r="B106" s="252" t="s">
        <v>140</v>
      </c>
      <c r="C106" s="242">
        <f ca="1">OFFSET(C$9,4*(ROW()-ROW(C$106)),0)</f>
        <v>45.656999999999996</v>
      </c>
      <c r="D106" s="242">
        <f t="shared" ref="C106:H123" ca="1" si="3">OFFSET(D$9,4*(ROW()-ROW(D$106)),0)</f>
        <v>394.48200000000003</v>
      </c>
      <c r="E106" s="242">
        <f t="shared" ca="1" si="3"/>
        <v>440.13900000000001</v>
      </c>
      <c r="F106" s="330">
        <f t="shared" ca="1" si="3"/>
        <v>4.0240719832680671</v>
      </c>
      <c r="G106" s="330">
        <f t="shared" ca="1" si="3"/>
        <v>34.7684684517939</v>
      </c>
      <c r="H106" s="330">
        <f t="shared" ca="1" si="3"/>
        <v>38.792540435061966</v>
      </c>
      <c r="I106" s="152"/>
    </row>
    <row r="107" spans="1:9" x14ac:dyDescent="0.25">
      <c r="A107" s="155"/>
      <c r="B107" s="123" t="s">
        <v>141</v>
      </c>
      <c r="C107" s="151">
        <f t="shared" ca="1" si="3"/>
        <v>50.883000000000003</v>
      </c>
      <c r="D107" s="151">
        <f t="shared" ca="1" si="3"/>
        <v>396.21199999999999</v>
      </c>
      <c r="E107" s="151">
        <f t="shared" ca="1" si="3"/>
        <v>447.09500000000003</v>
      </c>
      <c r="F107" s="116">
        <f t="shared" ca="1" si="3"/>
        <v>4.2630787869038702</v>
      </c>
      <c r="G107" s="116">
        <f t="shared" ca="1" si="3"/>
        <v>33.195428184595173</v>
      </c>
      <c r="H107" s="116">
        <f t="shared" ca="1" si="3"/>
        <v>37.458506971499048</v>
      </c>
      <c r="I107" s="152"/>
    </row>
    <row r="108" spans="1:9" x14ac:dyDescent="0.25">
      <c r="A108" s="155"/>
      <c r="B108" s="123" t="s">
        <v>142</v>
      </c>
      <c r="C108" s="151">
        <f t="shared" ca="1" si="3"/>
        <v>56.548999999999999</v>
      </c>
      <c r="D108" s="151">
        <f t="shared" ca="1" si="3"/>
        <v>417.66399999999999</v>
      </c>
      <c r="E108" s="151">
        <f t="shared" ca="1" si="3"/>
        <v>474.21300000000002</v>
      </c>
      <c r="F108" s="116">
        <f t="shared" ca="1" si="3"/>
        <v>4.6048961783164595</v>
      </c>
      <c r="G108" s="116">
        <f t="shared" ca="1" si="3"/>
        <v>34.011200152440637</v>
      </c>
      <c r="H108" s="116">
        <f t="shared" ca="1" si="3"/>
        <v>38.616096330757102</v>
      </c>
      <c r="I108" s="152"/>
    </row>
    <row r="109" spans="1:9" x14ac:dyDescent="0.25">
      <c r="A109" s="155"/>
      <c r="B109" s="123" t="s">
        <v>143</v>
      </c>
      <c r="C109" s="151">
        <f t="shared" ca="1" si="3"/>
        <v>62.417999999999999</v>
      </c>
      <c r="D109" s="151">
        <f t="shared" ca="1" si="3"/>
        <v>451.72500000000002</v>
      </c>
      <c r="E109" s="151">
        <f t="shared" ca="1" si="3"/>
        <v>514.14300000000003</v>
      </c>
      <c r="F109" s="116">
        <f t="shared" ca="1" si="3"/>
        <v>4.7952761712772043</v>
      </c>
      <c r="G109" s="116">
        <f t="shared" ca="1" si="3"/>
        <v>34.703869532349565</v>
      </c>
      <c r="H109" s="116">
        <f t="shared" ca="1" si="3"/>
        <v>39.499145703626773</v>
      </c>
      <c r="I109" s="152"/>
    </row>
    <row r="110" spans="1:9" x14ac:dyDescent="0.25">
      <c r="A110" s="155"/>
      <c r="B110" s="123" t="s">
        <v>144</v>
      </c>
      <c r="C110" s="151">
        <f t="shared" ca="1" si="3"/>
        <v>69.031999999999996</v>
      </c>
      <c r="D110" s="151">
        <f t="shared" ca="1" si="3"/>
        <v>471.71499999999997</v>
      </c>
      <c r="E110" s="151">
        <f t="shared" ca="1" si="3"/>
        <v>540.74699999999996</v>
      </c>
      <c r="F110" s="116">
        <f t="shared" ca="1" si="3"/>
        <v>5.2535648700954249</v>
      </c>
      <c r="G110" s="116">
        <f t="shared" ca="1" si="3"/>
        <v>35.899080900119706</v>
      </c>
      <c r="H110" s="116">
        <f t="shared" ca="1" si="3"/>
        <v>41.15264577021513</v>
      </c>
      <c r="I110" s="152"/>
    </row>
    <row r="111" spans="1:9" x14ac:dyDescent="0.25">
      <c r="A111" s="155"/>
      <c r="B111" s="123" t="s">
        <v>145</v>
      </c>
      <c r="C111" s="151">
        <f t="shared" ca="1" si="3"/>
        <v>70.808999999999997</v>
      </c>
      <c r="D111" s="151">
        <f t="shared" ca="1" si="3"/>
        <v>468.59</v>
      </c>
      <c r="E111" s="151">
        <f t="shared" ca="1" si="3"/>
        <v>539.399</v>
      </c>
      <c r="F111" s="116">
        <f t="shared" ca="1" si="3"/>
        <v>5.1738121472683121</v>
      </c>
      <c r="G111" s="116">
        <f t="shared" ca="1" si="3"/>
        <v>34.23853795546411</v>
      </c>
      <c r="H111" s="116">
        <f t="shared" ca="1" si="3"/>
        <v>39.412350102732425</v>
      </c>
      <c r="I111" s="152"/>
    </row>
    <row r="112" spans="1:9" x14ac:dyDescent="0.25">
      <c r="A112" s="155"/>
      <c r="B112" s="123" t="s">
        <v>146</v>
      </c>
      <c r="C112" s="151">
        <f t="shared" ca="1" si="3"/>
        <v>79.778000000000006</v>
      </c>
      <c r="D112" s="151">
        <f t="shared" ca="1" si="3"/>
        <v>481.726</v>
      </c>
      <c r="E112" s="151">
        <f t="shared" ca="1" si="3"/>
        <v>561.50400000000002</v>
      </c>
      <c r="F112" s="116">
        <f t="shared" ca="1" si="3"/>
        <v>5.6545332376948103</v>
      </c>
      <c r="G112" s="116">
        <f t="shared" ca="1" si="3"/>
        <v>34.143945429338537</v>
      </c>
      <c r="H112" s="116">
        <f t="shared" ca="1" si="3"/>
        <v>39.798478667033351</v>
      </c>
      <c r="I112" s="152"/>
    </row>
    <row r="113" spans="1:9" x14ac:dyDescent="0.25">
      <c r="A113" s="155"/>
      <c r="B113" s="123" t="s">
        <v>147</v>
      </c>
      <c r="C113" s="151">
        <f t="shared" ca="1" si="3"/>
        <v>83.091999999999999</v>
      </c>
      <c r="D113" s="151">
        <f t="shared" ca="1" si="3"/>
        <v>502.43</v>
      </c>
      <c r="E113" s="151">
        <f t="shared" ca="1" si="3"/>
        <v>585.52200000000005</v>
      </c>
      <c r="F113" s="116">
        <f t="shared" ca="1" si="3"/>
        <v>5.6846332511228397</v>
      </c>
      <c r="G113" s="116">
        <f t="shared" ca="1" si="3"/>
        <v>34.373107932913499</v>
      </c>
      <c r="H113" s="116">
        <f t="shared" ca="1" si="3"/>
        <v>40.057741184036338</v>
      </c>
      <c r="I113" s="152"/>
    </row>
    <row r="114" spans="1:9" x14ac:dyDescent="0.25">
      <c r="A114" s="155"/>
      <c r="B114" s="123" t="s">
        <v>148</v>
      </c>
      <c r="C114" s="151">
        <f t="shared" ca="1" si="3"/>
        <v>90.268000000000001</v>
      </c>
      <c r="D114" s="151">
        <f t="shared" ca="1" si="3"/>
        <v>468.03100000000001</v>
      </c>
      <c r="E114" s="151">
        <f t="shared" ca="1" si="3"/>
        <v>558.29899999999998</v>
      </c>
      <c r="F114" s="116">
        <f t="shared" ca="1" si="3"/>
        <v>6.1460863194633104</v>
      </c>
      <c r="G114" s="116">
        <f t="shared" ca="1" si="3"/>
        <v>31.866873379101484</v>
      </c>
      <c r="H114" s="116">
        <f t="shared" ca="1" si="3"/>
        <v>38.012959698564792</v>
      </c>
      <c r="I114" s="152"/>
    </row>
    <row r="115" spans="1:9" x14ac:dyDescent="0.25">
      <c r="A115" s="155"/>
      <c r="B115" s="123" t="s">
        <v>149</v>
      </c>
      <c r="C115" s="157">
        <f t="shared" ca="1" si="3"/>
        <v>86.509</v>
      </c>
      <c r="D115" s="157">
        <f t="shared" ca="1" si="3"/>
        <v>455.32400000000001</v>
      </c>
      <c r="E115" s="157">
        <f t="shared" ca="1" si="3"/>
        <v>541.83299999999997</v>
      </c>
      <c r="F115" s="147">
        <f t="shared" ca="1" si="3"/>
        <v>5.6338349204116369</v>
      </c>
      <c r="G115" s="147">
        <f t="shared" ca="1" si="3"/>
        <v>29.652640202770908</v>
      </c>
      <c r="H115" s="147">
        <f t="shared" ca="1" si="3"/>
        <v>35.286475123182541</v>
      </c>
      <c r="I115" s="152"/>
    </row>
    <row r="116" spans="1:9" x14ac:dyDescent="0.25">
      <c r="A116" s="155"/>
      <c r="B116" s="123" t="s">
        <v>150</v>
      </c>
      <c r="C116" s="157">
        <f t="shared" ca="1" si="3"/>
        <v>97.49</v>
      </c>
      <c r="D116" s="157">
        <f t="shared" ca="1" si="3"/>
        <v>480.76600000000002</v>
      </c>
      <c r="E116" s="157">
        <f t="shared" ca="1" si="3"/>
        <v>578.25599999999997</v>
      </c>
      <c r="F116" s="147">
        <f t="shared" ca="1" si="3"/>
        <v>5.9158240556617816</v>
      </c>
      <c r="G116" s="147">
        <f t="shared" ca="1" si="3"/>
        <v>29.173526186729841</v>
      </c>
      <c r="H116" s="147">
        <f t="shared" ca="1" si="3"/>
        <v>35.089350242391617</v>
      </c>
      <c r="I116" s="152"/>
    </row>
    <row r="117" spans="1:9" x14ac:dyDescent="0.25">
      <c r="A117" s="5"/>
      <c r="B117" s="123" t="s">
        <v>151</v>
      </c>
      <c r="C117" s="157">
        <f t="shared" ca="1" si="3"/>
        <v>130.203</v>
      </c>
      <c r="D117" s="157">
        <f t="shared" ca="1" si="3"/>
        <v>501.51499999999999</v>
      </c>
      <c r="E117" s="157">
        <f t="shared" ca="1" si="3"/>
        <v>631.71799999999996</v>
      </c>
      <c r="F117" s="147">
        <f t="shared" ca="1" si="3"/>
        <v>7.361183822955736</v>
      </c>
      <c r="G117" s="147">
        <f t="shared" ca="1" si="3"/>
        <v>28.353756096016568</v>
      </c>
      <c r="H117" s="147">
        <f t="shared" ca="1" si="3"/>
        <v>35.714939918972306</v>
      </c>
      <c r="I117" s="152"/>
    </row>
    <row r="118" spans="1:9" ht="14.25" customHeight="1" x14ac:dyDescent="0.25">
      <c r="A118" s="5"/>
      <c r="B118" s="123" t="s">
        <v>152</v>
      </c>
      <c r="C118" s="157">
        <f t="shared" ca="1" si="3"/>
        <v>146.065</v>
      </c>
      <c r="D118" s="157">
        <f t="shared" ca="1" si="3"/>
        <v>510.13600000000002</v>
      </c>
      <c r="E118" s="157">
        <f t="shared" ca="1" si="3"/>
        <v>656.20100000000002</v>
      </c>
      <c r="F118" s="147">
        <f t="shared" ca="1" si="3"/>
        <v>7.7211045992547689</v>
      </c>
      <c r="G118" s="147">
        <f t="shared" ca="1" si="3"/>
        <v>26.96616859511472</v>
      </c>
      <c r="H118" s="147">
        <f t="shared" ca="1" si="3"/>
        <v>34.687273194369489</v>
      </c>
      <c r="I118" s="152"/>
    </row>
    <row r="119" spans="1:9" x14ac:dyDescent="0.25">
      <c r="A119" s="5"/>
      <c r="B119" s="123" t="s">
        <v>153</v>
      </c>
      <c r="C119" s="157">
        <f t="shared" ca="1" si="3"/>
        <v>153.92546658139796</v>
      </c>
      <c r="D119" s="157">
        <f t="shared" ca="1" si="3"/>
        <v>521.68007899999998</v>
      </c>
      <c r="E119" s="157">
        <f t="shared" ca="1" si="3"/>
        <v>659.56500000000005</v>
      </c>
      <c r="F119" s="147">
        <f t="shared" ca="1" si="3"/>
        <v>7.8727971876104998</v>
      </c>
      <c r="G119" s="147">
        <f t="shared" ca="1" si="3"/>
        <v>26.682273895279966</v>
      </c>
      <c r="H119" s="147">
        <f t="shared" ca="1" si="3"/>
        <v>33.734648283819816</v>
      </c>
      <c r="I119" s="152"/>
    </row>
    <row r="120" spans="1:9" x14ac:dyDescent="0.25">
      <c r="A120" s="5"/>
      <c r="B120" s="123" t="s">
        <v>154</v>
      </c>
      <c r="C120" s="157">
        <f t="shared" ca="1" si="3"/>
        <v>176.56508510987246</v>
      </c>
      <c r="D120" s="157">
        <f t="shared" ca="1" si="3"/>
        <v>497.02725599999997</v>
      </c>
      <c r="E120" s="157">
        <f t="shared" ca="1" si="3"/>
        <v>673.59234100000003</v>
      </c>
      <c r="F120" s="147">
        <f t="shared" ca="1" si="3"/>
        <v>8.8159698802951123</v>
      </c>
      <c r="G120" s="147">
        <f t="shared" ca="1" si="3"/>
        <v>24.816782524444438</v>
      </c>
      <c r="H120" s="147">
        <f t="shared" ca="1" si="3"/>
        <v>33.632752399253576</v>
      </c>
      <c r="I120" s="152"/>
    </row>
    <row r="121" spans="1:9" x14ac:dyDescent="0.25">
      <c r="A121" s="5"/>
      <c r="B121" s="123" t="s">
        <v>155</v>
      </c>
      <c r="C121" s="157">
        <f t="shared" ca="1" si="3"/>
        <v>195.99902234709953</v>
      </c>
      <c r="D121" s="157">
        <f t="shared" ca="1" si="3"/>
        <v>457.08375599999999</v>
      </c>
      <c r="E121" s="157">
        <f t="shared" ca="1" si="3"/>
        <v>653.08277800000008</v>
      </c>
      <c r="F121" s="147">
        <f t="shared" ca="1" si="3"/>
        <v>9.4691385934604</v>
      </c>
      <c r="G121" s="147">
        <f t="shared" ca="1" si="3"/>
        <v>22.082709304123664</v>
      </c>
      <c r="H121" s="332">
        <f t="shared" ca="1" si="3"/>
        <v>31.551847880814936</v>
      </c>
      <c r="I121" s="152"/>
    </row>
    <row r="122" spans="1:9" x14ac:dyDescent="0.25">
      <c r="A122" s="5"/>
      <c r="B122" s="123" t="s">
        <v>156</v>
      </c>
      <c r="C122" s="157">
        <f t="shared" ca="1" si="3"/>
        <v>214.84094419499678</v>
      </c>
      <c r="D122" s="157">
        <f t="shared" ca="1" si="3"/>
        <v>436.727509</v>
      </c>
      <c r="E122" s="157">
        <f t="shared" ca="1" si="3"/>
        <v>651.56845299999998</v>
      </c>
      <c r="F122" s="147">
        <f t="shared" ca="1" si="3"/>
        <v>10.074301591080099</v>
      </c>
      <c r="G122" s="147">
        <f t="shared" ca="1" si="3"/>
        <v>20.478985769089768</v>
      </c>
      <c r="H122" s="332">
        <f t="shared" ca="1" si="3"/>
        <v>30.5532873510261</v>
      </c>
      <c r="I122" s="250"/>
    </row>
    <row r="123" spans="1:9" x14ac:dyDescent="0.25">
      <c r="A123" s="5"/>
      <c r="B123" s="123" t="s">
        <v>157</v>
      </c>
      <c r="C123" s="157">
        <f t="shared" ca="1" si="3"/>
        <v>232.71502311081892</v>
      </c>
      <c r="D123" s="157">
        <f t="shared" ca="1" si="3"/>
        <v>427.03764799999999</v>
      </c>
      <c r="E123" s="157">
        <f t="shared" ca="1" si="3"/>
        <v>659.75267099999996</v>
      </c>
      <c r="F123" s="147">
        <f t="shared" ca="1" si="3"/>
        <v>10.613766351953458</v>
      </c>
      <c r="G123" s="147">
        <f t="shared" ca="1" si="3"/>
        <v>19.476515777846359</v>
      </c>
      <c r="H123" s="332">
        <f t="shared" ca="1" si="3"/>
        <v>30.090282124745542</v>
      </c>
      <c r="I123" s="250"/>
    </row>
    <row r="124" spans="1:9" x14ac:dyDescent="0.25">
      <c r="A124" s="329"/>
      <c r="B124" s="123" t="s">
        <v>158</v>
      </c>
      <c r="C124" s="157">
        <f t="shared" ref="C124:H124" ca="1" si="4">OFFSET(C$9,4*(ROW()-ROW(C$106)),0)</f>
        <v>251.3693153120266</v>
      </c>
      <c r="D124" s="157">
        <f t="shared" ca="1" si="4"/>
        <v>429.13509199999999</v>
      </c>
      <c r="E124" s="157">
        <f t="shared" ca="1" si="4"/>
        <v>680.50440800000001</v>
      </c>
      <c r="F124" s="147">
        <f t="shared" ca="1" si="4"/>
        <v>11.107359643029874</v>
      </c>
      <c r="G124" s="147">
        <f t="shared" ca="1" si="4"/>
        <v>18.962369358296371</v>
      </c>
      <c r="H124" s="332">
        <f t="shared" ca="1" si="4"/>
        <v>30.069729031726013</v>
      </c>
    </row>
    <row r="125" spans="1:9" ht="15.75" thickBot="1" x14ac:dyDescent="0.3">
      <c r="A125" s="329"/>
      <c r="B125" s="123" t="s">
        <v>649</v>
      </c>
      <c r="C125" s="157">
        <f t="shared" ref="C125:H125" ca="1" si="5">OFFSET(C$9,4*(ROW()-ROW(C$106)),0)</f>
        <v>270.92200339064226</v>
      </c>
      <c r="D125" s="157">
        <f t="shared" ca="1" si="5"/>
        <v>435.27774200000005</v>
      </c>
      <c r="E125" s="157">
        <f t="shared" ca="1" si="5"/>
        <v>706.19974500000001</v>
      </c>
      <c r="F125" s="147">
        <f t="shared" ca="1" si="5"/>
        <v>11.634942381485041</v>
      </c>
      <c r="G125" s="147">
        <f t="shared" ca="1" si="5"/>
        <v>18.693319053936388</v>
      </c>
      <c r="H125" s="332">
        <f t="shared" ca="1" si="5"/>
        <v>30.328261418645013</v>
      </c>
    </row>
    <row r="126" spans="1:9" x14ac:dyDescent="0.25">
      <c r="B126" s="417" t="s">
        <v>159</v>
      </c>
      <c r="C126" s="428"/>
      <c r="D126" s="428"/>
      <c r="E126" s="428"/>
      <c r="F126" s="428"/>
      <c r="G126" s="428"/>
      <c r="H126" s="429"/>
    </row>
    <row r="127" spans="1:9" x14ac:dyDescent="0.25">
      <c r="B127" s="160" t="s">
        <v>386</v>
      </c>
      <c r="C127" s="99"/>
      <c r="D127" s="99"/>
      <c r="E127" s="258"/>
      <c r="F127" s="258"/>
      <c r="G127" s="258"/>
      <c r="H127" s="261"/>
    </row>
    <row r="128" spans="1:9" x14ac:dyDescent="0.25">
      <c r="B128" s="160" t="s">
        <v>387</v>
      </c>
      <c r="C128" s="99"/>
      <c r="D128" s="99"/>
      <c r="E128" s="99"/>
      <c r="F128" s="99"/>
      <c r="G128" s="99"/>
      <c r="H128" s="261"/>
    </row>
    <row r="129" spans="2:8" x14ac:dyDescent="0.25">
      <c r="B129" s="160" t="s">
        <v>388</v>
      </c>
      <c r="C129" s="99"/>
      <c r="D129" s="99"/>
      <c r="E129" s="99"/>
      <c r="F129" s="99"/>
      <c r="G129" s="99"/>
      <c r="H129" s="261"/>
    </row>
    <row r="130" spans="2:8" ht="15.75" thickBot="1" x14ac:dyDescent="0.3">
      <c r="B130" s="265" t="s">
        <v>378</v>
      </c>
      <c r="C130" s="266"/>
      <c r="D130" s="284"/>
      <c r="E130" s="284"/>
      <c r="F130" s="284"/>
      <c r="G130" s="284"/>
      <c r="H130" s="285"/>
    </row>
  </sheetData>
  <mergeCells count="2">
    <mergeCell ref="C3:H3"/>
    <mergeCell ref="B2:H2"/>
  </mergeCells>
  <hyperlinks>
    <hyperlink ref="A1" location="Contents!A1" display="Back to contents" xr:uid="{74867FAE-37E8-4ED6-BBD9-C0D631B701E8}"/>
  </hyperlinks>
  <pageMargins left="0.70866141732283472" right="0.70866141732283472" top="0.74803149606299213" bottom="0.74803149606299213" header="0.31496062992125984" footer="0.31496062992125984"/>
  <pageSetup paperSize="9" scale="30" orientation="landscape" r:id="rId1"/>
  <headerFooter>
    <oddHeader>&amp;C&amp;8March 2018 Economic and fiscal outlook: Supplementary economy tables</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69E61-FD04-43CD-8A46-63488B9236DB}">
  <sheetPr codeName="Sheet14">
    <tabColor theme="5"/>
    <pageSetUpPr fitToPage="1"/>
  </sheetPr>
  <dimension ref="A1:Z151"/>
  <sheetViews>
    <sheetView zoomScaleNormal="100" zoomScaleSheetLayoutView="100" workbookViewId="0"/>
  </sheetViews>
  <sheetFormatPr defaultColWidth="8.77734375" defaultRowHeight="15" x14ac:dyDescent="0.25"/>
  <cols>
    <col min="1" max="1" width="9.21875" style="1" customWidth="1"/>
    <col min="2" max="2" width="11.21875" style="1" customWidth="1"/>
    <col min="3" max="9" width="16.21875" style="1" customWidth="1"/>
    <col min="10" max="10" width="8.77734375" style="1"/>
    <col min="11" max="11" width="8.77734375" style="154"/>
    <col min="12" max="16384" width="8.77734375" style="1"/>
  </cols>
  <sheetData>
    <row r="1" spans="1:14" ht="35.1" customHeight="1" thickBot="1" x14ac:dyDescent="0.3">
      <c r="A1" s="9" t="s">
        <v>22</v>
      </c>
      <c r="B1" s="5"/>
      <c r="C1" s="478"/>
      <c r="D1" s="139"/>
      <c r="E1" s="5"/>
      <c r="F1" s="5"/>
      <c r="G1" s="5"/>
      <c r="H1" s="5"/>
      <c r="I1" s="5"/>
      <c r="J1" s="5"/>
      <c r="K1" s="139"/>
      <c r="L1" s="5"/>
      <c r="M1" s="5"/>
      <c r="N1" s="5"/>
    </row>
    <row r="2" spans="1:14" ht="21.75" customHeight="1" thickBot="1" x14ac:dyDescent="0.3">
      <c r="A2" s="5"/>
      <c r="B2" s="533" t="s">
        <v>389</v>
      </c>
      <c r="C2" s="534"/>
      <c r="D2" s="534"/>
      <c r="E2" s="534"/>
      <c r="F2" s="534"/>
      <c r="G2" s="534"/>
      <c r="H2" s="534"/>
      <c r="I2" s="634"/>
      <c r="J2" s="5"/>
      <c r="K2" s="139"/>
      <c r="L2" s="5"/>
      <c r="M2" s="5"/>
      <c r="N2" s="5"/>
    </row>
    <row r="3" spans="1:14" ht="31.5" x14ac:dyDescent="0.25">
      <c r="A3" s="5"/>
      <c r="B3" s="163" t="s">
        <v>24</v>
      </c>
      <c r="C3" s="136" t="s">
        <v>390</v>
      </c>
      <c r="D3" s="136" t="s">
        <v>391</v>
      </c>
      <c r="E3" s="136" t="s">
        <v>392</v>
      </c>
      <c r="F3" s="136" t="s">
        <v>393</v>
      </c>
      <c r="G3" s="136" t="s">
        <v>394</v>
      </c>
      <c r="H3" s="136" t="s">
        <v>395</v>
      </c>
      <c r="I3" s="137" t="s">
        <v>396</v>
      </c>
      <c r="J3" s="5"/>
      <c r="K3" s="139"/>
      <c r="L3" s="5"/>
      <c r="M3" s="5"/>
      <c r="N3" s="5"/>
    </row>
    <row r="4" spans="1:14" x14ac:dyDescent="0.25">
      <c r="A4" s="5"/>
      <c r="B4" s="123" t="s">
        <v>59</v>
      </c>
      <c r="C4" s="116">
        <v>196.09899999999999</v>
      </c>
      <c r="D4" s="116">
        <v>208.95099999999999</v>
      </c>
      <c r="E4" s="116">
        <v>25.457000000000001</v>
      </c>
      <c r="F4" s="116">
        <v>38.308999999999997</v>
      </c>
      <c r="G4" s="116">
        <v>65.487877170000004</v>
      </c>
      <c r="H4" s="116">
        <v>18.19612283</v>
      </c>
      <c r="I4" s="125">
        <v>279.78300000000002</v>
      </c>
      <c r="J4" s="139"/>
      <c r="K4" s="139"/>
      <c r="L4" s="5"/>
      <c r="M4" s="5"/>
      <c r="N4" s="5"/>
    </row>
    <row r="5" spans="1:14" x14ac:dyDescent="0.25">
      <c r="A5" s="5"/>
      <c r="B5" s="123" t="s">
        <v>60</v>
      </c>
      <c r="C5" s="116">
        <v>197.59200000000001</v>
      </c>
      <c r="D5" s="116">
        <v>210.298</v>
      </c>
      <c r="E5" s="116">
        <v>26.079000000000001</v>
      </c>
      <c r="F5" s="116">
        <v>38.784999999999997</v>
      </c>
      <c r="G5" s="116">
        <v>66.446122520000003</v>
      </c>
      <c r="H5" s="116">
        <v>19.676877479999998</v>
      </c>
      <c r="I5" s="125">
        <v>283.71499999999997</v>
      </c>
      <c r="J5" s="139"/>
      <c r="K5" s="139"/>
      <c r="L5" s="5"/>
      <c r="M5" s="5"/>
      <c r="N5" s="5"/>
    </row>
    <row r="6" spans="1:14" x14ac:dyDescent="0.25">
      <c r="A6" s="5"/>
      <c r="B6" s="123" t="s">
        <v>61</v>
      </c>
      <c r="C6" s="116">
        <v>197.233</v>
      </c>
      <c r="D6" s="116">
        <v>210.566</v>
      </c>
      <c r="E6" s="116">
        <v>25.771000000000001</v>
      </c>
      <c r="F6" s="116">
        <v>39.103999999999999</v>
      </c>
      <c r="G6" s="116">
        <v>65.926372669999992</v>
      </c>
      <c r="H6" s="116">
        <v>19.123627329999998</v>
      </c>
      <c r="I6" s="125">
        <v>282.28300000000002</v>
      </c>
      <c r="J6" s="139"/>
      <c r="K6" s="139"/>
      <c r="L6" s="5"/>
      <c r="M6" s="5"/>
      <c r="N6" s="5"/>
    </row>
    <row r="7" spans="1:14" x14ac:dyDescent="0.25">
      <c r="A7" s="5"/>
      <c r="B7" s="123" t="s">
        <v>62</v>
      </c>
      <c r="C7" s="116">
        <v>198.761</v>
      </c>
      <c r="D7" s="116">
        <v>211.72900000000001</v>
      </c>
      <c r="E7" s="116">
        <v>25.844000000000001</v>
      </c>
      <c r="F7" s="116">
        <v>38.811999999999998</v>
      </c>
      <c r="G7" s="116">
        <v>64.853627630000005</v>
      </c>
      <c r="H7" s="116">
        <v>20.62137237</v>
      </c>
      <c r="I7" s="125">
        <v>284.23599999999999</v>
      </c>
      <c r="J7" s="139"/>
      <c r="K7" s="139"/>
      <c r="L7" s="5"/>
      <c r="M7" s="5"/>
      <c r="N7" s="5"/>
    </row>
    <row r="8" spans="1:14" ht="18.75" customHeight="1" x14ac:dyDescent="0.25">
      <c r="A8" s="5"/>
      <c r="B8" s="123" t="s">
        <v>63</v>
      </c>
      <c r="C8" s="116">
        <v>199.54300000000001</v>
      </c>
      <c r="D8" s="116">
        <v>212.36</v>
      </c>
      <c r="E8" s="116">
        <v>25.873000000000001</v>
      </c>
      <c r="F8" s="116">
        <v>38.69</v>
      </c>
      <c r="G8" s="116">
        <v>64.421887400000003</v>
      </c>
      <c r="H8" s="116">
        <v>20.398112600000001</v>
      </c>
      <c r="I8" s="125">
        <v>284.363</v>
      </c>
      <c r="J8" s="139"/>
      <c r="K8" s="139"/>
      <c r="L8" s="5"/>
      <c r="M8" s="5"/>
      <c r="N8" s="5"/>
    </row>
    <row r="9" spans="1:14" x14ac:dyDescent="0.25">
      <c r="A9" s="5"/>
      <c r="B9" s="123" t="s">
        <v>64</v>
      </c>
      <c r="C9" s="116">
        <v>206.352</v>
      </c>
      <c r="D9" s="116">
        <v>219.37799999999999</v>
      </c>
      <c r="E9" s="116">
        <v>26.507999999999999</v>
      </c>
      <c r="F9" s="116">
        <v>39.533999999999999</v>
      </c>
      <c r="G9" s="116">
        <v>68.021136350000006</v>
      </c>
      <c r="H9" s="116">
        <v>17.824863650000001</v>
      </c>
      <c r="I9" s="125">
        <v>292.19799999999998</v>
      </c>
      <c r="J9" s="139"/>
      <c r="K9" s="139"/>
      <c r="L9" s="5"/>
      <c r="M9" s="5"/>
      <c r="N9" s="5"/>
    </row>
    <row r="10" spans="1:14" x14ac:dyDescent="0.25">
      <c r="A10" s="5"/>
      <c r="B10" s="123" t="s">
        <v>65</v>
      </c>
      <c r="C10" s="116">
        <v>208.18100000000001</v>
      </c>
      <c r="D10" s="116">
        <v>219.989</v>
      </c>
      <c r="E10" s="116">
        <v>27.198</v>
      </c>
      <c r="F10" s="116">
        <v>39.006</v>
      </c>
      <c r="G10" s="116">
        <v>69.30837446999999</v>
      </c>
      <c r="H10" s="116">
        <v>20.934625530000002</v>
      </c>
      <c r="I10" s="125">
        <v>298.42399999999998</v>
      </c>
      <c r="J10" s="139"/>
      <c r="K10" s="139"/>
      <c r="L10" s="5"/>
      <c r="M10" s="5"/>
      <c r="N10" s="5"/>
    </row>
    <row r="11" spans="1:14" x14ac:dyDescent="0.25">
      <c r="A11" s="5"/>
      <c r="B11" s="123" t="s">
        <v>66</v>
      </c>
      <c r="C11" s="116">
        <v>212.304</v>
      </c>
      <c r="D11" s="116">
        <v>221.90299999999999</v>
      </c>
      <c r="E11" s="116">
        <v>28.928999999999998</v>
      </c>
      <c r="F11" s="116">
        <v>38.527999999999999</v>
      </c>
      <c r="G11" s="116">
        <v>68.455601779999995</v>
      </c>
      <c r="H11" s="116">
        <v>20.192398219999998</v>
      </c>
      <c r="I11" s="125">
        <v>300.952</v>
      </c>
      <c r="J11" s="139"/>
      <c r="K11" s="139"/>
      <c r="L11" s="5"/>
      <c r="M11" s="5"/>
      <c r="N11" s="5"/>
    </row>
    <row r="12" spans="1:14" ht="18.75" customHeight="1" x14ac:dyDescent="0.25">
      <c r="A12" s="5"/>
      <c r="B12" s="123" t="s">
        <v>67</v>
      </c>
      <c r="C12" s="116">
        <v>215.28100000000001</v>
      </c>
      <c r="D12" s="116">
        <v>224.249</v>
      </c>
      <c r="E12" s="116">
        <v>29.35</v>
      </c>
      <c r="F12" s="116">
        <v>38.317999999999998</v>
      </c>
      <c r="G12" s="116">
        <v>67.543818270000003</v>
      </c>
      <c r="H12" s="116">
        <v>19.175181729999998</v>
      </c>
      <c r="I12" s="125">
        <v>302</v>
      </c>
      <c r="J12" s="139"/>
      <c r="K12" s="139"/>
      <c r="L12" s="5"/>
      <c r="M12" s="5"/>
      <c r="N12" s="5"/>
    </row>
    <row r="13" spans="1:14" x14ac:dyDescent="0.25">
      <c r="A13" s="5"/>
      <c r="B13" s="123" t="s">
        <v>68</v>
      </c>
      <c r="C13" s="116">
        <v>214.99600000000001</v>
      </c>
      <c r="D13" s="116">
        <v>223.446</v>
      </c>
      <c r="E13" s="116">
        <v>29.143999999999998</v>
      </c>
      <c r="F13" s="116">
        <v>37.594000000000001</v>
      </c>
      <c r="G13" s="116">
        <v>70.515077560000009</v>
      </c>
      <c r="H13" s="116">
        <v>19.059922439999998</v>
      </c>
      <c r="I13" s="125">
        <v>304.57100000000003</v>
      </c>
      <c r="J13" s="139"/>
      <c r="K13" s="139"/>
      <c r="L13" s="5"/>
      <c r="M13" s="5"/>
      <c r="N13" s="5"/>
    </row>
    <row r="14" spans="1:14" x14ac:dyDescent="0.25">
      <c r="A14" s="5"/>
      <c r="B14" s="123" t="s">
        <v>69</v>
      </c>
      <c r="C14" s="116">
        <v>213.96899999999999</v>
      </c>
      <c r="D14" s="116">
        <v>222.887</v>
      </c>
      <c r="E14" s="116">
        <v>28.445</v>
      </c>
      <c r="F14" s="116">
        <v>37.363</v>
      </c>
      <c r="G14" s="116">
        <v>71.126379639999996</v>
      </c>
      <c r="H14" s="116">
        <v>18.64662036</v>
      </c>
      <c r="I14" s="125">
        <v>303.74200000000002</v>
      </c>
      <c r="J14" s="139"/>
      <c r="K14" s="139"/>
      <c r="L14" s="5"/>
      <c r="M14" s="5"/>
      <c r="N14" s="5"/>
    </row>
    <row r="15" spans="1:14" x14ac:dyDescent="0.25">
      <c r="A15" s="5"/>
      <c r="B15" s="123" t="s">
        <v>70</v>
      </c>
      <c r="C15" s="116">
        <v>216.41499999999999</v>
      </c>
      <c r="D15" s="116">
        <v>225.55199999999999</v>
      </c>
      <c r="E15" s="116">
        <v>28.693000000000001</v>
      </c>
      <c r="F15" s="116">
        <v>37.83</v>
      </c>
      <c r="G15" s="116">
        <v>72.319724530000002</v>
      </c>
      <c r="H15" s="116">
        <v>18.843275470000002</v>
      </c>
      <c r="I15" s="125">
        <v>307.57799999999997</v>
      </c>
      <c r="J15" s="139"/>
      <c r="K15" s="139"/>
      <c r="L15" s="5"/>
      <c r="M15" s="5"/>
      <c r="N15" s="5"/>
    </row>
    <row r="16" spans="1:14" ht="18.75" customHeight="1" x14ac:dyDescent="0.25">
      <c r="A16" s="5"/>
      <c r="B16" s="123" t="s">
        <v>71</v>
      </c>
      <c r="C16" s="116">
        <v>219.23699999999999</v>
      </c>
      <c r="D16" s="116">
        <v>228.553</v>
      </c>
      <c r="E16" s="116">
        <v>29.1</v>
      </c>
      <c r="F16" s="116">
        <v>38.415999999999997</v>
      </c>
      <c r="G16" s="116">
        <v>75.634112219999992</v>
      </c>
      <c r="H16" s="116">
        <v>17.25688778</v>
      </c>
      <c r="I16" s="125">
        <v>312.12799999999999</v>
      </c>
      <c r="J16" s="139"/>
      <c r="K16" s="139"/>
      <c r="L16" s="5"/>
      <c r="M16" s="5"/>
      <c r="N16" s="5"/>
    </row>
    <row r="17" spans="1:14" x14ac:dyDescent="0.25">
      <c r="A17" s="5"/>
      <c r="B17" s="123" t="s">
        <v>72</v>
      </c>
      <c r="C17" s="116">
        <v>221.72900000000001</v>
      </c>
      <c r="D17" s="116">
        <v>230.358</v>
      </c>
      <c r="E17" s="116">
        <v>30.518999999999998</v>
      </c>
      <c r="F17" s="116">
        <v>39.148000000000003</v>
      </c>
      <c r="G17" s="116">
        <v>80.47832240999999</v>
      </c>
      <c r="H17" s="116">
        <v>17.869677589999998</v>
      </c>
      <c r="I17" s="125">
        <v>320.077</v>
      </c>
      <c r="J17" s="139"/>
      <c r="K17" s="139"/>
      <c r="L17" s="5"/>
      <c r="M17" s="5"/>
      <c r="N17" s="5"/>
    </row>
    <row r="18" spans="1:14" x14ac:dyDescent="0.25">
      <c r="A18" s="5"/>
      <c r="B18" s="123" t="s">
        <v>73</v>
      </c>
      <c r="C18" s="116">
        <v>225.02099999999999</v>
      </c>
      <c r="D18" s="116">
        <v>232.97499999999999</v>
      </c>
      <c r="E18" s="116">
        <v>31.363</v>
      </c>
      <c r="F18" s="116">
        <v>39.317</v>
      </c>
      <c r="G18" s="116">
        <v>83.026355089999996</v>
      </c>
      <c r="H18" s="116">
        <v>19.01064491</v>
      </c>
      <c r="I18" s="125">
        <v>327.05799999999999</v>
      </c>
      <c r="J18" s="139"/>
      <c r="K18" s="139"/>
      <c r="L18" s="5"/>
      <c r="M18" s="5"/>
      <c r="N18" s="5"/>
    </row>
    <row r="19" spans="1:14" x14ac:dyDescent="0.25">
      <c r="A19" s="5"/>
      <c r="B19" s="123" t="s">
        <v>74</v>
      </c>
      <c r="C19" s="116">
        <v>226.41200000000001</v>
      </c>
      <c r="D19" s="116">
        <v>234.33199999999999</v>
      </c>
      <c r="E19" s="116">
        <v>31.6</v>
      </c>
      <c r="F19" s="116">
        <v>39.520000000000003</v>
      </c>
      <c r="G19" s="116">
        <v>82.330210269999995</v>
      </c>
      <c r="H19" s="116">
        <v>19.11078973</v>
      </c>
      <c r="I19" s="125">
        <v>327.85300000000001</v>
      </c>
      <c r="J19" s="139"/>
      <c r="K19" s="139"/>
      <c r="L19" s="5"/>
      <c r="M19" s="5"/>
      <c r="N19" s="5"/>
    </row>
    <row r="20" spans="1:14" ht="18.75" customHeight="1" x14ac:dyDescent="0.25">
      <c r="A20" s="5"/>
      <c r="B20" s="123" t="s">
        <v>75</v>
      </c>
      <c r="C20" s="116">
        <v>228.25800000000001</v>
      </c>
      <c r="D20" s="116">
        <v>236.58</v>
      </c>
      <c r="E20" s="116">
        <v>31.265000000000001</v>
      </c>
      <c r="F20" s="116">
        <v>39.587000000000003</v>
      </c>
      <c r="G20" s="116">
        <v>80.414887950000008</v>
      </c>
      <c r="H20" s="116">
        <v>17.995112049999999</v>
      </c>
      <c r="I20" s="125">
        <v>326.66800000000001</v>
      </c>
      <c r="J20" s="139"/>
      <c r="K20" s="139"/>
      <c r="L20" s="5"/>
      <c r="M20" s="5"/>
      <c r="N20" s="5"/>
    </row>
    <row r="21" spans="1:14" x14ac:dyDescent="0.25">
      <c r="A21" s="5"/>
      <c r="B21" s="123" t="s">
        <v>76</v>
      </c>
      <c r="C21" s="116">
        <v>230.589</v>
      </c>
      <c r="D21" s="116">
        <v>240.75200000000001</v>
      </c>
      <c r="E21" s="116">
        <v>31.765999999999998</v>
      </c>
      <c r="F21" s="116">
        <v>41.929000000000002</v>
      </c>
      <c r="G21" s="116">
        <v>81.06460383999999</v>
      </c>
      <c r="H21" s="116">
        <v>16.98239616</v>
      </c>
      <c r="I21" s="125">
        <v>328.63600000000002</v>
      </c>
      <c r="J21" s="139"/>
      <c r="K21" s="139"/>
      <c r="L21" s="5"/>
      <c r="M21" s="5"/>
      <c r="N21" s="5"/>
    </row>
    <row r="22" spans="1:14" x14ac:dyDescent="0.25">
      <c r="A22" s="5"/>
      <c r="B22" s="123" t="s">
        <v>77</v>
      </c>
      <c r="C22" s="116">
        <v>231.56100000000001</v>
      </c>
      <c r="D22" s="116">
        <v>242.71</v>
      </c>
      <c r="E22" s="116">
        <v>31.234999999999999</v>
      </c>
      <c r="F22" s="116">
        <v>42.384</v>
      </c>
      <c r="G22" s="116">
        <v>80.494357950000008</v>
      </c>
      <c r="H22" s="116">
        <v>16.903642049999998</v>
      </c>
      <c r="I22" s="125">
        <v>328.959</v>
      </c>
      <c r="J22" s="139"/>
      <c r="K22" s="139"/>
      <c r="L22" s="5"/>
      <c r="M22" s="5"/>
      <c r="N22" s="5"/>
    </row>
    <row r="23" spans="1:14" x14ac:dyDescent="0.25">
      <c r="A23" s="5"/>
      <c r="B23" s="123" t="s">
        <v>78</v>
      </c>
      <c r="C23" s="116">
        <v>232.89500000000001</v>
      </c>
      <c r="D23" s="116">
        <v>243.37700000000001</v>
      </c>
      <c r="E23" s="116">
        <v>32.189</v>
      </c>
      <c r="F23" s="116">
        <v>42.670999999999999</v>
      </c>
      <c r="G23" s="116">
        <v>79.483150269999996</v>
      </c>
      <c r="H23" s="116">
        <v>16.09184973</v>
      </c>
      <c r="I23" s="125">
        <v>328.47</v>
      </c>
      <c r="J23" s="139"/>
      <c r="K23" s="139"/>
      <c r="L23" s="5"/>
      <c r="M23" s="5"/>
      <c r="N23" s="5"/>
    </row>
    <row r="24" spans="1:14" ht="18.75" customHeight="1" x14ac:dyDescent="0.25">
      <c r="A24" s="5"/>
      <c r="B24" s="123" t="s">
        <v>79</v>
      </c>
      <c r="C24" s="116">
        <v>236.464</v>
      </c>
      <c r="D24" s="116">
        <v>246.577</v>
      </c>
      <c r="E24" s="116">
        <v>32.829000000000001</v>
      </c>
      <c r="F24" s="116">
        <v>42.942</v>
      </c>
      <c r="G24" s="116">
        <v>79.115980800000003</v>
      </c>
      <c r="H24" s="116">
        <v>12.358019200000001</v>
      </c>
      <c r="I24" s="125">
        <v>327.93799999999999</v>
      </c>
      <c r="J24" s="139"/>
      <c r="K24" s="139"/>
      <c r="L24" s="5"/>
      <c r="M24" s="5"/>
      <c r="N24" s="5"/>
    </row>
    <row r="25" spans="1:14" x14ac:dyDescent="0.25">
      <c r="A25" s="5"/>
      <c r="B25" s="123" t="s">
        <v>80</v>
      </c>
      <c r="C25" s="116">
        <v>241.34299999999999</v>
      </c>
      <c r="D25" s="116">
        <v>250.262</v>
      </c>
      <c r="E25" s="116">
        <v>34.509</v>
      </c>
      <c r="F25" s="116">
        <v>43.427999999999997</v>
      </c>
      <c r="G25" s="116">
        <v>81.086720690000007</v>
      </c>
      <c r="H25" s="116">
        <v>15.14027931</v>
      </c>
      <c r="I25" s="125">
        <v>337.57</v>
      </c>
      <c r="J25" s="139"/>
      <c r="K25" s="139"/>
      <c r="L25" s="5"/>
      <c r="M25" s="5"/>
      <c r="N25" s="5"/>
    </row>
    <row r="26" spans="1:14" x14ac:dyDescent="0.25">
      <c r="A26" s="5"/>
      <c r="B26" s="123" t="s">
        <v>81</v>
      </c>
      <c r="C26" s="116">
        <v>243.18299999999999</v>
      </c>
      <c r="D26" s="116">
        <v>251.00399999999999</v>
      </c>
      <c r="E26" s="116">
        <v>35.195999999999998</v>
      </c>
      <c r="F26" s="116">
        <v>43.017000000000003</v>
      </c>
      <c r="G26" s="116">
        <v>81.577369949999991</v>
      </c>
      <c r="H26" s="116">
        <v>15.09563005</v>
      </c>
      <c r="I26" s="125">
        <v>339.85599999999999</v>
      </c>
      <c r="J26" s="139"/>
      <c r="K26" s="139"/>
      <c r="L26" s="5"/>
      <c r="M26" s="5"/>
      <c r="N26" s="5"/>
    </row>
    <row r="27" spans="1:14" x14ac:dyDescent="0.25">
      <c r="A27" s="5"/>
      <c r="B27" s="123" t="s">
        <v>82</v>
      </c>
      <c r="C27" s="116">
        <v>245.73</v>
      </c>
      <c r="D27" s="116">
        <v>253.256</v>
      </c>
      <c r="E27" s="116">
        <v>35.585000000000001</v>
      </c>
      <c r="F27" s="116">
        <v>43.110999999999997</v>
      </c>
      <c r="G27" s="116">
        <v>83.536928560000007</v>
      </c>
      <c r="H27" s="116">
        <v>13.744071439999999</v>
      </c>
      <c r="I27" s="125">
        <v>343.01100000000002</v>
      </c>
      <c r="J27" s="139"/>
      <c r="K27" s="139"/>
      <c r="L27" s="5"/>
      <c r="M27" s="5"/>
      <c r="N27" s="5"/>
    </row>
    <row r="28" spans="1:14" ht="18.75" customHeight="1" x14ac:dyDescent="0.25">
      <c r="A28" s="5"/>
      <c r="B28" s="123" t="s">
        <v>83</v>
      </c>
      <c r="C28" s="116">
        <v>249.01900000000001</v>
      </c>
      <c r="D28" s="116">
        <v>258.327</v>
      </c>
      <c r="E28" s="116">
        <v>35.283000000000001</v>
      </c>
      <c r="F28" s="116">
        <v>44.591000000000001</v>
      </c>
      <c r="G28" s="116">
        <v>84.296396529999996</v>
      </c>
      <c r="H28" s="116">
        <v>14.851603470000001</v>
      </c>
      <c r="I28" s="125">
        <v>348.16699999999997</v>
      </c>
      <c r="J28" s="139"/>
      <c r="K28" s="139"/>
      <c r="L28" s="5"/>
      <c r="M28" s="5"/>
      <c r="N28" s="5"/>
    </row>
    <row r="29" spans="1:14" x14ac:dyDescent="0.25">
      <c r="A29" s="5"/>
      <c r="B29" s="123" t="s">
        <v>84</v>
      </c>
      <c r="C29" s="116">
        <v>248.548</v>
      </c>
      <c r="D29" s="116">
        <v>257.65199999999999</v>
      </c>
      <c r="E29" s="116">
        <v>35.575000000000003</v>
      </c>
      <c r="F29" s="116">
        <v>44.679000000000002</v>
      </c>
      <c r="G29" s="116">
        <v>84.901625109999998</v>
      </c>
      <c r="H29" s="116">
        <v>13.998374889999999</v>
      </c>
      <c r="I29" s="125">
        <v>347.44799999999998</v>
      </c>
      <c r="J29" s="139"/>
      <c r="K29" s="139"/>
      <c r="L29" s="5"/>
      <c r="M29" s="5"/>
      <c r="N29" s="5"/>
    </row>
    <row r="30" spans="1:14" x14ac:dyDescent="0.25">
      <c r="A30" s="5"/>
      <c r="B30" s="123" t="s">
        <v>85</v>
      </c>
      <c r="C30" s="116">
        <v>252.16200000000001</v>
      </c>
      <c r="D30" s="116">
        <v>261.57499999999999</v>
      </c>
      <c r="E30" s="116">
        <v>35.685000000000002</v>
      </c>
      <c r="F30" s="116">
        <v>45.097999999999999</v>
      </c>
      <c r="G30" s="116">
        <v>85.96761429</v>
      </c>
      <c r="H30" s="116">
        <v>12.32338571</v>
      </c>
      <c r="I30" s="125">
        <v>350.45299999999997</v>
      </c>
      <c r="J30" s="139"/>
      <c r="K30" s="139"/>
      <c r="L30" s="5"/>
      <c r="M30" s="5"/>
      <c r="N30" s="5"/>
    </row>
    <row r="31" spans="1:14" x14ac:dyDescent="0.25">
      <c r="A31" s="5"/>
      <c r="B31" s="123" t="s">
        <v>86</v>
      </c>
      <c r="C31" s="116">
        <v>255.70599999999999</v>
      </c>
      <c r="D31" s="116">
        <v>264.471</v>
      </c>
      <c r="E31" s="116">
        <v>36.563000000000002</v>
      </c>
      <c r="F31" s="116">
        <v>45.328000000000003</v>
      </c>
      <c r="G31" s="116">
        <v>87.303364070000001</v>
      </c>
      <c r="H31" s="116">
        <v>13.536635930000001</v>
      </c>
      <c r="I31" s="125">
        <v>356.54599999999999</v>
      </c>
      <c r="J31" s="139"/>
      <c r="K31" s="139"/>
      <c r="L31" s="5"/>
      <c r="M31" s="5"/>
      <c r="N31" s="5"/>
    </row>
    <row r="32" spans="1:14" ht="18.75" customHeight="1" x14ac:dyDescent="0.25">
      <c r="A32" s="5"/>
      <c r="B32" s="123" t="s">
        <v>87</v>
      </c>
      <c r="C32" s="116">
        <v>257.33800000000002</v>
      </c>
      <c r="D32" s="116">
        <v>267.738</v>
      </c>
      <c r="E32" s="116">
        <v>37.026000000000003</v>
      </c>
      <c r="F32" s="116">
        <v>47.426000000000002</v>
      </c>
      <c r="G32" s="116">
        <v>88.003874459999992</v>
      </c>
      <c r="H32" s="116">
        <v>11.079125540000001</v>
      </c>
      <c r="I32" s="125">
        <v>356.42099999999999</v>
      </c>
      <c r="J32" s="139"/>
      <c r="K32" s="139"/>
      <c r="L32" s="5"/>
      <c r="M32" s="5"/>
      <c r="N32" s="5"/>
    </row>
    <row r="33" spans="1:14" x14ac:dyDescent="0.25">
      <c r="A33" s="5"/>
      <c r="B33" s="123" t="s">
        <v>88</v>
      </c>
      <c r="C33" s="116">
        <v>262.197</v>
      </c>
      <c r="D33" s="116">
        <v>273.23</v>
      </c>
      <c r="E33" s="116">
        <v>37.302999999999997</v>
      </c>
      <c r="F33" s="116">
        <v>48.335999999999999</v>
      </c>
      <c r="G33" s="116">
        <v>88.689928829999999</v>
      </c>
      <c r="H33" s="116">
        <v>12.858071170000001</v>
      </c>
      <c r="I33" s="125">
        <v>363.745</v>
      </c>
      <c r="J33" s="139"/>
      <c r="K33" s="139"/>
      <c r="L33" s="5"/>
      <c r="M33" s="5"/>
      <c r="N33" s="5"/>
    </row>
    <row r="34" spans="1:14" x14ac:dyDescent="0.25">
      <c r="A34" s="5"/>
      <c r="B34" s="123" t="s">
        <v>89</v>
      </c>
      <c r="C34" s="116">
        <v>262.529</v>
      </c>
      <c r="D34" s="116">
        <v>274.66300000000001</v>
      </c>
      <c r="E34" s="116">
        <v>37.899000000000001</v>
      </c>
      <c r="F34" s="116">
        <v>50.033000000000001</v>
      </c>
      <c r="G34" s="116">
        <v>89.87052718999999</v>
      </c>
      <c r="H34" s="116">
        <v>14.04247281</v>
      </c>
      <c r="I34" s="125">
        <v>366.44200000000001</v>
      </c>
      <c r="J34" s="139"/>
      <c r="K34" s="139"/>
      <c r="L34" s="5"/>
      <c r="M34" s="5"/>
      <c r="N34" s="5"/>
    </row>
    <row r="35" spans="1:14" x14ac:dyDescent="0.25">
      <c r="A35" s="5"/>
      <c r="B35" s="123" t="s">
        <v>90</v>
      </c>
      <c r="C35" s="116">
        <v>264.08999999999997</v>
      </c>
      <c r="D35" s="116">
        <v>275.03300000000002</v>
      </c>
      <c r="E35" s="116">
        <v>38.537999999999997</v>
      </c>
      <c r="F35" s="116">
        <v>49.481000000000002</v>
      </c>
      <c r="G35" s="116">
        <v>91.028669530000002</v>
      </c>
      <c r="H35" s="116">
        <v>14.81333047</v>
      </c>
      <c r="I35" s="125">
        <v>369.93200000000002</v>
      </c>
      <c r="J35" s="139"/>
      <c r="K35" s="139"/>
    </row>
    <row r="36" spans="1:14" ht="18.75" customHeight="1" x14ac:dyDescent="0.25">
      <c r="A36" s="5"/>
      <c r="B36" s="123" t="s">
        <v>91</v>
      </c>
      <c r="C36" s="116">
        <v>261.99200000000002</v>
      </c>
      <c r="D36" s="116">
        <v>273.38799999999998</v>
      </c>
      <c r="E36" s="116">
        <v>37.956000000000003</v>
      </c>
      <c r="F36" s="116">
        <v>49.351999999999997</v>
      </c>
      <c r="G36" s="116">
        <v>84.915355859999991</v>
      </c>
      <c r="H36" s="116">
        <v>14.66864414</v>
      </c>
      <c r="I36" s="125">
        <v>361.57600000000002</v>
      </c>
      <c r="J36" s="139"/>
      <c r="K36" s="139"/>
    </row>
    <row r="37" spans="1:14" x14ac:dyDescent="0.25">
      <c r="A37" s="5"/>
      <c r="B37" s="123" t="s">
        <v>92</v>
      </c>
      <c r="C37" s="116">
        <v>255.62700000000001</v>
      </c>
      <c r="D37" s="116">
        <v>266.59199999999998</v>
      </c>
      <c r="E37" s="116">
        <v>37.448999999999998</v>
      </c>
      <c r="F37" s="116">
        <v>48.414000000000001</v>
      </c>
      <c r="G37" s="116">
        <v>79.564888050000008</v>
      </c>
      <c r="H37" s="116">
        <v>21.698111949999998</v>
      </c>
      <c r="I37" s="125">
        <v>356.89</v>
      </c>
      <c r="J37" s="139"/>
      <c r="K37" s="139"/>
    </row>
    <row r="38" spans="1:14" ht="15" customHeight="1" x14ac:dyDescent="0.25">
      <c r="A38" s="5"/>
      <c r="B38" s="123" t="s">
        <v>93</v>
      </c>
      <c r="C38" s="116">
        <v>260.51299999999998</v>
      </c>
      <c r="D38" s="116">
        <v>273.55</v>
      </c>
      <c r="E38" s="116">
        <v>38.08</v>
      </c>
      <c r="F38" s="116">
        <v>51.116999999999997</v>
      </c>
      <c r="G38" s="116">
        <v>83.007266090000002</v>
      </c>
      <c r="H38" s="116">
        <v>23.60173391</v>
      </c>
      <c r="I38" s="125">
        <v>367.12200000000001</v>
      </c>
      <c r="J38" s="139"/>
      <c r="K38" s="139"/>
    </row>
    <row r="39" spans="1:14" ht="15" customHeight="1" x14ac:dyDescent="0.25">
      <c r="A39" s="5"/>
      <c r="B39" s="123" t="s">
        <v>94</v>
      </c>
      <c r="C39" s="116">
        <v>267.17399999999998</v>
      </c>
      <c r="D39" s="116">
        <v>280.54000000000002</v>
      </c>
      <c r="E39" s="116">
        <v>38.624000000000002</v>
      </c>
      <c r="F39" s="116">
        <v>51.99</v>
      </c>
      <c r="G39" s="116">
        <v>83.39148999999999</v>
      </c>
      <c r="H39" s="116">
        <v>18.187510000000003</v>
      </c>
      <c r="I39" s="125">
        <v>368.75299999999999</v>
      </c>
      <c r="J39" s="139"/>
      <c r="K39" s="139"/>
    </row>
    <row r="40" spans="1:14" ht="18.75" customHeight="1" x14ac:dyDescent="0.25">
      <c r="A40" s="5"/>
      <c r="B40" s="123" t="s">
        <v>95</v>
      </c>
      <c r="C40" s="116">
        <v>269.21199999999999</v>
      </c>
      <c r="D40" s="116">
        <v>280.99700000000001</v>
      </c>
      <c r="E40" s="116">
        <v>39.39</v>
      </c>
      <c r="F40" s="116">
        <v>51.174999999999997</v>
      </c>
      <c r="G40" s="116">
        <v>89.073559769999989</v>
      </c>
      <c r="H40" s="116">
        <v>17.656440230000001</v>
      </c>
      <c r="I40" s="125">
        <v>375.94200000000001</v>
      </c>
      <c r="J40" s="139"/>
      <c r="K40" s="139"/>
    </row>
    <row r="41" spans="1:14" ht="15" customHeight="1" x14ac:dyDescent="0.25">
      <c r="A41" s="5"/>
      <c r="B41" s="123" t="s">
        <v>96</v>
      </c>
      <c r="C41" s="116">
        <v>277.90300000000002</v>
      </c>
      <c r="D41" s="116">
        <v>288.50299999999999</v>
      </c>
      <c r="E41" s="116">
        <v>40.587000000000003</v>
      </c>
      <c r="F41" s="116">
        <v>51.186999999999998</v>
      </c>
      <c r="G41" s="116">
        <v>88.597363770000001</v>
      </c>
      <c r="H41" s="116">
        <v>11.873636230000001</v>
      </c>
      <c r="I41" s="125">
        <v>378.37400000000002</v>
      </c>
      <c r="J41" s="139"/>
      <c r="K41" s="139"/>
    </row>
    <row r="42" spans="1:14" ht="15" customHeight="1" x14ac:dyDescent="0.25">
      <c r="A42" s="5"/>
      <c r="B42" s="123" t="s">
        <v>97</v>
      </c>
      <c r="C42" s="116">
        <v>280.97800000000001</v>
      </c>
      <c r="D42" s="116">
        <v>292.06</v>
      </c>
      <c r="E42" s="116">
        <v>41.05</v>
      </c>
      <c r="F42" s="116">
        <v>52.131999999999998</v>
      </c>
      <c r="G42" s="116">
        <v>89.740902000000006</v>
      </c>
      <c r="H42" s="116">
        <v>10.989098</v>
      </c>
      <c r="I42" s="125">
        <v>381.70800000000003</v>
      </c>
      <c r="J42" s="139"/>
      <c r="K42" s="139"/>
    </row>
    <row r="43" spans="1:14" ht="15" customHeight="1" x14ac:dyDescent="0.25">
      <c r="A43" s="5"/>
      <c r="B43" s="123" t="s">
        <v>98</v>
      </c>
      <c r="C43" s="116">
        <v>283.75599999999997</v>
      </c>
      <c r="D43" s="116">
        <v>294.33100000000002</v>
      </c>
      <c r="E43" s="116">
        <v>41.341999999999999</v>
      </c>
      <c r="F43" s="116">
        <v>51.917000000000002</v>
      </c>
      <c r="G43" s="116">
        <v>92.238174459999996</v>
      </c>
      <c r="H43" s="116">
        <v>7.7588255400000001</v>
      </c>
      <c r="I43" s="125">
        <v>383.75299999999999</v>
      </c>
      <c r="J43" s="139"/>
      <c r="K43" s="139"/>
    </row>
    <row r="44" spans="1:14" ht="18.75" customHeight="1" x14ac:dyDescent="0.25">
      <c r="A44" s="5"/>
      <c r="B44" s="123" t="s">
        <v>99</v>
      </c>
      <c r="C44" s="116">
        <v>290.78300000000002</v>
      </c>
      <c r="D44" s="116">
        <v>302.971</v>
      </c>
      <c r="E44" s="116">
        <v>41.796999999999997</v>
      </c>
      <c r="F44" s="116">
        <v>53.984999999999999</v>
      </c>
      <c r="G44" s="116">
        <v>94.209181150000006</v>
      </c>
      <c r="H44" s="116">
        <v>6.6988188499999994</v>
      </c>
      <c r="I44" s="125">
        <v>391.69099999999997</v>
      </c>
      <c r="J44" s="139"/>
      <c r="K44" s="139"/>
    </row>
    <row r="45" spans="1:14" ht="15" customHeight="1" x14ac:dyDescent="0.25">
      <c r="A45" s="5"/>
      <c r="B45" s="123" t="s">
        <v>100</v>
      </c>
      <c r="C45" s="116">
        <v>294.19200000000001</v>
      </c>
      <c r="D45" s="116">
        <v>308.89699999999999</v>
      </c>
      <c r="E45" s="116">
        <v>41.674999999999997</v>
      </c>
      <c r="F45" s="116">
        <v>56.38</v>
      </c>
      <c r="G45" s="116">
        <v>96.664711370000006</v>
      </c>
      <c r="H45" s="116">
        <v>5.3442886300000003</v>
      </c>
      <c r="I45" s="125">
        <v>396.20100000000002</v>
      </c>
      <c r="J45" s="139"/>
      <c r="K45" s="139"/>
    </row>
    <row r="46" spans="1:14" ht="15" customHeight="1" x14ac:dyDescent="0.25">
      <c r="A46" s="5"/>
      <c r="B46" s="123" t="s">
        <v>101</v>
      </c>
      <c r="C46" s="116">
        <v>298.21499999999997</v>
      </c>
      <c r="D46" s="116">
        <v>313.14499999999998</v>
      </c>
      <c r="E46" s="116">
        <v>42.401000000000003</v>
      </c>
      <c r="F46" s="116">
        <v>57.331000000000003</v>
      </c>
      <c r="G46" s="116">
        <v>95.515765110000004</v>
      </c>
      <c r="H46" s="116">
        <v>9.8512348899999989</v>
      </c>
      <c r="I46" s="125">
        <v>403.58199999999999</v>
      </c>
      <c r="J46" s="139"/>
      <c r="K46" s="139"/>
    </row>
    <row r="47" spans="1:14" ht="15" customHeight="1" x14ac:dyDescent="0.25">
      <c r="A47" s="5"/>
      <c r="B47" s="123" t="s">
        <v>102</v>
      </c>
      <c r="C47" s="116">
        <v>306.65600000000001</v>
      </c>
      <c r="D47" s="116">
        <v>320.93400000000003</v>
      </c>
      <c r="E47" s="116">
        <v>42.814</v>
      </c>
      <c r="F47" s="116">
        <v>57.091999999999999</v>
      </c>
      <c r="G47" s="116">
        <v>108.77134238000001</v>
      </c>
      <c r="H47" s="116">
        <v>6.6276576199999999</v>
      </c>
      <c r="I47" s="125">
        <v>422.05500000000001</v>
      </c>
      <c r="J47" s="139"/>
      <c r="K47" s="139"/>
    </row>
    <row r="48" spans="1:14" ht="18.75" customHeight="1" x14ac:dyDescent="0.25">
      <c r="A48" s="5"/>
      <c r="B48" s="123" t="s">
        <v>103</v>
      </c>
      <c r="C48" s="116">
        <v>311.32600000000002</v>
      </c>
      <c r="D48" s="116">
        <v>326.74400000000003</v>
      </c>
      <c r="E48" s="116">
        <v>42.314</v>
      </c>
      <c r="F48" s="116">
        <v>57.731999999999999</v>
      </c>
      <c r="G48" s="116">
        <v>113.75944317</v>
      </c>
      <c r="H48" s="116">
        <v>1.02955683</v>
      </c>
      <c r="I48" s="125">
        <v>426.11500000000001</v>
      </c>
      <c r="J48" s="139"/>
      <c r="K48" s="139"/>
    </row>
    <row r="49" spans="1:22" ht="15" customHeight="1" x14ac:dyDescent="0.25">
      <c r="A49" s="5"/>
      <c r="B49" s="123" t="s">
        <v>104</v>
      </c>
      <c r="C49" s="116">
        <v>315.04700000000003</v>
      </c>
      <c r="D49" s="116">
        <v>332.56799999999998</v>
      </c>
      <c r="E49" s="116">
        <v>42.356999999999999</v>
      </c>
      <c r="F49" s="116">
        <v>59.878</v>
      </c>
      <c r="G49" s="116">
        <v>107.49370621999999</v>
      </c>
      <c r="H49" s="116">
        <v>13.29529378</v>
      </c>
      <c r="I49" s="125">
        <v>435.83600000000001</v>
      </c>
      <c r="J49" s="139"/>
      <c r="K49" s="139"/>
    </row>
    <row r="50" spans="1:22" ht="15" customHeight="1" x14ac:dyDescent="0.25">
      <c r="A50" s="5"/>
      <c r="B50" s="123" t="s">
        <v>105</v>
      </c>
      <c r="C50" s="116">
        <v>320.01100000000002</v>
      </c>
      <c r="D50" s="116">
        <v>334.524</v>
      </c>
      <c r="E50" s="116">
        <v>42.92</v>
      </c>
      <c r="F50" s="116">
        <v>57.433</v>
      </c>
      <c r="G50" s="116">
        <v>109.83013151999999</v>
      </c>
      <c r="H50" s="116">
        <v>7.4908684800000005</v>
      </c>
      <c r="I50" s="125">
        <v>437.33199999999999</v>
      </c>
      <c r="J50" s="139"/>
      <c r="K50" s="139"/>
    </row>
    <row r="51" spans="1:22" ht="15" customHeight="1" x14ac:dyDescent="0.25">
      <c r="A51" s="5"/>
      <c r="B51" s="123" t="s">
        <v>106</v>
      </c>
      <c r="C51" s="116">
        <v>318.05500000000001</v>
      </c>
      <c r="D51" s="116">
        <v>335.28899999999999</v>
      </c>
      <c r="E51" s="116">
        <v>42.293999999999997</v>
      </c>
      <c r="F51" s="116">
        <v>59.527999999999999</v>
      </c>
      <c r="G51" s="116">
        <v>112.10371909</v>
      </c>
      <c r="H51" s="116">
        <v>10.708280909999999</v>
      </c>
      <c r="I51" s="125">
        <v>440.86700000000002</v>
      </c>
      <c r="J51" s="139"/>
      <c r="K51" s="139"/>
    </row>
    <row r="52" spans="1:22" ht="18.75" customHeight="1" x14ac:dyDescent="0.25">
      <c r="A52" s="5"/>
      <c r="B52" s="123" t="s">
        <v>107</v>
      </c>
      <c r="C52" s="116">
        <v>325.92399999999998</v>
      </c>
      <c r="D52" s="116">
        <v>343.71100000000001</v>
      </c>
      <c r="E52" s="116">
        <v>43.673999999999999</v>
      </c>
      <c r="F52" s="116">
        <v>61.460999999999999</v>
      </c>
      <c r="G52" s="116">
        <v>113.81746891</v>
      </c>
      <c r="H52" s="116">
        <v>15.00153109</v>
      </c>
      <c r="I52" s="125">
        <v>454.74299999999999</v>
      </c>
      <c r="J52" s="139"/>
      <c r="K52" s="139"/>
    </row>
    <row r="53" spans="1:22" ht="15" customHeight="1" x14ac:dyDescent="0.25">
      <c r="A53" s="5"/>
      <c r="B53" s="123" t="s">
        <v>108</v>
      </c>
      <c r="C53" s="116">
        <v>329.91699999999997</v>
      </c>
      <c r="D53" s="116">
        <v>348.298</v>
      </c>
      <c r="E53" s="116">
        <v>43.145000000000003</v>
      </c>
      <c r="F53" s="116">
        <v>61.526000000000003</v>
      </c>
      <c r="G53" s="116">
        <v>114.74878127000001</v>
      </c>
      <c r="H53" s="116">
        <v>14.65721873</v>
      </c>
      <c r="I53" s="125">
        <v>459.32299999999998</v>
      </c>
      <c r="J53" s="139"/>
      <c r="K53" s="139"/>
    </row>
    <row r="54" spans="1:22" ht="15" customHeight="1" x14ac:dyDescent="0.25">
      <c r="A54" s="5"/>
      <c r="B54" s="123" t="s">
        <v>109</v>
      </c>
      <c r="C54" s="116">
        <v>337.46800000000002</v>
      </c>
      <c r="D54" s="116">
        <v>354.774</v>
      </c>
      <c r="E54" s="116">
        <v>44.665999999999997</v>
      </c>
      <c r="F54" s="116">
        <v>61.972000000000001</v>
      </c>
      <c r="G54" s="116">
        <v>116.96665618</v>
      </c>
      <c r="H54" s="116">
        <v>14.94434382</v>
      </c>
      <c r="I54" s="125">
        <v>469.37900000000002</v>
      </c>
      <c r="J54" s="139"/>
      <c r="K54" s="139"/>
    </row>
    <row r="55" spans="1:22" ht="15" customHeight="1" x14ac:dyDescent="0.25">
      <c r="A55" s="5"/>
      <c r="B55" s="123" t="s">
        <v>110</v>
      </c>
      <c r="C55" s="116">
        <v>344.60199999999998</v>
      </c>
      <c r="D55" s="116">
        <v>364.09500000000003</v>
      </c>
      <c r="E55" s="116">
        <v>44.847999999999999</v>
      </c>
      <c r="F55" s="116">
        <v>64.340999999999994</v>
      </c>
      <c r="G55" s="116">
        <v>118.77509364000001</v>
      </c>
      <c r="H55" s="116">
        <v>16.44090636</v>
      </c>
      <c r="I55" s="125">
        <v>479.81799999999998</v>
      </c>
      <c r="J55" s="139"/>
      <c r="K55" s="139"/>
    </row>
    <row r="56" spans="1:22" ht="18.75" customHeight="1" x14ac:dyDescent="0.25">
      <c r="A56" s="5"/>
      <c r="B56" s="123" t="s">
        <v>111</v>
      </c>
      <c r="C56" s="116">
        <v>348.59500000000003</v>
      </c>
      <c r="D56" s="116">
        <v>370.274</v>
      </c>
      <c r="E56" s="116">
        <v>44.686</v>
      </c>
      <c r="F56" s="116">
        <v>66.364999999999995</v>
      </c>
      <c r="G56" s="116">
        <v>119.66860878</v>
      </c>
      <c r="H56" s="116">
        <v>14.97939122</v>
      </c>
      <c r="I56" s="125">
        <v>483.24299999999999</v>
      </c>
      <c r="J56" s="139"/>
      <c r="K56" s="139"/>
    </row>
    <row r="57" spans="1:22" ht="15" customHeight="1" x14ac:dyDescent="0.25">
      <c r="A57" s="5"/>
      <c r="B57" s="123" t="s">
        <v>112</v>
      </c>
      <c r="C57" s="116">
        <v>348.99599999999998</v>
      </c>
      <c r="D57" s="116">
        <v>374.072</v>
      </c>
      <c r="E57" s="116">
        <v>44.161999999999999</v>
      </c>
      <c r="F57" s="116">
        <v>69.238</v>
      </c>
      <c r="G57" s="116">
        <v>119.19772513999999</v>
      </c>
      <c r="H57" s="116">
        <v>16.58927486</v>
      </c>
      <c r="I57" s="125">
        <v>484.78300000000002</v>
      </c>
      <c r="J57" s="139"/>
      <c r="K57" s="139"/>
    </row>
    <row r="58" spans="1:22" ht="15" customHeight="1" x14ac:dyDescent="0.25">
      <c r="A58" s="5"/>
      <c r="B58" s="123" t="s">
        <v>113</v>
      </c>
      <c r="C58" s="116">
        <v>353.76499999999999</v>
      </c>
      <c r="D58" s="116">
        <v>381.68200000000002</v>
      </c>
      <c r="E58" s="116">
        <v>44.454999999999998</v>
      </c>
      <c r="F58" s="116">
        <v>72.372</v>
      </c>
      <c r="G58" s="116">
        <v>118.57628067</v>
      </c>
      <c r="H58" s="116">
        <v>12.71971933</v>
      </c>
      <c r="I58" s="125">
        <v>485.06099999999998</v>
      </c>
      <c r="J58" s="139"/>
      <c r="K58" s="139"/>
    </row>
    <row r="59" spans="1:22" ht="15" customHeight="1" x14ac:dyDescent="0.25">
      <c r="A59" s="5"/>
      <c r="B59" s="123" t="s">
        <v>114</v>
      </c>
      <c r="C59" s="116">
        <v>356.29599999999999</v>
      </c>
      <c r="D59" s="116">
        <v>384.94900000000001</v>
      </c>
      <c r="E59" s="116">
        <v>44.421999999999997</v>
      </c>
      <c r="F59" s="116">
        <v>73.075000000000003</v>
      </c>
      <c r="G59" s="116">
        <v>120.42776229</v>
      </c>
      <c r="H59" s="116">
        <v>15.96223771</v>
      </c>
      <c r="I59" s="125">
        <v>492.68599999999998</v>
      </c>
      <c r="J59" s="139"/>
      <c r="K59" s="139"/>
    </row>
    <row r="60" spans="1:22" ht="18.75" customHeight="1" x14ac:dyDescent="0.25">
      <c r="A60" s="5"/>
      <c r="B60" s="123" t="s">
        <v>115</v>
      </c>
      <c r="C60" s="116">
        <v>362.94200000000001</v>
      </c>
      <c r="D60" s="116">
        <v>392.99099999999999</v>
      </c>
      <c r="E60" s="116">
        <v>45.962000000000003</v>
      </c>
      <c r="F60" s="116">
        <v>76.010999999999996</v>
      </c>
      <c r="G60" s="116">
        <v>121.32764787000001</v>
      </c>
      <c r="H60" s="116">
        <v>8.3563521299999994</v>
      </c>
      <c r="I60" s="125">
        <v>492.62599999999998</v>
      </c>
      <c r="J60" s="139"/>
      <c r="K60" s="139"/>
    </row>
    <row r="61" spans="1:22" ht="15" customHeight="1" x14ac:dyDescent="0.25">
      <c r="A61" s="5"/>
      <c r="B61" s="123" t="s">
        <v>116</v>
      </c>
      <c r="C61" s="116">
        <v>364.78401956399995</v>
      </c>
      <c r="D61" s="116">
        <v>393.97426736400001</v>
      </c>
      <c r="E61" s="116">
        <v>45.565752200000006</v>
      </c>
      <c r="F61" s="116">
        <v>74.756</v>
      </c>
      <c r="G61" s="116">
        <v>121.48150533600004</v>
      </c>
      <c r="H61" s="116">
        <v>10.000149099999994</v>
      </c>
      <c r="I61" s="125">
        <v>496.26567399999999</v>
      </c>
      <c r="J61" s="139"/>
      <c r="K61" s="139"/>
    </row>
    <row r="62" spans="1:22" ht="15" customHeight="1" x14ac:dyDescent="0.25">
      <c r="A62" s="5"/>
      <c r="B62" s="123" t="s">
        <v>117</v>
      </c>
      <c r="C62" s="116">
        <v>367.58716386699996</v>
      </c>
      <c r="D62" s="116">
        <v>397.719202967</v>
      </c>
      <c r="E62" s="116">
        <v>45.685162499999997</v>
      </c>
      <c r="F62" s="116">
        <v>75.817201299999994</v>
      </c>
      <c r="G62" s="116">
        <v>123.86451209300004</v>
      </c>
      <c r="H62" s="116">
        <v>5.9989770399999855</v>
      </c>
      <c r="I62" s="125">
        <v>497.45065299999999</v>
      </c>
      <c r="J62" s="139"/>
      <c r="K62" s="139"/>
    </row>
    <row r="63" spans="1:22" ht="15" customHeight="1" x14ac:dyDescent="0.25">
      <c r="A63" s="5"/>
      <c r="B63" s="123" t="s">
        <v>118</v>
      </c>
      <c r="C63" s="116">
        <v>370.49048367300003</v>
      </c>
      <c r="D63" s="116">
        <v>400.69196137299991</v>
      </c>
      <c r="E63" s="116">
        <v>46.161567300000002</v>
      </c>
      <c r="F63" s="116">
        <v>76.363045</v>
      </c>
      <c r="G63" s="116">
        <v>125.63989845700002</v>
      </c>
      <c r="H63" s="116">
        <v>5.8672458700000023</v>
      </c>
      <c r="I63" s="125">
        <v>501.99762800000002</v>
      </c>
      <c r="J63" s="139"/>
      <c r="K63" s="139"/>
    </row>
    <row r="64" spans="1:22" s="2" customFormat="1" ht="18.75" customHeight="1" x14ac:dyDescent="0.25">
      <c r="A64" s="7"/>
      <c r="B64" s="123" t="s">
        <v>119</v>
      </c>
      <c r="C64" s="116">
        <v>374.08608525</v>
      </c>
      <c r="D64" s="116">
        <v>404.73826714999996</v>
      </c>
      <c r="E64" s="116">
        <v>46.727696900000005</v>
      </c>
      <c r="F64" s="116">
        <v>77.379878399999996</v>
      </c>
      <c r="G64" s="116">
        <v>126.8061252</v>
      </c>
      <c r="H64" s="116">
        <v>6.1806805499999982</v>
      </c>
      <c r="I64" s="125">
        <v>507.07289100000003</v>
      </c>
      <c r="J64" s="139"/>
      <c r="K64" s="139"/>
      <c r="L64" s="116"/>
      <c r="M64" s="116"/>
      <c r="N64" s="116"/>
      <c r="O64" s="116"/>
      <c r="P64" s="116"/>
      <c r="Q64" s="116"/>
      <c r="R64" s="116"/>
      <c r="U64" s="27"/>
      <c r="V64" s="27"/>
    </row>
    <row r="65" spans="1:22" s="2" customFormat="1" ht="15.75" x14ac:dyDescent="0.25">
      <c r="A65" s="7"/>
      <c r="B65" s="123" t="s">
        <v>120</v>
      </c>
      <c r="C65" s="116">
        <v>376.73163735499998</v>
      </c>
      <c r="D65" s="116">
        <v>407.18111715500004</v>
      </c>
      <c r="E65" s="116">
        <v>47.1768784</v>
      </c>
      <c r="F65" s="116">
        <v>77.626358100000004</v>
      </c>
      <c r="G65" s="116">
        <v>128.28876624500009</v>
      </c>
      <c r="H65" s="116">
        <v>6.4611263999999995</v>
      </c>
      <c r="I65" s="125">
        <v>511.48153000000002</v>
      </c>
      <c r="J65" s="139"/>
      <c r="K65" s="139"/>
      <c r="L65" s="116"/>
      <c r="M65" s="116"/>
      <c r="N65" s="116"/>
      <c r="O65" s="116"/>
      <c r="P65" s="116"/>
      <c r="Q65" s="116"/>
      <c r="R65" s="116"/>
      <c r="U65" s="27"/>
      <c r="V65" s="27"/>
    </row>
    <row r="66" spans="1:22" s="2" customFormat="1" ht="15.75" x14ac:dyDescent="0.25">
      <c r="A66" s="7"/>
      <c r="B66" s="123" t="s">
        <v>121</v>
      </c>
      <c r="C66" s="116">
        <v>379.21049121300001</v>
      </c>
      <c r="D66" s="116">
        <v>409.79594931299999</v>
      </c>
      <c r="E66" s="116">
        <v>47.607166100000001</v>
      </c>
      <c r="F66" s="116">
        <v>78.192624100000003</v>
      </c>
      <c r="G66" s="116">
        <v>129.49514149699996</v>
      </c>
      <c r="H66" s="116">
        <v>6.8106562899999901</v>
      </c>
      <c r="I66" s="125">
        <v>515.51628900000003</v>
      </c>
      <c r="J66" s="139"/>
      <c r="K66" s="139"/>
      <c r="L66" s="116"/>
      <c r="M66" s="116"/>
      <c r="N66" s="116"/>
      <c r="O66" s="116"/>
      <c r="P66" s="116"/>
      <c r="Q66" s="116"/>
      <c r="R66" s="116"/>
      <c r="U66" s="27"/>
      <c r="V66" s="27"/>
    </row>
    <row r="67" spans="1:22" s="2" customFormat="1" ht="15.75" x14ac:dyDescent="0.25">
      <c r="A67" s="7"/>
      <c r="B67" s="123" t="s">
        <v>122</v>
      </c>
      <c r="C67" s="116">
        <v>381.62916009899999</v>
      </c>
      <c r="D67" s="116">
        <v>412.31465269899996</v>
      </c>
      <c r="E67" s="116">
        <v>48.031502600000003</v>
      </c>
      <c r="F67" s="116">
        <v>78.716995100000005</v>
      </c>
      <c r="G67" s="116">
        <v>130.77767414100001</v>
      </c>
      <c r="H67" s="116">
        <v>7.0260597599999892</v>
      </c>
      <c r="I67" s="125">
        <v>519.43289399999992</v>
      </c>
      <c r="J67" s="139"/>
      <c r="K67" s="139"/>
      <c r="L67" s="116"/>
      <c r="M67" s="116"/>
      <c r="N67" s="116"/>
      <c r="O67" s="116"/>
      <c r="P67" s="116"/>
      <c r="Q67" s="116"/>
      <c r="R67" s="116"/>
      <c r="U67" s="27"/>
      <c r="V67" s="27"/>
    </row>
    <row r="68" spans="1:22" ht="18.75" customHeight="1" x14ac:dyDescent="0.25">
      <c r="A68" s="5"/>
      <c r="B68" s="123" t="s">
        <v>123</v>
      </c>
      <c r="C68" s="116">
        <v>384.10291030200005</v>
      </c>
      <c r="D68" s="116">
        <v>414.85711310199997</v>
      </c>
      <c r="E68" s="116">
        <v>48.464456400000003</v>
      </c>
      <c r="F68" s="116">
        <v>79.218659100000011</v>
      </c>
      <c r="G68" s="116">
        <v>132.14144155799991</v>
      </c>
      <c r="H68" s="116">
        <v>7.1966601400000121</v>
      </c>
      <c r="I68" s="125">
        <v>523.441012</v>
      </c>
      <c r="J68" s="139"/>
      <c r="K68" s="139"/>
    </row>
    <row r="69" spans="1:22" ht="15" customHeight="1" x14ac:dyDescent="0.25">
      <c r="A69" s="5"/>
      <c r="B69" s="123" t="s">
        <v>124</v>
      </c>
      <c r="C69" s="116">
        <v>386.62429899600005</v>
      </c>
      <c r="D69" s="116">
        <v>417.47015449599996</v>
      </c>
      <c r="E69" s="116">
        <v>48.9050765</v>
      </c>
      <c r="F69" s="116">
        <v>79.750932000000006</v>
      </c>
      <c r="G69" s="116">
        <v>133.54942521399994</v>
      </c>
      <c r="H69" s="116">
        <v>7.2428487900000196</v>
      </c>
      <c r="I69" s="125">
        <v>527.41657299999997</v>
      </c>
      <c r="J69" s="139"/>
      <c r="K69" s="139"/>
    </row>
    <row r="70" spans="1:22" ht="15" customHeight="1" x14ac:dyDescent="0.25">
      <c r="A70" s="5"/>
      <c r="B70" s="123" t="s">
        <v>125</v>
      </c>
      <c r="C70" s="116">
        <v>389.383907233</v>
      </c>
      <c r="D70" s="116">
        <v>420.38589803299999</v>
      </c>
      <c r="E70" s="116">
        <v>49.377629599999999</v>
      </c>
      <c r="F70" s="116">
        <v>80.379620700000004</v>
      </c>
      <c r="G70" s="116">
        <v>134.96582673700004</v>
      </c>
      <c r="H70" s="116">
        <v>7.0417050299999921</v>
      </c>
      <c r="I70" s="125">
        <v>531.39143899999999</v>
      </c>
      <c r="J70" s="139"/>
      <c r="K70" s="139"/>
    </row>
    <row r="71" spans="1:22" ht="15" customHeight="1" x14ac:dyDescent="0.25">
      <c r="A71" s="5"/>
      <c r="B71" s="123" t="s">
        <v>126</v>
      </c>
      <c r="C71" s="116">
        <v>392.24221167399998</v>
      </c>
      <c r="D71" s="116">
        <v>423.51136367399994</v>
      </c>
      <c r="E71" s="116">
        <v>49.864554200000001</v>
      </c>
      <c r="F71" s="116">
        <v>81.133706600000011</v>
      </c>
      <c r="G71" s="116">
        <v>136.300065386</v>
      </c>
      <c r="H71" s="116">
        <v>6.5714939399999919</v>
      </c>
      <c r="I71" s="125">
        <v>535.11377099999993</v>
      </c>
      <c r="J71" s="139"/>
      <c r="K71" s="139"/>
    </row>
    <row r="72" spans="1:22" ht="15" customHeight="1" x14ac:dyDescent="0.25">
      <c r="A72" s="5"/>
      <c r="B72" s="123" t="s">
        <v>127</v>
      </c>
      <c r="C72" s="116">
        <v>395.11387461100003</v>
      </c>
      <c r="D72" s="116">
        <v>426.756643811</v>
      </c>
      <c r="E72" s="116">
        <v>50.355029600000002</v>
      </c>
      <c r="F72" s="116">
        <v>81.997797900000009</v>
      </c>
      <c r="G72" s="116">
        <v>137.65217376900003</v>
      </c>
      <c r="H72" s="116">
        <v>5.8763196199999905</v>
      </c>
      <c r="I72" s="125">
        <v>538.64236800000003</v>
      </c>
      <c r="J72" s="139"/>
      <c r="K72" s="139"/>
    </row>
    <row r="73" spans="1:22" ht="15" customHeight="1" x14ac:dyDescent="0.25">
      <c r="A73" s="5"/>
      <c r="B73" s="123" t="s">
        <v>128</v>
      </c>
      <c r="C73" s="116">
        <v>398.08414009100005</v>
      </c>
      <c r="D73" s="116">
        <v>430.15110949099994</v>
      </c>
      <c r="E73" s="116">
        <v>50.859960400000013</v>
      </c>
      <c r="F73" s="116">
        <v>82.926929900000005</v>
      </c>
      <c r="G73" s="116">
        <v>139.02569036899993</v>
      </c>
      <c r="H73" s="116">
        <v>5.0743705400000021</v>
      </c>
      <c r="I73" s="125">
        <v>542.18420100000003</v>
      </c>
      <c r="J73" s="139"/>
      <c r="K73" s="139"/>
    </row>
    <row r="74" spans="1:22" ht="15" customHeight="1" x14ac:dyDescent="0.25">
      <c r="A74" s="5"/>
      <c r="B74" s="123" t="s">
        <v>129</v>
      </c>
      <c r="C74" s="116">
        <v>401.19995487400001</v>
      </c>
      <c r="D74" s="116">
        <v>433.64781017399997</v>
      </c>
      <c r="E74" s="116">
        <v>51.385431299999986</v>
      </c>
      <c r="F74" s="116">
        <v>83.833286799999996</v>
      </c>
      <c r="G74" s="116">
        <v>140.44509935599999</v>
      </c>
      <c r="H74" s="116">
        <v>4.3784037700000082</v>
      </c>
      <c r="I74" s="125">
        <v>546.02345800000001</v>
      </c>
      <c r="J74" s="139"/>
      <c r="K74" s="139"/>
    </row>
    <row r="75" spans="1:22" ht="15" customHeight="1" x14ac:dyDescent="0.25">
      <c r="A75" s="5"/>
      <c r="B75" s="123" t="s">
        <v>130</v>
      </c>
      <c r="C75" s="116">
        <v>404.31690176199993</v>
      </c>
      <c r="D75" s="116">
        <v>437.05685176200001</v>
      </c>
      <c r="E75" s="116">
        <v>51.9129802</v>
      </c>
      <c r="F75" s="116">
        <v>84.652930600000019</v>
      </c>
      <c r="G75" s="116">
        <v>141.77380015800006</v>
      </c>
      <c r="H75" s="116">
        <v>3.8885110799999993</v>
      </c>
      <c r="I75" s="125">
        <v>549.97921299999996</v>
      </c>
      <c r="J75" s="139"/>
      <c r="K75" s="139"/>
    </row>
    <row r="76" spans="1:22" ht="15" customHeight="1" x14ac:dyDescent="0.25">
      <c r="A76" s="5"/>
      <c r="B76" s="47" t="s">
        <v>131</v>
      </c>
      <c r="C76" s="116">
        <v>407.65239659600002</v>
      </c>
      <c r="D76" s="116">
        <v>440.56583679600004</v>
      </c>
      <c r="E76" s="116">
        <v>52.470671199999998</v>
      </c>
      <c r="F76" s="116">
        <v>85.384111699999991</v>
      </c>
      <c r="G76" s="116">
        <v>143.11146952399992</v>
      </c>
      <c r="H76" s="116">
        <v>3.6264808800000066</v>
      </c>
      <c r="I76" s="125">
        <v>554.39034699999991</v>
      </c>
      <c r="J76" s="139"/>
      <c r="K76" s="139"/>
    </row>
    <row r="77" spans="1:22" ht="15" customHeight="1" x14ac:dyDescent="0.25">
      <c r="A77" s="5"/>
      <c r="B77" s="47" t="s">
        <v>132</v>
      </c>
      <c r="C77" s="116">
        <v>411.0181897760001</v>
      </c>
      <c r="D77" s="116">
        <v>444.06986477599997</v>
      </c>
      <c r="E77" s="116">
        <v>53.034710199999999</v>
      </c>
      <c r="F77" s="116">
        <v>86.086384600000002</v>
      </c>
      <c r="G77" s="116">
        <v>144.47472275399991</v>
      </c>
      <c r="H77" s="116">
        <v>3.5836334699999832</v>
      </c>
      <c r="I77" s="125">
        <v>559.07654600000001</v>
      </c>
      <c r="J77" s="139"/>
      <c r="K77" s="139"/>
    </row>
    <row r="78" spans="1:22" ht="15" customHeight="1" x14ac:dyDescent="0.25">
      <c r="A78" s="5"/>
      <c r="B78" s="47" t="s">
        <v>133</v>
      </c>
      <c r="C78" s="116">
        <v>414.47686692000002</v>
      </c>
      <c r="D78" s="116">
        <v>447.60382512000001</v>
      </c>
      <c r="E78" s="116">
        <v>53.613237999999996</v>
      </c>
      <c r="F78" s="116">
        <v>86.740196100000006</v>
      </c>
      <c r="G78" s="116">
        <v>145.72757128000003</v>
      </c>
      <c r="H78" s="116">
        <v>3.4794347999999937</v>
      </c>
      <c r="I78" s="125">
        <v>563.68387300000006</v>
      </c>
      <c r="J78" s="139"/>
      <c r="K78" s="139"/>
    </row>
    <row r="79" spans="1:22" ht="15" customHeight="1" x14ac:dyDescent="0.25">
      <c r="A79" s="5"/>
      <c r="B79" s="47" t="s">
        <v>134</v>
      </c>
      <c r="C79" s="116">
        <v>417.891927904</v>
      </c>
      <c r="D79" s="116">
        <v>451.10827680400001</v>
      </c>
      <c r="E79" s="116">
        <v>54.188630500000002</v>
      </c>
      <c r="F79" s="116">
        <v>87.4049792</v>
      </c>
      <c r="G79" s="116">
        <v>146.94633565600006</v>
      </c>
      <c r="H79" s="116">
        <v>3.2591514400000015</v>
      </c>
      <c r="I79" s="125">
        <v>568.09741500000007</v>
      </c>
      <c r="J79" s="139"/>
      <c r="K79" s="139"/>
    </row>
    <row r="80" spans="1:22" ht="15" customHeight="1" x14ac:dyDescent="0.25">
      <c r="A80" s="5"/>
      <c r="B80" s="47" t="s">
        <v>135</v>
      </c>
      <c r="C80" s="116">
        <v>421.19970467400003</v>
      </c>
      <c r="D80" s="116">
        <v>454.54163187400002</v>
      </c>
      <c r="E80" s="116">
        <v>54.752576399999995</v>
      </c>
      <c r="F80" s="116">
        <v>88.0945033</v>
      </c>
      <c r="G80" s="116">
        <v>148.13536801599992</v>
      </c>
      <c r="H80" s="116">
        <v>2.8950223100000168</v>
      </c>
      <c r="I80" s="125">
        <v>572.23009500000001</v>
      </c>
      <c r="J80" s="139"/>
      <c r="K80" s="139"/>
    </row>
    <row r="81" spans="1:26" ht="15" customHeight="1" x14ac:dyDescent="0.25">
      <c r="A81" s="5"/>
      <c r="B81" s="47" t="s">
        <v>645</v>
      </c>
      <c r="C81" s="116">
        <v>424.49084461100006</v>
      </c>
      <c r="D81" s="116">
        <v>457.92597091100004</v>
      </c>
      <c r="E81" s="116">
        <v>55.316797899999997</v>
      </c>
      <c r="F81" s="116">
        <v>88.751924100000011</v>
      </c>
      <c r="G81" s="116">
        <v>149.32378420900002</v>
      </c>
      <c r="H81" s="116">
        <v>2.3581071799999682</v>
      </c>
      <c r="I81" s="125">
        <v>576.17273599999999</v>
      </c>
      <c r="J81" s="139"/>
      <c r="K81" s="139"/>
    </row>
    <row r="82" spans="1:26" ht="15" customHeight="1" x14ac:dyDescent="0.25">
      <c r="A82" s="5"/>
      <c r="B82" s="47" t="s">
        <v>646</v>
      </c>
      <c r="C82" s="116">
        <v>427.70345056500003</v>
      </c>
      <c r="D82" s="116">
        <v>461.27875046499997</v>
      </c>
      <c r="E82" s="116">
        <v>55.873207300000004</v>
      </c>
      <c r="F82" s="116">
        <v>89.448507599999999</v>
      </c>
      <c r="G82" s="116">
        <v>150.46832678499996</v>
      </c>
      <c r="H82" s="116">
        <v>1.8906486500000128</v>
      </c>
      <c r="I82" s="125">
        <v>580.06242599999996</v>
      </c>
      <c r="J82" s="139"/>
      <c r="K82" s="139"/>
    </row>
    <row r="83" spans="1:26" ht="15" customHeight="1" x14ac:dyDescent="0.25">
      <c r="A83" s="5"/>
      <c r="B83" s="47" t="s">
        <v>647</v>
      </c>
      <c r="C83" s="116">
        <v>430.96512946000001</v>
      </c>
      <c r="D83" s="116">
        <v>464.66734925999998</v>
      </c>
      <c r="E83" s="116">
        <v>56.4384722</v>
      </c>
      <c r="F83" s="116">
        <v>90.140692000000001</v>
      </c>
      <c r="G83" s="116">
        <v>151.60316888</v>
      </c>
      <c r="H83" s="116">
        <v>1.5240626600000005</v>
      </c>
      <c r="I83" s="125">
        <v>584.09236099999998</v>
      </c>
      <c r="J83" s="139"/>
      <c r="K83" s="139"/>
    </row>
    <row r="84" spans="1:26" ht="15" customHeight="1" x14ac:dyDescent="0.25">
      <c r="A84" s="5"/>
      <c r="B84" s="47" t="s">
        <v>648</v>
      </c>
      <c r="C84" s="116">
        <v>434.16356657</v>
      </c>
      <c r="D84" s="116">
        <v>467.97648347000001</v>
      </c>
      <c r="E84" s="116">
        <v>56.997860099999997</v>
      </c>
      <c r="F84" s="116">
        <v>90.810777000000002</v>
      </c>
      <c r="G84" s="116">
        <v>152.73115867999991</v>
      </c>
      <c r="H84" s="116">
        <v>1.2981217500000257</v>
      </c>
      <c r="I84" s="125">
        <v>588.19284699999992</v>
      </c>
      <c r="J84" s="139"/>
      <c r="K84" s="139"/>
    </row>
    <row r="85" spans="1:26" x14ac:dyDescent="0.25">
      <c r="A85" s="5"/>
      <c r="B85" s="128">
        <v>2012</v>
      </c>
      <c r="C85" s="164">
        <v>789.68499999999995</v>
      </c>
      <c r="D85" s="164">
        <v>841.54399999999998</v>
      </c>
      <c r="E85" s="164">
        <v>103.151</v>
      </c>
      <c r="F85" s="164">
        <v>155.01</v>
      </c>
      <c r="G85" s="164">
        <v>262.71399998999999</v>
      </c>
      <c r="H85" s="164">
        <v>77.618000010000003</v>
      </c>
      <c r="I85" s="165">
        <v>1130.0170000000001</v>
      </c>
      <c r="K85" s="139"/>
    </row>
    <row r="86" spans="1:26" x14ac:dyDescent="0.25">
      <c r="A86" s="5"/>
      <c r="B86" s="8">
        <v>2013</v>
      </c>
      <c r="C86" s="116">
        <v>826.38</v>
      </c>
      <c r="D86" s="116">
        <v>873.63</v>
      </c>
      <c r="E86" s="116">
        <v>108.508</v>
      </c>
      <c r="F86" s="116">
        <v>155.75800000000001</v>
      </c>
      <c r="G86" s="116">
        <v>270.20699999999999</v>
      </c>
      <c r="H86" s="116">
        <v>79.349999999999994</v>
      </c>
      <c r="I86" s="148">
        <v>1175.9369999999999</v>
      </c>
      <c r="K86" s="139"/>
      <c r="L86" s="166"/>
      <c r="M86" s="166"/>
      <c r="N86" s="167"/>
      <c r="O86" s="167"/>
      <c r="P86" s="167"/>
      <c r="Q86" s="168"/>
      <c r="R86" s="168"/>
      <c r="S86" s="168"/>
      <c r="T86" s="168"/>
      <c r="U86" s="168"/>
      <c r="V86" s="169"/>
      <c r="W86" s="169"/>
      <c r="X86" s="169"/>
      <c r="Y86" s="169"/>
      <c r="Z86" s="169"/>
    </row>
    <row r="87" spans="1:26" ht="15" customHeight="1" x14ac:dyDescent="0.25">
      <c r="A87" s="5"/>
      <c r="B87" s="8">
        <v>2014</v>
      </c>
      <c r="C87" s="116">
        <v>860.66099999999994</v>
      </c>
      <c r="D87" s="116">
        <v>896.13400000000001</v>
      </c>
      <c r="E87" s="116">
        <v>115.63200000000001</v>
      </c>
      <c r="F87" s="116">
        <v>151.10499999999999</v>
      </c>
      <c r="G87" s="116">
        <v>281.505</v>
      </c>
      <c r="H87" s="116">
        <v>75.724999999999994</v>
      </c>
      <c r="I87" s="148">
        <v>1217.8910000000001</v>
      </c>
      <c r="K87" s="139"/>
      <c r="L87" s="166"/>
      <c r="M87" s="166"/>
      <c r="N87" s="167"/>
      <c r="O87" s="167"/>
      <c r="P87" s="167"/>
      <c r="Q87" s="168"/>
      <c r="R87" s="168"/>
      <c r="S87" s="168"/>
      <c r="T87" s="168"/>
      <c r="U87" s="168"/>
      <c r="V87" s="169"/>
      <c r="W87" s="169"/>
      <c r="X87" s="169"/>
      <c r="Y87" s="169"/>
      <c r="Z87" s="169"/>
    </row>
    <row r="88" spans="1:26" ht="15" customHeight="1" x14ac:dyDescent="0.25">
      <c r="A88" s="5"/>
      <c r="B88" s="8">
        <v>2015</v>
      </c>
      <c r="C88" s="116">
        <v>892.399</v>
      </c>
      <c r="D88" s="116">
        <v>926.21799999999996</v>
      </c>
      <c r="E88" s="116">
        <v>122.58199999999999</v>
      </c>
      <c r="F88" s="116">
        <v>156.40100000000001</v>
      </c>
      <c r="G88" s="116">
        <v>321.46899998999999</v>
      </c>
      <c r="H88" s="116">
        <v>73.248000009999998</v>
      </c>
      <c r="I88" s="148">
        <v>1287.116</v>
      </c>
      <c r="K88" s="139"/>
      <c r="L88" s="166"/>
      <c r="M88" s="166"/>
      <c r="N88" s="167"/>
      <c r="O88" s="167"/>
      <c r="P88" s="167"/>
      <c r="Q88" s="168"/>
      <c r="R88" s="168"/>
      <c r="S88" s="168"/>
      <c r="T88" s="168"/>
      <c r="U88" s="168"/>
      <c r="V88" s="169"/>
      <c r="W88" s="169"/>
      <c r="X88" s="169"/>
      <c r="Y88" s="169"/>
      <c r="Z88" s="169"/>
    </row>
    <row r="89" spans="1:26" ht="15" customHeight="1" x14ac:dyDescent="0.25">
      <c r="A89" s="5"/>
      <c r="B89" s="8">
        <v>2016</v>
      </c>
      <c r="C89" s="116">
        <v>923.303</v>
      </c>
      <c r="D89" s="116">
        <v>963.41899999999998</v>
      </c>
      <c r="E89" s="116">
        <v>126.455</v>
      </c>
      <c r="F89" s="116">
        <v>166.571</v>
      </c>
      <c r="G89" s="116">
        <v>321.45700001</v>
      </c>
      <c r="H89" s="116">
        <v>67.972999989999991</v>
      </c>
      <c r="I89" s="148">
        <v>1312.7329999999999</v>
      </c>
      <c r="K89" s="139"/>
      <c r="L89" s="166"/>
      <c r="M89" s="166"/>
      <c r="N89" s="167"/>
      <c r="O89" s="167"/>
      <c r="P89" s="167"/>
      <c r="Q89" s="168"/>
      <c r="R89" s="168"/>
      <c r="S89" s="168"/>
      <c r="T89" s="168"/>
      <c r="U89" s="168"/>
      <c r="V89" s="169"/>
      <c r="W89" s="169"/>
      <c r="X89" s="169"/>
      <c r="Y89" s="169"/>
      <c r="Z89" s="169"/>
    </row>
    <row r="90" spans="1:26" ht="15" customHeight="1" x14ac:dyDescent="0.25">
      <c r="A90" s="5"/>
      <c r="B90" s="8">
        <v>2017</v>
      </c>
      <c r="C90" s="116">
        <v>966.72</v>
      </c>
      <c r="D90" s="116">
        <v>1001.099</v>
      </c>
      <c r="E90" s="116">
        <v>138.119</v>
      </c>
      <c r="F90" s="116">
        <v>172.49799999999999</v>
      </c>
      <c r="G90" s="116">
        <v>325.31700000000001</v>
      </c>
      <c r="H90" s="116">
        <v>56.338000000000001</v>
      </c>
      <c r="I90" s="148">
        <v>1348.375</v>
      </c>
      <c r="K90" s="139"/>
      <c r="L90" s="166"/>
      <c r="M90" s="166"/>
      <c r="N90" s="167"/>
      <c r="O90" s="167"/>
      <c r="P90" s="167"/>
      <c r="Q90" s="168"/>
      <c r="R90" s="168"/>
      <c r="S90" s="168"/>
      <c r="T90" s="168"/>
      <c r="U90" s="168"/>
      <c r="V90" s="169"/>
      <c r="W90" s="169"/>
      <c r="X90" s="169"/>
      <c r="Y90" s="169"/>
      <c r="Z90" s="169"/>
    </row>
    <row r="91" spans="1:26" ht="15" customHeight="1" x14ac:dyDescent="0.25">
      <c r="A91" s="5"/>
      <c r="B91" s="8">
        <v>2018</v>
      </c>
      <c r="C91" s="116">
        <v>1005.4349999999999</v>
      </c>
      <c r="D91" s="116">
        <v>1042.0250000000001</v>
      </c>
      <c r="E91" s="116">
        <v>143.10599999999999</v>
      </c>
      <c r="F91" s="116">
        <v>179.696</v>
      </c>
      <c r="G91" s="116">
        <v>342.46899999999999</v>
      </c>
      <c r="H91" s="116">
        <v>54.71</v>
      </c>
      <c r="I91" s="148">
        <v>1402.614</v>
      </c>
      <c r="K91" s="139"/>
      <c r="L91" s="166"/>
      <c r="M91" s="166"/>
      <c r="N91" s="167"/>
      <c r="O91" s="167"/>
      <c r="P91" s="167"/>
      <c r="Q91" s="168"/>
      <c r="R91" s="168"/>
      <c r="S91" s="168"/>
      <c r="T91" s="168"/>
      <c r="U91" s="168"/>
      <c r="V91" s="169"/>
      <c r="W91" s="169"/>
      <c r="X91" s="169"/>
      <c r="Y91" s="169"/>
      <c r="Z91" s="169"/>
    </row>
    <row r="92" spans="1:26" ht="15" customHeight="1" x14ac:dyDescent="0.25">
      <c r="A92" s="5"/>
      <c r="B92" s="8">
        <v>2019</v>
      </c>
      <c r="C92" s="116">
        <v>1046.154</v>
      </c>
      <c r="D92" s="116">
        <v>1090.664</v>
      </c>
      <c r="E92" s="116">
        <v>150.76599999999999</v>
      </c>
      <c r="F92" s="116">
        <v>195.27600000000001</v>
      </c>
      <c r="G92" s="116">
        <v>357.59300001000003</v>
      </c>
      <c r="H92" s="116">
        <v>52.792999989999998</v>
      </c>
      <c r="I92" s="148">
        <v>1456.54</v>
      </c>
      <c r="K92" s="139"/>
      <c r="L92" s="166"/>
      <c r="M92" s="166"/>
      <c r="N92" s="167"/>
      <c r="O92" s="167"/>
      <c r="P92" s="167"/>
      <c r="Q92" s="168"/>
      <c r="R92" s="168"/>
      <c r="S92" s="168"/>
      <c r="T92" s="168"/>
      <c r="U92" s="168"/>
      <c r="V92" s="169"/>
      <c r="W92" s="169"/>
      <c r="X92" s="169"/>
      <c r="Y92" s="169"/>
      <c r="Z92" s="169"/>
    </row>
    <row r="93" spans="1:26" ht="15" customHeight="1" x14ac:dyDescent="0.25">
      <c r="A93" s="5"/>
      <c r="B93" s="8">
        <v>2020</v>
      </c>
      <c r="C93" s="116">
        <v>1045.306</v>
      </c>
      <c r="D93" s="116">
        <v>1094.07</v>
      </c>
      <c r="E93" s="116">
        <v>152.10900000000001</v>
      </c>
      <c r="F93" s="116">
        <v>200.87299999999999</v>
      </c>
      <c r="G93" s="116">
        <v>330.87900000000002</v>
      </c>
      <c r="H93" s="116">
        <v>78.156000000000006</v>
      </c>
      <c r="I93" s="148">
        <v>1454.3409999999999</v>
      </c>
      <c r="J93" s="1" t="s">
        <v>24</v>
      </c>
      <c r="K93" s="139"/>
      <c r="L93" s="166"/>
      <c r="M93" s="166"/>
      <c r="N93" s="167"/>
      <c r="O93" s="167"/>
      <c r="P93" s="167"/>
      <c r="Q93" s="168"/>
      <c r="R93" s="168"/>
      <c r="S93" s="168"/>
      <c r="T93" s="168"/>
      <c r="U93" s="168"/>
      <c r="V93" s="169"/>
      <c r="W93" s="169"/>
      <c r="X93" s="169"/>
      <c r="Y93" s="169"/>
      <c r="Z93" s="169"/>
    </row>
    <row r="94" spans="1:26" ht="15" customHeight="1" x14ac:dyDescent="0.25">
      <c r="A94" s="5"/>
      <c r="B94" s="8">
        <v>2021</v>
      </c>
      <c r="C94" s="116">
        <v>1111.8489999999999</v>
      </c>
      <c r="D94" s="116">
        <v>1155.8910000000001</v>
      </c>
      <c r="E94" s="116">
        <v>162.369</v>
      </c>
      <c r="F94" s="116">
        <v>206.411</v>
      </c>
      <c r="G94" s="116">
        <v>359.65</v>
      </c>
      <c r="H94" s="116">
        <v>48.277999999999999</v>
      </c>
      <c r="I94" s="148">
        <v>1519.777</v>
      </c>
      <c r="K94" s="139"/>
      <c r="L94" s="166"/>
      <c r="M94" s="166"/>
      <c r="N94" s="167"/>
      <c r="O94" s="167"/>
      <c r="P94" s="167"/>
      <c r="Q94" s="168"/>
      <c r="R94" s="168"/>
      <c r="S94" s="168"/>
      <c r="T94" s="168"/>
      <c r="U94" s="168"/>
      <c r="V94" s="169"/>
      <c r="W94" s="169"/>
      <c r="X94" s="169"/>
      <c r="Y94" s="169"/>
      <c r="Z94" s="169"/>
    </row>
    <row r="95" spans="1:26" ht="15" customHeight="1" x14ac:dyDescent="0.25">
      <c r="A95" s="5"/>
      <c r="B95" s="8">
        <v>2022</v>
      </c>
      <c r="C95" s="116">
        <v>1189.846</v>
      </c>
      <c r="D95" s="116">
        <v>1245.9469999999999</v>
      </c>
      <c r="E95" s="116">
        <v>168.68700000000001</v>
      </c>
      <c r="F95" s="116">
        <v>224.78800000000001</v>
      </c>
      <c r="G95" s="116">
        <v>395.16100001000001</v>
      </c>
      <c r="H95" s="116">
        <v>28.521999990000001</v>
      </c>
      <c r="I95" s="148">
        <v>1613.529</v>
      </c>
      <c r="K95" s="139"/>
      <c r="L95" s="166"/>
      <c r="M95" s="166"/>
      <c r="N95" s="167"/>
      <c r="O95" s="167"/>
      <c r="P95" s="167"/>
      <c r="Q95" s="168"/>
      <c r="R95" s="168"/>
      <c r="S95" s="168"/>
      <c r="T95" s="168"/>
      <c r="U95" s="168"/>
      <c r="V95" s="169"/>
      <c r="W95" s="169"/>
      <c r="X95" s="169"/>
      <c r="Y95" s="169"/>
      <c r="Z95" s="169"/>
    </row>
    <row r="96" spans="1:26" ht="15" customHeight="1" x14ac:dyDescent="0.25">
      <c r="A96" s="5"/>
      <c r="B96" s="8">
        <v>2023</v>
      </c>
      <c r="C96" s="116">
        <v>1264.4390000000001</v>
      </c>
      <c r="D96" s="116">
        <v>1329.125</v>
      </c>
      <c r="E96" s="116">
        <v>169.88499999999999</v>
      </c>
      <c r="F96" s="116">
        <v>234.571</v>
      </c>
      <c r="G96" s="116">
        <v>443.18700000000001</v>
      </c>
      <c r="H96" s="116">
        <v>32.524000000000001</v>
      </c>
      <c r="I96" s="148">
        <v>1740.15</v>
      </c>
      <c r="K96" s="139"/>
      <c r="L96" s="166"/>
      <c r="M96" s="166"/>
      <c r="N96" s="167"/>
      <c r="O96" s="167"/>
      <c r="P96" s="167"/>
      <c r="Q96" s="168"/>
      <c r="R96" s="168"/>
      <c r="S96" s="168"/>
      <c r="T96" s="168"/>
      <c r="U96" s="168"/>
      <c r="V96" s="169"/>
      <c r="W96" s="169"/>
      <c r="X96" s="169"/>
      <c r="Y96" s="169"/>
      <c r="Z96" s="169"/>
    </row>
    <row r="97" spans="1:26" ht="15" customHeight="1" x14ac:dyDescent="0.25">
      <c r="A97" s="5"/>
      <c r="B97" s="8">
        <v>2024</v>
      </c>
      <c r="C97" s="116">
        <v>1337.9110000000001</v>
      </c>
      <c r="D97" s="116">
        <v>1410.8779999999999</v>
      </c>
      <c r="E97" s="116">
        <v>176.333</v>
      </c>
      <c r="F97" s="116">
        <v>249.3</v>
      </c>
      <c r="G97" s="116">
        <v>464.30799999999999</v>
      </c>
      <c r="H97" s="116">
        <v>61.043999999999997</v>
      </c>
      <c r="I97" s="148">
        <v>1863.2629999999999</v>
      </c>
      <c r="K97" s="139"/>
      <c r="L97" s="166"/>
      <c r="M97" s="166"/>
      <c r="N97" s="167"/>
      <c r="O97" s="167"/>
      <c r="P97" s="167"/>
      <c r="Q97" s="168"/>
      <c r="R97" s="168"/>
      <c r="S97" s="168"/>
      <c r="T97" s="168"/>
      <c r="U97" s="168"/>
      <c r="V97" s="169"/>
      <c r="W97" s="169"/>
      <c r="X97" s="169"/>
      <c r="Y97" s="169"/>
      <c r="Z97" s="169"/>
    </row>
    <row r="98" spans="1:26" x14ac:dyDescent="0.25">
      <c r="A98" s="5"/>
      <c r="B98" s="8">
        <v>2025</v>
      </c>
      <c r="C98" s="116">
        <v>1407.652</v>
      </c>
      <c r="D98" s="116">
        <v>1510.9770000000001</v>
      </c>
      <c r="E98" s="116">
        <v>177.72499999999999</v>
      </c>
      <c r="F98" s="116">
        <v>281.05</v>
      </c>
      <c r="G98" s="116">
        <v>477.87037687999998</v>
      </c>
      <c r="H98" s="116">
        <v>60.250623119999993</v>
      </c>
      <c r="I98" s="148">
        <v>1945.7729999999999</v>
      </c>
      <c r="K98" s="139"/>
      <c r="L98" s="166"/>
      <c r="M98" s="166"/>
      <c r="N98" s="167"/>
      <c r="O98" s="167"/>
      <c r="P98" s="167"/>
      <c r="Q98" s="168"/>
      <c r="R98" s="168"/>
      <c r="S98" s="168"/>
      <c r="T98" s="168"/>
      <c r="U98" s="168"/>
      <c r="V98" s="169"/>
      <c r="W98" s="169"/>
      <c r="X98" s="169"/>
      <c r="Y98" s="169"/>
      <c r="Z98" s="169"/>
    </row>
    <row r="99" spans="1:26" x14ac:dyDescent="0.25">
      <c r="A99" s="5"/>
      <c r="B99" s="8">
        <v>2026</v>
      </c>
      <c r="C99" s="116">
        <v>1465.8036671040002</v>
      </c>
      <c r="D99" s="116">
        <v>1585.376431704</v>
      </c>
      <c r="E99" s="116">
        <v>183.374482</v>
      </c>
      <c r="F99" s="116">
        <v>302.94724630000002</v>
      </c>
      <c r="G99" s="116">
        <v>492.31356375599989</v>
      </c>
      <c r="H99" s="116">
        <v>30.222724139999933</v>
      </c>
      <c r="I99" s="148">
        <v>1988.3399550000001</v>
      </c>
      <c r="K99" s="139"/>
      <c r="L99" s="166"/>
      <c r="M99" s="166"/>
      <c r="N99" s="167"/>
      <c r="O99" s="167"/>
      <c r="P99" s="167"/>
      <c r="Q99" s="168"/>
      <c r="R99" s="168"/>
      <c r="S99" s="168"/>
      <c r="T99" s="168"/>
      <c r="U99" s="168"/>
      <c r="V99" s="169"/>
      <c r="W99" s="169"/>
      <c r="X99" s="169"/>
      <c r="Y99" s="169"/>
      <c r="Z99" s="169"/>
    </row>
    <row r="100" spans="1:26" x14ac:dyDescent="0.25">
      <c r="A100" s="5"/>
      <c r="B100" s="8">
        <v>2027</v>
      </c>
      <c r="C100" s="116">
        <v>1511.6573739170001</v>
      </c>
      <c r="D100" s="116">
        <v>1634.0299863170001</v>
      </c>
      <c r="E100" s="116">
        <v>189.54324400000002</v>
      </c>
      <c r="F100" s="116">
        <v>311.91585570000001</v>
      </c>
      <c r="G100" s="116">
        <v>515.36770708299969</v>
      </c>
      <c r="H100" s="116">
        <v>26.47852300000006</v>
      </c>
      <c r="I100" s="148">
        <v>2053.503604</v>
      </c>
      <c r="K100" s="139"/>
      <c r="L100" s="166"/>
      <c r="M100" s="166"/>
      <c r="N100" s="167"/>
      <c r="O100" s="167"/>
      <c r="P100" s="167"/>
      <c r="Q100" s="168"/>
      <c r="R100" s="168"/>
      <c r="S100" s="168"/>
      <c r="T100" s="168"/>
      <c r="U100" s="168"/>
      <c r="V100" s="169"/>
      <c r="W100" s="169"/>
      <c r="X100" s="169"/>
      <c r="Y100" s="169"/>
      <c r="Z100" s="169"/>
    </row>
    <row r="101" spans="1:26" x14ac:dyDescent="0.25">
      <c r="A101" s="5"/>
      <c r="B101" s="8">
        <v>2028</v>
      </c>
      <c r="C101" s="116">
        <v>1552.3533282050003</v>
      </c>
      <c r="D101" s="116">
        <v>1676.2245293049998</v>
      </c>
      <c r="E101" s="116">
        <v>196.61171669999999</v>
      </c>
      <c r="F101" s="116">
        <v>320.48291840000002</v>
      </c>
      <c r="G101" s="116">
        <v>536.95675889499978</v>
      </c>
      <c r="H101" s="116">
        <v>28.052707900000037</v>
      </c>
      <c r="I101" s="148">
        <v>2117.362795</v>
      </c>
      <c r="K101" s="139"/>
      <c r="L101" s="166"/>
      <c r="M101" s="166"/>
      <c r="N101" s="167"/>
      <c r="O101" s="167"/>
      <c r="P101" s="167"/>
      <c r="Q101" s="168"/>
      <c r="R101" s="168"/>
      <c r="S101" s="168"/>
      <c r="T101" s="168"/>
      <c r="U101" s="168"/>
      <c r="V101" s="169"/>
      <c r="W101" s="169"/>
      <c r="X101" s="169"/>
      <c r="Y101" s="169"/>
      <c r="Z101" s="169"/>
    </row>
    <row r="102" spans="1:26" x14ac:dyDescent="0.25">
      <c r="A102" s="5"/>
      <c r="B102" s="8">
        <v>2029</v>
      </c>
      <c r="C102" s="116">
        <v>1598.714871338</v>
      </c>
      <c r="D102" s="116">
        <v>1727.612415238</v>
      </c>
      <c r="E102" s="116">
        <v>204.51340150000001</v>
      </c>
      <c r="F102" s="116">
        <v>333.41094520000001</v>
      </c>
      <c r="G102" s="116">
        <v>558.89676365200012</v>
      </c>
      <c r="H102" s="116">
        <v>19.217605010000071</v>
      </c>
      <c r="I102" s="148">
        <v>2176.82924</v>
      </c>
      <c r="K102" s="139"/>
      <c r="L102" s="166"/>
      <c r="M102" s="166"/>
      <c r="N102" s="167"/>
      <c r="O102" s="167"/>
      <c r="P102" s="167"/>
      <c r="Q102" s="168"/>
      <c r="R102" s="168"/>
      <c r="S102" s="168"/>
      <c r="T102" s="168"/>
      <c r="U102" s="168"/>
      <c r="V102" s="169"/>
      <c r="W102" s="169"/>
      <c r="X102" s="169"/>
      <c r="Y102" s="169"/>
      <c r="Z102" s="169"/>
    </row>
    <row r="103" spans="1:26" x14ac:dyDescent="0.25">
      <c r="A103" s="5"/>
      <c r="B103" s="8">
        <v>2030</v>
      </c>
      <c r="C103" s="116">
        <v>1651.039381196</v>
      </c>
      <c r="D103" s="116">
        <v>1783.3478034960001</v>
      </c>
      <c r="E103" s="116">
        <v>213.30724989999999</v>
      </c>
      <c r="F103" s="116">
        <v>345.61567159999998</v>
      </c>
      <c r="G103" s="116">
        <v>580.26009921400009</v>
      </c>
      <c r="H103" s="116">
        <v>13.94870058999995</v>
      </c>
      <c r="I103" s="148">
        <v>2245.2481809999999</v>
      </c>
      <c r="K103" s="139"/>
      <c r="L103" s="166"/>
      <c r="M103" s="166"/>
      <c r="N103" s="167"/>
      <c r="O103" s="167"/>
      <c r="P103" s="167"/>
      <c r="Q103" s="168"/>
      <c r="R103" s="168"/>
      <c r="S103" s="168"/>
      <c r="T103" s="168"/>
      <c r="U103" s="168"/>
      <c r="V103" s="169"/>
      <c r="W103" s="169"/>
      <c r="X103" s="169"/>
      <c r="Y103" s="169"/>
      <c r="Z103" s="169"/>
    </row>
    <row r="104" spans="1:26" x14ac:dyDescent="0.25">
      <c r="A104" s="5"/>
      <c r="B104" s="8">
        <v>2031</v>
      </c>
      <c r="C104" s="116">
        <v>1704.3591293100001</v>
      </c>
      <c r="D104" s="116">
        <v>1838.4137025099999</v>
      </c>
      <c r="E104" s="116">
        <v>222.38105379999999</v>
      </c>
      <c r="F104" s="116">
        <v>356.43562699999995</v>
      </c>
      <c r="G104" s="116">
        <v>599.53064788999973</v>
      </c>
      <c r="H104" s="116">
        <v>8.6678408000000857</v>
      </c>
      <c r="I104" s="148">
        <v>2312.5576179999998</v>
      </c>
      <c r="K104" s="139"/>
      <c r="L104" s="166"/>
      <c r="M104" s="166"/>
      <c r="N104" s="167"/>
      <c r="O104" s="167"/>
      <c r="P104" s="167"/>
      <c r="Q104" s="168"/>
      <c r="R104" s="168"/>
      <c r="S104" s="168"/>
      <c r="T104" s="168"/>
      <c r="U104" s="168"/>
      <c r="V104" s="169"/>
      <c r="W104" s="169"/>
      <c r="X104" s="169"/>
      <c r="Y104" s="169"/>
      <c r="Z104" s="169"/>
    </row>
    <row r="105" spans="1:26" x14ac:dyDescent="0.25">
      <c r="A105" s="5"/>
      <c r="B105" s="252" t="s">
        <v>140</v>
      </c>
      <c r="C105" s="396">
        <v>793.12900000000002</v>
      </c>
      <c r="D105" s="396">
        <v>844.95299999999997</v>
      </c>
      <c r="E105" s="396">
        <v>103.56699999999999</v>
      </c>
      <c r="F105" s="396">
        <v>155.39099999999999</v>
      </c>
      <c r="G105" s="396">
        <v>261.64801022</v>
      </c>
      <c r="H105" s="396">
        <v>79.81998978</v>
      </c>
      <c r="I105" s="165">
        <v>1134.597</v>
      </c>
      <c r="J105" s="154"/>
      <c r="K105" s="139"/>
    </row>
    <row r="106" spans="1:26" ht="15" customHeight="1" x14ac:dyDescent="0.25">
      <c r="A106" s="5"/>
      <c r="B106" s="123" t="s">
        <v>141</v>
      </c>
      <c r="C106" s="116">
        <v>842.11800000000005</v>
      </c>
      <c r="D106" s="116">
        <v>885.51900000000001</v>
      </c>
      <c r="E106" s="116">
        <v>111.985</v>
      </c>
      <c r="F106" s="116">
        <v>155.386</v>
      </c>
      <c r="G106" s="116">
        <v>273.32893086999997</v>
      </c>
      <c r="H106" s="116">
        <v>78.12706913000001</v>
      </c>
      <c r="I106" s="125">
        <v>1193.5740000000001</v>
      </c>
      <c r="J106" s="154"/>
      <c r="K106" s="139"/>
    </row>
    <row r="107" spans="1:26" ht="15" customHeight="1" x14ac:dyDescent="0.25">
      <c r="A107" s="5"/>
      <c r="B107" s="123" t="s">
        <v>142</v>
      </c>
      <c r="C107" s="116">
        <v>864.61699999999996</v>
      </c>
      <c r="D107" s="116">
        <v>900.43799999999999</v>
      </c>
      <c r="E107" s="116">
        <v>115.38200000000001</v>
      </c>
      <c r="F107" s="116">
        <v>151.203</v>
      </c>
      <c r="G107" s="116">
        <v>289.59529394999998</v>
      </c>
      <c r="H107" s="116">
        <v>73.806706050000003</v>
      </c>
      <c r="I107" s="125">
        <v>1228.019</v>
      </c>
      <c r="J107" s="154"/>
      <c r="K107" s="139"/>
    </row>
    <row r="108" spans="1:26" ht="15" customHeight="1" x14ac:dyDescent="0.25">
      <c r="A108" s="5"/>
      <c r="B108" s="123" t="s">
        <v>143</v>
      </c>
      <c r="C108" s="116">
        <v>901.42</v>
      </c>
      <c r="D108" s="116">
        <v>934.245</v>
      </c>
      <c r="E108" s="116">
        <v>124.747</v>
      </c>
      <c r="F108" s="116">
        <v>157.572</v>
      </c>
      <c r="G108" s="116">
        <v>326.24977572000006</v>
      </c>
      <c r="H108" s="116">
        <v>73.986224280000002</v>
      </c>
      <c r="I108" s="125">
        <v>1301.6559999999999</v>
      </c>
      <c r="J108" s="154"/>
      <c r="K108" s="139"/>
    </row>
    <row r="109" spans="1:26" ht="15" customHeight="1" x14ac:dyDescent="0.25">
      <c r="A109" s="5"/>
      <c r="B109" s="123" t="s">
        <v>144</v>
      </c>
      <c r="C109" s="116">
        <v>931.50900000000001</v>
      </c>
      <c r="D109" s="116">
        <v>973.41600000000005</v>
      </c>
      <c r="E109" s="116">
        <v>128.01900000000001</v>
      </c>
      <c r="F109" s="116">
        <v>169.92599999999999</v>
      </c>
      <c r="G109" s="116">
        <v>320.15809285999995</v>
      </c>
      <c r="H109" s="116">
        <v>62.335907139999996</v>
      </c>
      <c r="I109" s="125">
        <v>1314.0029999999999</v>
      </c>
      <c r="J109" s="154"/>
      <c r="K109" s="139"/>
    </row>
    <row r="110" spans="1:26" ht="15" customHeight="1" x14ac:dyDescent="0.25">
      <c r="A110" s="5"/>
      <c r="B110" s="123" t="s">
        <v>145</v>
      </c>
      <c r="C110" s="116">
        <v>979.27499999999998</v>
      </c>
      <c r="D110" s="116">
        <v>1012.849</v>
      </c>
      <c r="E110" s="116">
        <v>140.57300000000001</v>
      </c>
      <c r="F110" s="116">
        <v>174.14699999999999</v>
      </c>
      <c r="G110" s="116">
        <v>330.49741573</v>
      </c>
      <c r="H110" s="116">
        <v>58.83158427</v>
      </c>
      <c r="I110" s="125">
        <v>1368.604</v>
      </c>
      <c r="J110" s="154"/>
      <c r="K110" s="139"/>
    </row>
    <row r="111" spans="1:26" ht="15" customHeight="1" x14ac:dyDescent="0.25">
      <c r="A111" s="5"/>
      <c r="B111" s="123" t="s">
        <v>146</v>
      </c>
      <c r="C111" s="116">
        <v>1013.754</v>
      </c>
      <c r="D111" s="116">
        <v>1051.4359999999999</v>
      </c>
      <c r="E111" s="116">
        <v>144.84899999999999</v>
      </c>
      <c r="F111" s="116">
        <v>182.53100000000001</v>
      </c>
      <c r="G111" s="116">
        <v>346.17647792999998</v>
      </c>
      <c r="H111" s="116">
        <v>50.93752207</v>
      </c>
      <c r="I111" s="125">
        <v>1410.8679999999999</v>
      </c>
      <c r="J111" s="154"/>
      <c r="K111" s="139"/>
    </row>
    <row r="112" spans="1:26" ht="15" customHeight="1" x14ac:dyDescent="0.25">
      <c r="A112" s="5"/>
      <c r="B112" s="123" t="s">
        <v>147</v>
      </c>
      <c r="C112" s="116">
        <v>1050.808</v>
      </c>
      <c r="D112" s="116">
        <v>1096.3140000000001</v>
      </c>
      <c r="E112" s="116">
        <v>151.696</v>
      </c>
      <c r="F112" s="116">
        <v>197.202</v>
      </c>
      <c r="G112" s="116">
        <v>354.50448140999998</v>
      </c>
      <c r="H112" s="116">
        <v>56.382518589999997</v>
      </c>
      <c r="I112" s="125">
        <v>1461.6949999999999</v>
      </c>
      <c r="J112" s="154"/>
      <c r="K112" s="139"/>
    </row>
    <row r="113" spans="1:11" ht="15" customHeight="1" x14ac:dyDescent="0.25">
      <c r="A113" s="5"/>
      <c r="B113" s="123" t="s">
        <v>148</v>
      </c>
      <c r="C113" s="116">
        <v>1052.5260000000001</v>
      </c>
      <c r="D113" s="116">
        <v>1101.6790000000001</v>
      </c>
      <c r="E113" s="116">
        <v>153.54300000000001</v>
      </c>
      <c r="F113" s="116">
        <v>202.696</v>
      </c>
      <c r="G113" s="116">
        <v>335.03720390999996</v>
      </c>
      <c r="H113" s="116">
        <v>81.143796090000009</v>
      </c>
      <c r="I113" s="125">
        <v>1468.7070000000001</v>
      </c>
      <c r="J113" s="154"/>
      <c r="K113" s="139"/>
    </row>
    <row r="114" spans="1:11" ht="15" customHeight="1" x14ac:dyDescent="0.25">
      <c r="A114" s="5"/>
      <c r="B114" s="123" t="s">
        <v>149</v>
      </c>
      <c r="C114" s="116">
        <v>1133.42</v>
      </c>
      <c r="D114" s="116">
        <v>1177.865</v>
      </c>
      <c r="E114" s="116">
        <v>164.77600000000001</v>
      </c>
      <c r="F114" s="116">
        <v>209.221</v>
      </c>
      <c r="G114" s="116">
        <v>364.78562138000001</v>
      </c>
      <c r="H114" s="116">
        <v>37.32037862</v>
      </c>
      <c r="I114" s="148">
        <v>1535.5260000000001</v>
      </c>
      <c r="J114" s="154"/>
      <c r="K114" s="139"/>
    </row>
    <row r="115" spans="1:11" ht="15" customHeight="1" x14ac:dyDescent="0.25">
      <c r="A115" s="5"/>
      <c r="B115" s="123" t="s">
        <v>150</v>
      </c>
      <c r="C115" s="116">
        <v>1210.3889999999999</v>
      </c>
      <c r="D115" s="116">
        <v>1269.72</v>
      </c>
      <c r="E115" s="116">
        <v>169.20400000000001</v>
      </c>
      <c r="F115" s="116">
        <v>228.535</v>
      </c>
      <c r="G115" s="116">
        <v>414.71126203</v>
      </c>
      <c r="H115" s="116">
        <v>22.852737970000003</v>
      </c>
      <c r="I115" s="148">
        <v>1647.953</v>
      </c>
      <c r="J115" s="154"/>
      <c r="K115" s="139"/>
    </row>
    <row r="116" spans="1:11" ht="15" customHeight="1" x14ac:dyDescent="0.25">
      <c r="A116" s="5"/>
      <c r="B116" s="123" t="s">
        <v>151</v>
      </c>
      <c r="C116" s="116">
        <v>1279.037</v>
      </c>
      <c r="D116" s="116">
        <v>1346.0920000000001</v>
      </c>
      <c r="E116" s="116">
        <v>171.245</v>
      </c>
      <c r="F116" s="116">
        <v>238.3</v>
      </c>
      <c r="G116" s="116">
        <v>443.24502574000002</v>
      </c>
      <c r="H116" s="116">
        <v>46.495974260000004</v>
      </c>
      <c r="I116" s="148">
        <v>1768.778</v>
      </c>
      <c r="J116" s="154"/>
      <c r="K116" s="139"/>
    </row>
    <row r="117" spans="1:11" ht="15" customHeight="1" x14ac:dyDescent="0.25">
      <c r="A117" s="5"/>
      <c r="B117" s="123" t="s">
        <v>152</v>
      </c>
      <c r="C117" s="116">
        <v>1360.5820000000001</v>
      </c>
      <c r="D117" s="116">
        <v>1437.441</v>
      </c>
      <c r="E117" s="116">
        <v>177.345</v>
      </c>
      <c r="F117" s="116">
        <v>254.20400000000001</v>
      </c>
      <c r="G117" s="116">
        <v>470.15913986999999</v>
      </c>
      <c r="H117" s="116">
        <v>61.02186013</v>
      </c>
      <c r="I117" s="148">
        <v>1891.7629999999999</v>
      </c>
      <c r="J117" s="154"/>
      <c r="K117" s="139"/>
    </row>
    <row r="118" spans="1:11" ht="15" customHeight="1" x14ac:dyDescent="0.25">
      <c r="A118" s="5"/>
      <c r="B118" s="123" t="s">
        <v>153</v>
      </c>
      <c r="C118" s="116">
        <v>1421.999</v>
      </c>
      <c r="D118" s="116">
        <v>1533.694</v>
      </c>
      <c r="E118" s="116">
        <v>179.001</v>
      </c>
      <c r="F118" s="116">
        <v>290.69600000000003</v>
      </c>
      <c r="G118" s="116">
        <v>479.52941596999995</v>
      </c>
      <c r="H118" s="116">
        <v>53.627584030000001</v>
      </c>
      <c r="I118" s="148">
        <v>1955.1559999999999</v>
      </c>
      <c r="J118" s="154"/>
      <c r="K118" s="139"/>
    </row>
    <row r="119" spans="1:11" ht="15" customHeight="1" x14ac:dyDescent="0.25">
      <c r="A119" s="5"/>
      <c r="B119" s="123" t="s">
        <v>154</v>
      </c>
      <c r="C119" s="116">
        <v>1476.9477523539997</v>
      </c>
      <c r="D119" s="116">
        <v>1597.1236988539999</v>
      </c>
      <c r="E119" s="116">
        <v>184.1401789</v>
      </c>
      <c r="F119" s="116">
        <v>304.31612469999999</v>
      </c>
      <c r="G119" s="116">
        <v>497.79204108600038</v>
      </c>
      <c r="H119" s="116">
        <v>28.047052560000001</v>
      </c>
      <c r="I119" s="148">
        <v>2002.7868460000002</v>
      </c>
      <c r="J119" s="154"/>
      <c r="K119" s="139"/>
    </row>
    <row r="120" spans="1:11" ht="15" customHeight="1" x14ac:dyDescent="0.25">
      <c r="A120" s="5"/>
      <c r="B120" s="123" t="s">
        <v>155</v>
      </c>
      <c r="C120" s="116">
        <v>1521.6741989689995</v>
      </c>
      <c r="D120" s="116">
        <v>1644.1488322690002</v>
      </c>
      <c r="E120" s="116">
        <v>191.28000349999999</v>
      </c>
      <c r="F120" s="116">
        <v>313.75463640000004</v>
      </c>
      <c r="G120" s="116">
        <v>520.7030234410006</v>
      </c>
      <c r="H120" s="116">
        <v>27.494502589999936</v>
      </c>
      <c r="I120" s="148">
        <v>2069.871725</v>
      </c>
      <c r="J120" s="154"/>
      <c r="K120" s="139"/>
    </row>
    <row r="121" spans="1:11" ht="15" customHeight="1" x14ac:dyDescent="0.25">
      <c r="A121" s="5"/>
      <c r="B121" s="123" t="s">
        <v>156</v>
      </c>
      <c r="C121" s="116">
        <v>1563.3642925139998</v>
      </c>
      <c r="D121" s="116">
        <v>1688.124060014</v>
      </c>
      <c r="E121" s="116">
        <v>198.50228990000002</v>
      </c>
      <c r="F121" s="116">
        <v>323.26205720000002</v>
      </c>
      <c r="G121" s="116">
        <v>542.46749110600024</v>
      </c>
      <c r="H121" s="116">
        <v>26.732367379999982</v>
      </c>
      <c r="I121" s="148">
        <v>2132.564151</v>
      </c>
      <c r="J121" s="154"/>
      <c r="K121" s="139"/>
    </row>
    <row r="122" spans="1:11" ht="15" customHeight="1" x14ac:dyDescent="0.25">
      <c r="A122" s="5"/>
      <c r="B122" s="123" t="s">
        <v>157</v>
      </c>
      <c r="C122" s="116">
        <v>1611.2533933230002</v>
      </c>
      <c r="D122" s="116">
        <v>1741.421608223</v>
      </c>
      <c r="E122" s="116">
        <v>206.62904310000002</v>
      </c>
      <c r="F122" s="116">
        <v>336.797259</v>
      </c>
      <c r="G122" s="116">
        <v>564.35605940699986</v>
      </c>
      <c r="H122" s="116">
        <v>16.967766269999871</v>
      </c>
      <c r="I122" s="148">
        <v>2192.5772190000002</v>
      </c>
      <c r="J122" s="154"/>
      <c r="K122" s="139"/>
    </row>
    <row r="123" spans="1:11" ht="15" customHeight="1" x14ac:dyDescent="0.25">
      <c r="A123" s="5"/>
      <c r="B123" s="123" t="s">
        <v>158</v>
      </c>
      <c r="C123" s="116">
        <v>1664.5866892740003</v>
      </c>
      <c r="D123" s="116">
        <v>1797.323598574</v>
      </c>
      <c r="E123" s="116">
        <v>215.5891551</v>
      </c>
      <c r="F123" s="116">
        <v>348.32606319999996</v>
      </c>
      <c r="G123" s="116">
        <v>585.28399770599981</v>
      </c>
      <c r="H123" s="116">
        <v>13.217242020000006</v>
      </c>
      <c r="I123" s="148">
        <v>2263.0879289999998</v>
      </c>
      <c r="J123" s="154"/>
      <c r="K123" s="139"/>
    </row>
    <row r="124" spans="1:11" ht="15" customHeight="1" thickBot="1" x14ac:dyDescent="0.3">
      <c r="A124" s="5"/>
      <c r="B124" s="123" t="s">
        <v>649</v>
      </c>
      <c r="C124" s="116">
        <v>1717.3229912059999</v>
      </c>
      <c r="D124" s="116">
        <v>1851.8485541059999</v>
      </c>
      <c r="E124" s="116">
        <v>224.62633750000001</v>
      </c>
      <c r="F124" s="116">
        <v>359.1519007</v>
      </c>
      <c r="G124" s="116">
        <v>604.12643855400017</v>
      </c>
      <c r="H124" s="116">
        <v>7.0709402400000476</v>
      </c>
      <c r="I124" s="148">
        <v>2328.5203700000002</v>
      </c>
      <c r="J124" s="154"/>
      <c r="K124" s="139"/>
    </row>
    <row r="125" spans="1:11" x14ac:dyDescent="0.25">
      <c r="A125" s="5"/>
      <c r="B125" s="417" t="s">
        <v>159</v>
      </c>
      <c r="C125" s="418"/>
      <c r="D125" s="418"/>
      <c r="E125" s="418"/>
      <c r="F125" s="418"/>
      <c r="G125" s="418"/>
      <c r="H125" s="418"/>
      <c r="I125" s="430"/>
      <c r="K125" s="139"/>
    </row>
    <row r="126" spans="1:11" ht="26.1" customHeight="1" x14ac:dyDescent="0.25">
      <c r="A126" s="5"/>
      <c r="B126" s="625" t="s">
        <v>397</v>
      </c>
      <c r="C126" s="635"/>
      <c r="D126" s="635"/>
      <c r="E126" s="635"/>
      <c r="F126" s="635"/>
      <c r="G126" s="635"/>
      <c r="H126" s="635"/>
      <c r="I126" s="636"/>
      <c r="K126" s="139"/>
    </row>
    <row r="127" spans="1:11" ht="26.1" customHeight="1" x14ac:dyDescent="0.25">
      <c r="A127" s="5"/>
      <c r="B127" s="625" t="s">
        <v>398</v>
      </c>
      <c r="C127" s="635"/>
      <c r="D127" s="635"/>
      <c r="E127" s="635"/>
      <c r="F127" s="635"/>
      <c r="G127" s="635"/>
      <c r="H127" s="635"/>
      <c r="I127" s="636"/>
      <c r="K127" s="139"/>
    </row>
    <row r="128" spans="1:11" ht="26.1" customHeight="1" x14ac:dyDescent="0.25">
      <c r="A128" s="5"/>
      <c r="B128" s="625" t="s">
        <v>399</v>
      </c>
      <c r="C128" s="635"/>
      <c r="D128" s="635"/>
      <c r="E128" s="635"/>
      <c r="F128" s="635"/>
      <c r="G128" s="635"/>
      <c r="H128" s="635"/>
      <c r="I128" s="636"/>
      <c r="K128" s="139"/>
    </row>
    <row r="129" spans="1:11" ht="15" customHeight="1" thickBot="1" x14ac:dyDescent="0.3">
      <c r="A129" s="5"/>
      <c r="B129" s="170" t="s">
        <v>400</v>
      </c>
      <c r="C129" s="171"/>
      <c r="D129" s="171"/>
      <c r="E129" s="171"/>
      <c r="F129" s="171"/>
      <c r="G129" s="171"/>
      <c r="H129" s="171"/>
      <c r="I129" s="172"/>
      <c r="K129" s="139"/>
    </row>
    <row r="130" spans="1:11" x14ac:dyDescent="0.25">
      <c r="B130" s="173"/>
      <c r="K130" s="139"/>
    </row>
    <row r="131" spans="1:11" ht="18.75" customHeight="1" x14ac:dyDescent="0.25"/>
    <row r="135" spans="1:11" ht="18.75" customHeight="1" x14ac:dyDescent="0.25"/>
    <row r="139" spans="1:11" ht="18.75" customHeight="1" x14ac:dyDescent="0.25"/>
    <row r="143" spans="1:11" ht="18.75" customHeight="1" x14ac:dyDescent="0.25"/>
    <row r="147" ht="18.75" customHeight="1" x14ac:dyDescent="0.25"/>
    <row r="151" ht="18.75" customHeight="1" x14ac:dyDescent="0.25"/>
  </sheetData>
  <mergeCells count="4">
    <mergeCell ref="B2:I2"/>
    <mergeCell ref="B126:I126"/>
    <mergeCell ref="B127:I127"/>
    <mergeCell ref="B128:I128"/>
  </mergeCells>
  <phoneticPr fontId="91" type="noConversion"/>
  <hyperlinks>
    <hyperlink ref="A1" location="Contents!A1" display="Back to contents" xr:uid="{7687AF88-A152-429C-A952-7CBD4D6F0C7D}"/>
  </hyperlinks>
  <pageMargins left="0.70866141732283472" right="0.70866141732283472" top="0.74803149606299213" bottom="0.74803149606299213" header="0.31496062992125984" footer="0.31496062992125984"/>
  <pageSetup paperSize="9" scale="39" orientation="portrait" r:id="rId1"/>
  <headerFooter>
    <oddHeader>&amp;C&amp;8March 2018 Economic and fiscal outlook: Supplementary economy tables</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92751-85EA-4952-ADDB-11E5DB8F5F7D}">
  <sheetPr codeName="Sheet15">
    <tabColor theme="5"/>
  </sheetPr>
  <dimension ref="A1:P6"/>
  <sheetViews>
    <sheetView showGridLines="0" zoomScaleNormal="100" zoomScaleSheetLayoutView="100" workbookViewId="0"/>
  </sheetViews>
  <sheetFormatPr defaultColWidth="8.77734375" defaultRowHeight="15" x14ac:dyDescent="0.25"/>
  <cols>
    <col min="1" max="1" width="9.21875" style="204" customWidth="1"/>
    <col min="2" max="2" width="24.77734375" style="204" customWidth="1"/>
    <col min="3" max="14" width="6" style="204" customWidth="1"/>
    <col min="15" max="16384" width="8.77734375" style="204"/>
  </cols>
  <sheetData>
    <row r="1" spans="1:16" ht="35.1" customHeight="1" thickBot="1" x14ac:dyDescent="0.3">
      <c r="A1" s="19" t="s">
        <v>22</v>
      </c>
      <c r="C1" s="479"/>
    </row>
    <row r="2" spans="1:16" ht="19.5" customHeight="1" thickBot="1" x14ac:dyDescent="0.3">
      <c r="B2" s="554" t="s">
        <v>401</v>
      </c>
      <c r="C2" s="637"/>
      <c r="D2" s="637"/>
      <c r="E2" s="637"/>
      <c r="F2" s="637"/>
      <c r="G2" s="637"/>
      <c r="H2" s="637"/>
      <c r="I2" s="637"/>
      <c r="J2" s="637"/>
      <c r="K2" s="637"/>
      <c r="L2" s="637"/>
      <c r="M2" s="637"/>
      <c r="N2" s="555"/>
    </row>
    <row r="3" spans="1:16" ht="15.75" customHeight="1" x14ac:dyDescent="0.25">
      <c r="B3" s="271"/>
      <c r="C3" s="638" t="s">
        <v>402</v>
      </c>
      <c r="D3" s="638"/>
      <c r="E3" s="638"/>
      <c r="F3" s="638"/>
      <c r="G3" s="638"/>
      <c r="H3" s="638"/>
      <c r="I3" s="638"/>
      <c r="J3" s="638"/>
      <c r="K3" s="638"/>
      <c r="L3" s="638"/>
      <c r="M3" s="638"/>
      <c r="N3" s="639"/>
    </row>
    <row r="4" spans="1:16" ht="15.75" x14ac:dyDescent="0.25">
      <c r="B4" s="272"/>
      <c r="C4" s="273">
        <v>2020</v>
      </c>
      <c r="D4" s="273">
        <v>2021</v>
      </c>
      <c r="E4" s="273">
        <v>2022</v>
      </c>
      <c r="F4" s="273">
        <v>2023</v>
      </c>
      <c r="G4" s="273">
        <v>2024</v>
      </c>
      <c r="H4" s="273">
        <v>2025</v>
      </c>
      <c r="I4" s="273">
        <v>2026</v>
      </c>
      <c r="J4" s="273">
        <v>2027</v>
      </c>
      <c r="K4" s="273">
        <v>2028</v>
      </c>
      <c r="L4" s="273">
        <v>2029</v>
      </c>
      <c r="M4" s="273">
        <v>2030</v>
      </c>
      <c r="N4" s="274">
        <v>2031</v>
      </c>
    </row>
    <row r="5" spans="1:16" ht="17.45" customHeight="1" x14ac:dyDescent="0.25">
      <c r="A5" s="312"/>
      <c r="B5" s="529" t="s">
        <v>661</v>
      </c>
      <c r="C5" s="530">
        <v>8.7200000000000006</v>
      </c>
      <c r="D5" s="530">
        <v>8.91</v>
      </c>
      <c r="E5" s="530">
        <v>9.5</v>
      </c>
      <c r="F5" s="530">
        <v>10.42</v>
      </c>
      <c r="G5" s="530">
        <v>11.44</v>
      </c>
      <c r="H5" s="530">
        <v>12.21</v>
      </c>
      <c r="I5" s="530">
        <v>12.71</v>
      </c>
      <c r="J5" s="530">
        <v>13.21</v>
      </c>
      <c r="K5" s="530">
        <v>13.513623297578135</v>
      </c>
      <c r="L5" s="530">
        <v>13.854853379339588</v>
      </c>
      <c r="M5" s="530">
        <v>14.23293930734993</v>
      </c>
      <c r="N5" s="531">
        <v>14.617023376183901</v>
      </c>
      <c r="P5" s="431"/>
    </row>
    <row r="6" spans="1:16" ht="21.6" customHeight="1" thickBot="1" x14ac:dyDescent="0.3">
      <c r="A6" s="312"/>
      <c r="B6" s="640" t="s">
        <v>662</v>
      </c>
      <c r="C6" s="641"/>
      <c r="D6" s="641"/>
      <c r="E6" s="641"/>
      <c r="F6" s="641"/>
      <c r="G6" s="641"/>
      <c r="H6" s="641"/>
      <c r="I6" s="641"/>
      <c r="J6" s="641"/>
      <c r="K6" s="641"/>
      <c r="L6" s="641"/>
      <c r="M6" s="641"/>
      <c r="N6" s="642"/>
    </row>
  </sheetData>
  <mergeCells count="3">
    <mergeCell ref="B2:N2"/>
    <mergeCell ref="C3:N3"/>
    <mergeCell ref="B6:N6"/>
  </mergeCells>
  <hyperlinks>
    <hyperlink ref="A1" location="Contents!A1" display="Back to contents" xr:uid="{7C41D30B-F5FB-4D91-8EE5-3025B932CA8B}"/>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0DD08-DC99-4142-880E-D40DDD192832}">
  <sheetPr codeName="Sheet16">
    <tabColor theme="5"/>
  </sheetPr>
  <dimension ref="A1:J329"/>
  <sheetViews>
    <sheetView zoomScaleNormal="100" zoomScaleSheetLayoutView="100" workbookViewId="0"/>
  </sheetViews>
  <sheetFormatPr defaultColWidth="8.77734375" defaultRowHeight="15" x14ac:dyDescent="0.25"/>
  <cols>
    <col min="1" max="1" width="9.21875" style="17" customWidth="1"/>
    <col min="2" max="3" width="15" style="17" customWidth="1"/>
    <col min="4" max="4" width="15.21875" style="17" customWidth="1"/>
    <col min="5" max="5" width="9.21875" style="17" bestFit="1" customWidth="1"/>
    <col min="6" max="16384" width="8.77734375" style="17"/>
  </cols>
  <sheetData>
    <row r="1" spans="1:10" ht="35.1" customHeight="1" thickBot="1" x14ac:dyDescent="0.35">
      <c r="A1" s="9" t="s">
        <v>22</v>
      </c>
      <c r="B1" s="277"/>
      <c r="C1" s="478"/>
      <c r="E1" s="24"/>
    </row>
    <row r="2" spans="1:10" ht="54.75" customHeight="1" thickBot="1" x14ac:dyDescent="0.3">
      <c r="B2" s="554" t="s">
        <v>403</v>
      </c>
      <c r="C2" s="555"/>
      <c r="E2" s="97"/>
    </row>
    <row r="3" spans="1:10" x14ac:dyDescent="0.25">
      <c r="B3" s="8" t="s">
        <v>404</v>
      </c>
      <c r="C3" s="69">
        <v>-0.31754134179281235</v>
      </c>
      <c r="D3" s="52"/>
      <c r="E3" s="471"/>
      <c r="F3" s="471"/>
    </row>
    <row r="4" spans="1:10" x14ac:dyDescent="0.25">
      <c r="B4" s="8" t="s">
        <v>405</v>
      </c>
      <c r="C4" s="69">
        <v>-0.12507214146039916</v>
      </c>
      <c r="D4" s="52"/>
      <c r="E4" s="471"/>
      <c r="F4" s="471"/>
    </row>
    <row r="5" spans="1:10" x14ac:dyDescent="0.25">
      <c r="B5" s="8" t="s">
        <v>406</v>
      </c>
      <c r="C5" s="69">
        <v>1.2172975521594347</v>
      </c>
      <c r="D5" s="52"/>
      <c r="E5" s="471"/>
      <c r="F5" s="471"/>
    </row>
    <row r="6" spans="1:10" x14ac:dyDescent="0.25">
      <c r="B6" s="8" t="s">
        <v>407</v>
      </c>
      <c r="C6" s="69">
        <v>3.0940251464383071</v>
      </c>
      <c r="D6" s="52"/>
      <c r="E6" s="471"/>
      <c r="F6" s="471"/>
    </row>
    <row r="7" spans="1:10" x14ac:dyDescent="0.25">
      <c r="B7" s="8" t="s">
        <v>408</v>
      </c>
      <c r="C7" s="69">
        <v>5.9924948750284583</v>
      </c>
      <c r="D7" s="52"/>
      <c r="E7" s="471"/>
      <c r="F7" s="471"/>
    </row>
    <row r="8" spans="1:10" x14ac:dyDescent="0.25">
      <c r="B8" s="8" t="s">
        <v>409</v>
      </c>
      <c r="C8" s="69">
        <v>8.3384672454572843</v>
      </c>
      <c r="D8" s="52"/>
      <c r="E8" s="471"/>
      <c r="F8" s="471"/>
    </row>
    <row r="9" spans="1:10" x14ac:dyDescent="0.25">
      <c r="B9" s="8" t="s">
        <v>410</v>
      </c>
      <c r="C9" s="69">
        <v>7.0809654791681984</v>
      </c>
      <c r="D9" s="52"/>
      <c r="E9" s="471"/>
      <c r="F9" s="471"/>
    </row>
    <row r="10" spans="1:10" x14ac:dyDescent="0.25">
      <c r="B10" s="8" t="s">
        <v>411</v>
      </c>
      <c r="C10" s="69">
        <v>6.1121425072248536</v>
      </c>
      <c r="D10" s="52"/>
      <c r="E10" s="471"/>
      <c r="F10" s="471"/>
    </row>
    <row r="11" spans="1:10" x14ac:dyDescent="0.25">
      <c r="B11" s="8" t="s">
        <v>412</v>
      </c>
      <c r="C11" s="69">
        <v>4.6261511480738404</v>
      </c>
      <c r="D11" s="52"/>
      <c r="E11" s="471"/>
      <c r="F11" s="471"/>
    </row>
    <row r="12" spans="1:10" x14ac:dyDescent="0.25">
      <c r="B12" s="8" t="s">
        <v>413</v>
      </c>
      <c r="C12" s="69">
        <v>5.5649823835194434</v>
      </c>
      <c r="D12" s="52"/>
      <c r="E12" s="471"/>
      <c r="F12" s="471"/>
    </row>
    <row r="13" spans="1:10" x14ac:dyDescent="0.25">
      <c r="B13" s="8" t="s">
        <v>414</v>
      </c>
      <c r="C13" s="69">
        <v>4.11983699591062</v>
      </c>
      <c r="D13" s="52"/>
      <c r="E13" s="471"/>
      <c r="F13" s="471"/>
    </row>
    <row r="14" spans="1:10" x14ac:dyDescent="0.25">
      <c r="B14" s="8" t="s">
        <v>415</v>
      </c>
      <c r="C14" s="69">
        <v>2.3613649763582161</v>
      </c>
      <c r="D14" s="52"/>
      <c r="E14" s="471"/>
      <c r="F14" s="471"/>
      <c r="G14" s="65"/>
      <c r="H14" s="65"/>
      <c r="I14" s="65"/>
      <c r="J14" s="65"/>
    </row>
    <row r="15" spans="1:10" x14ac:dyDescent="0.25">
      <c r="B15" s="8" t="s">
        <v>416</v>
      </c>
      <c r="C15" s="69">
        <v>0.37293846120357937</v>
      </c>
      <c r="D15" s="52"/>
      <c r="E15" s="471"/>
      <c r="F15" s="471"/>
    </row>
    <row r="16" spans="1:10" x14ac:dyDescent="0.25">
      <c r="B16" s="8" t="s">
        <v>417</v>
      </c>
      <c r="C16" s="69">
        <v>-0.78441977671344298</v>
      </c>
      <c r="D16" s="52"/>
      <c r="E16" s="471"/>
      <c r="F16" s="471"/>
    </row>
    <row r="17" spans="2:7" x14ac:dyDescent="0.25">
      <c r="B17" s="8" t="s">
        <v>418</v>
      </c>
      <c r="C17" s="69">
        <v>-2.0146054938385416</v>
      </c>
      <c r="D17" s="52"/>
      <c r="E17" s="471"/>
      <c r="F17" s="471"/>
    </row>
    <row r="18" spans="2:7" x14ac:dyDescent="0.25">
      <c r="B18" s="8" t="s">
        <v>419</v>
      </c>
      <c r="C18" s="69">
        <v>-2.2441743209647576</v>
      </c>
      <c r="D18" s="52"/>
      <c r="E18" s="471"/>
      <c r="F18" s="471"/>
    </row>
    <row r="19" spans="2:7" x14ac:dyDescent="0.25">
      <c r="B19" s="8" t="s">
        <v>420</v>
      </c>
      <c r="C19" s="69">
        <v>-1.9050550158495287</v>
      </c>
      <c r="D19" s="52"/>
      <c r="E19" s="471"/>
      <c r="F19" s="471"/>
    </row>
    <row r="20" spans="2:7" x14ac:dyDescent="0.25">
      <c r="B20" s="8" t="s">
        <v>421</v>
      </c>
      <c r="C20" s="69">
        <v>-1.1189155223963694</v>
      </c>
      <c r="D20" s="52"/>
      <c r="E20" s="471"/>
      <c r="F20" s="471"/>
    </row>
    <row r="21" spans="2:7" x14ac:dyDescent="0.25">
      <c r="B21" s="8" t="s">
        <v>422</v>
      </c>
      <c r="C21" s="69">
        <v>-0.64595250806615123</v>
      </c>
      <c r="D21" s="52"/>
      <c r="E21" s="471"/>
      <c r="F21" s="471"/>
      <c r="G21" s="26"/>
    </row>
    <row r="22" spans="2:7" x14ac:dyDescent="0.25">
      <c r="B22" s="8" t="s">
        <v>423</v>
      </c>
      <c r="C22" s="69">
        <v>-0.4290028346075343</v>
      </c>
      <c r="D22" s="52"/>
      <c r="E22" s="471"/>
      <c r="F22" s="471"/>
    </row>
    <row r="23" spans="2:7" x14ac:dyDescent="0.25">
      <c r="B23" s="8" t="s">
        <v>424</v>
      </c>
      <c r="C23" s="69">
        <v>-0.36469732480645362</v>
      </c>
      <c r="D23" s="52"/>
      <c r="E23" s="471"/>
      <c r="F23" s="471"/>
    </row>
    <row r="24" spans="2:7" x14ac:dyDescent="0.25">
      <c r="B24" s="8" t="s">
        <v>425</v>
      </c>
      <c r="C24" s="69">
        <v>-0.59698118846179682</v>
      </c>
      <c r="D24" s="52"/>
      <c r="E24" s="471"/>
      <c r="F24" s="471"/>
    </row>
    <row r="25" spans="2:7" x14ac:dyDescent="0.25">
      <c r="B25" s="8" t="s">
        <v>426</v>
      </c>
      <c r="C25" s="69">
        <v>-0.81356779460227113</v>
      </c>
      <c r="D25" s="52"/>
      <c r="E25" s="471"/>
      <c r="F25" s="471"/>
    </row>
    <row r="26" spans="2:7" x14ac:dyDescent="0.25">
      <c r="B26" s="8" t="s">
        <v>427</v>
      </c>
      <c r="C26" s="69">
        <v>-0.60963557675500346</v>
      </c>
      <c r="D26" s="52"/>
      <c r="E26" s="471"/>
      <c r="F26" s="471"/>
    </row>
    <row r="27" spans="2:7" x14ac:dyDescent="0.25">
      <c r="B27" s="8" t="s">
        <v>428</v>
      </c>
      <c r="C27" s="69">
        <v>0.14389989201208098</v>
      </c>
      <c r="D27" s="52"/>
      <c r="E27" s="471"/>
      <c r="F27" s="471"/>
    </row>
    <row r="28" spans="2:7" x14ac:dyDescent="0.25">
      <c r="B28" s="8" t="s">
        <v>429</v>
      </c>
      <c r="C28" s="69">
        <v>1.1290447247512103</v>
      </c>
      <c r="D28" s="52"/>
      <c r="E28" s="471"/>
      <c r="F28" s="471"/>
    </row>
    <row r="29" spans="2:7" x14ac:dyDescent="0.25">
      <c r="B29" s="8" t="s">
        <v>430</v>
      </c>
      <c r="C29" s="69">
        <v>1.4985709902004913</v>
      </c>
      <c r="D29" s="52"/>
      <c r="E29" s="471"/>
      <c r="F29" s="471"/>
    </row>
    <row r="30" spans="2:7" x14ac:dyDescent="0.25">
      <c r="B30" s="8" t="s">
        <v>431</v>
      </c>
      <c r="C30" s="69">
        <v>1.8576853078793951</v>
      </c>
      <c r="D30" s="52"/>
      <c r="E30" s="471"/>
      <c r="F30" s="471"/>
    </row>
    <row r="31" spans="2:7" x14ac:dyDescent="0.25">
      <c r="B31" s="8" t="s">
        <v>432</v>
      </c>
      <c r="C31" s="69">
        <v>1.7600083192032272</v>
      </c>
      <c r="D31" s="52"/>
      <c r="E31" s="471"/>
      <c r="F31" s="471"/>
    </row>
    <row r="32" spans="2:7" x14ac:dyDescent="0.25">
      <c r="B32" s="8" t="s">
        <v>433</v>
      </c>
      <c r="C32" s="69">
        <v>1.4551742172097193</v>
      </c>
      <c r="D32" s="52"/>
      <c r="E32" s="471"/>
      <c r="F32" s="471"/>
    </row>
    <row r="33" spans="1:6" x14ac:dyDescent="0.25">
      <c r="B33" s="8" t="s">
        <v>434</v>
      </c>
      <c r="C33" s="69">
        <v>0.50622050266957686</v>
      </c>
      <c r="D33" s="52"/>
      <c r="E33" s="471"/>
      <c r="F33" s="471"/>
    </row>
    <row r="34" spans="1:6" x14ac:dyDescent="0.25">
      <c r="B34" s="8" t="s">
        <v>435</v>
      </c>
      <c r="C34" s="69">
        <v>-0.66023284683743078</v>
      </c>
      <c r="D34" s="52"/>
      <c r="E34" s="471"/>
      <c r="F34" s="471"/>
    </row>
    <row r="35" spans="1:6" x14ac:dyDescent="0.25">
      <c r="B35" s="8" t="s">
        <v>436</v>
      </c>
      <c r="C35" s="69">
        <v>-1.6930202829047178</v>
      </c>
      <c r="D35" s="52"/>
      <c r="E35" s="471"/>
      <c r="F35" s="471"/>
    </row>
    <row r="36" spans="1:6" x14ac:dyDescent="0.25">
      <c r="B36" s="8" t="s">
        <v>437</v>
      </c>
      <c r="C36" s="69">
        <v>-2.3229707080154598</v>
      </c>
      <c r="D36" s="52"/>
      <c r="E36" s="471"/>
      <c r="F36" s="471"/>
    </row>
    <row r="37" spans="1:6" x14ac:dyDescent="0.25">
      <c r="B37" s="8" t="s">
        <v>438</v>
      </c>
      <c r="C37" s="69">
        <v>-2.8387273341796697</v>
      </c>
      <c r="D37" s="52"/>
      <c r="E37" s="471"/>
      <c r="F37" s="471"/>
    </row>
    <row r="38" spans="1:6" x14ac:dyDescent="0.25">
      <c r="B38" s="8" t="s">
        <v>439</v>
      </c>
      <c r="C38" s="69">
        <v>-2.9785792424809734</v>
      </c>
      <c r="D38" s="52"/>
      <c r="E38" s="471"/>
      <c r="F38" s="471"/>
    </row>
    <row r="39" spans="1:6" x14ac:dyDescent="0.25">
      <c r="A39" s="18"/>
      <c r="B39" s="8" t="s">
        <v>440</v>
      </c>
      <c r="C39" s="69">
        <v>-3.1261474178869348</v>
      </c>
      <c r="D39" s="52"/>
      <c r="E39" s="471"/>
      <c r="F39" s="471"/>
    </row>
    <row r="40" spans="1:6" x14ac:dyDescent="0.25">
      <c r="A40" s="18"/>
      <c r="B40" s="8" t="s">
        <v>441</v>
      </c>
      <c r="C40" s="69">
        <v>-3.1321743933197888</v>
      </c>
      <c r="D40" s="52"/>
      <c r="E40" s="471"/>
      <c r="F40" s="471"/>
    </row>
    <row r="41" spans="1:6" x14ac:dyDescent="0.25">
      <c r="B41" s="8" t="s">
        <v>442</v>
      </c>
      <c r="C41" s="69">
        <v>-3.1898305265711997</v>
      </c>
      <c r="D41" s="52"/>
      <c r="E41" s="471"/>
      <c r="F41" s="471"/>
    </row>
    <row r="42" spans="1:6" x14ac:dyDescent="0.25">
      <c r="B42" s="8" t="s">
        <v>443</v>
      </c>
      <c r="C42" s="69">
        <v>-3.24773353400861</v>
      </c>
      <c r="D42" s="52"/>
      <c r="E42" s="471"/>
      <c r="F42" s="471"/>
    </row>
    <row r="43" spans="1:6" x14ac:dyDescent="0.25">
      <c r="B43" s="8" t="s">
        <v>444</v>
      </c>
      <c r="C43" s="69">
        <v>-3.0823023306466575</v>
      </c>
      <c r="D43" s="52"/>
      <c r="E43" s="471"/>
      <c r="F43" s="471"/>
    </row>
    <row r="44" spans="1:6" x14ac:dyDescent="0.25">
      <c r="B44" s="8" t="s">
        <v>445</v>
      </c>
      <c r="C44" s="69">
        <v>-2.9877924016570803</v>
      </c>
      <c r="D44" s="52"/>
      <c r="E44" s="471"/>
      <c r="F44" s="471"/>
    </row>
    <row r="45" spans="1:6" x14ac:dyDescent="0.25">
      <c r="B45" s="8" t="s">
        <v>446</v>
      </c>
      <c r="C45" s="69">
        <v>-2.8674789045787272</v>
      </c>
      <c r="D45" s="52"/>
      <c r="E45" s="471"/>
      <c r="F45" s="471"/>
    </row>
    <row r="46" spans="1:6" x14ac:dyDescent="0.25">
      <c r="B46" s="8" t="s">
        <v>447</v>
      </c>
      <c r="C46" s="69">
        <v>-2.7643133116405818</v>
      </c>
      <c r="D46" s="52"/>
      <c r="E46" s="471"/>
      <c r="F46" s="471"/>
    </row>
    <row r="47" spans="1:6" x14ac:dyDescent="0.25">
      <c r="B47" s="8" t="s">
        <v>448</v>
      </c>
      <c r="C47" s="69">
        <v>-2.2293391527435342</v>
      </c>
      <c r="D47" s="52"/>
      <c r="E47" s="471"/>
      <c r="F47" s="471"/>
    </row>
    <row r="48" spans="1:6" x14ac:dyDescent="0.25">
      <c r="B48" s="8" t="s">
        <v>449</v>
      </c>
      <c r="C48" s="69">
        <v>-1.8682955075058745</v>
      </c>
      <c r="D48" s="52"/>
      <c r="E48" s="471"/>
      <c r="F48" s="471"/>
    </row>
    <row r="49" spans="2:6" x14ac:dyDescent="0.25">
      <c r="B49" s="8" t="s">
        <v>450</v>
      </c>
      <c r="C49" s="69">
        <v>-1.4858335562753957</v>
      </c>
      <c r="D49" s="52"/>
      <c r="E49" s="471"/>
      <c r="F49" s="471"/>
    </row>
    <row r="50" spans="2:6" x14ac:dyDescent="0.25">
      <c r="B50" s="8" t="s">
        <v>451</v>
      </c>
      <c r="C50" s="69">
        <v>-1.4595914677721931</v>
      </c>
      <c r="D50" s="52"/>
      <c r="E50" s="471"/>
      <c r="F50" s="471"/>
    </row>
    <row r="51" spans="2:6" x14ac:dyDescent="0.25">
      <c r="B51" s="8" t="s">
        <v>452</v>
      </c>
      <c r="C51" s="69">
        <v>-1.1392629391678064</v>
      </c>
      <c r="D51" s="52"/>
      <c r="E51" s="471"/>
      <c r="F51" s="471"/>
    </row>
    <row r="52" spans="2:6" x14ac:dyDescent="0.25">
      <c r="B52" s="8" t="s">
        <v>453</v>
      </c>
      <c r="C52" s="69">
        <v>-0.85737921191248645</v>
      </c>
      <c r="D52" s="52"/>
      <c r="E52" s="471"/>
      <c r="F52" s="471"/>
    </row>
    <row r="53" spans="2:6" x14ac:dyDescent="0.25">
      <c r="B53" s="8" t="s">
        <v>454</v>
      </c>
      <c r="C53" s="69">
        <v>-0.42986956003612825</v>
      </c>
      <c r="D53" s="52"/>
      <c r="E53" s="471"/>
      <c r="F53" s="471"/>
    </row>
    <row r="54" spans="2:6" x14ac:dyDescent="0.25">
      <c r="B54" s="8" t="s">
        <v>455</v>
      </c>
      <c r="C54" s="69">
        <v>-0.29469591755951768</v>
      </c>
      <c r="D54" s="52"/>
      <c r="E54" s="471"/>
      <c r="F54" s="471"/>
    </row>
    <row r="55" spans="2:6" x14ac:dyDescent="0.25">
      <c r="B55" s="8" t="s">
        <v>456</v>
      </c>
      <c r="C55" s="69">
        <v>9.1781332198039564E-2</v>
      </c>
      <c r="D55" s="52"/>
      <c r="E55" s="471"/>
      <c r="F55" s="471"/>
    </row>
    <row r="56" spans="2:6" x14ac:dyDescent="0.25">
      <c r="B56" s="8" t="s">
        <v>457</v>
      </c>
      <c r="C56" s="69">
        <v>0.32353331527143331</v>
      </c>
      <c r="D56" s="52"/>
      <c r="E56" s="471"/>
      <c r="F56" s="471"/>
    </row>
    <row r="57" spans="2:6" x14ac:dyDescent="0.25">
      <c r="B57" s="8" t="s">
        <v>458</v>
      </c>
      <c r="C57" s="69">
        <v>0.28942764647558766</v>
      </c>
      <c r="D57" s="52"/>
      <c r="E57" s="471"/>
      <c r="F57" s="471"/>
    </row>
    <row r="58" spans="2:6" x14ac:dyDescent="0.25">
      <c r="B58" s="8" t="s">
        <v>459</v>
      </c>
      <c r="C58" s="69">
        <v>-3.7395064061073034E-2</v>
      </c>
      <c r="D58" s="52"/>
      <c r="E58" s="471"/>
      <c r="F58" s="471"/>
    </row>
    <row r="59" spans="2:6" x14ac:dyDescent="0.25">
      <c r="B59" s="8" t="s">
        <v>460</v>
      </c>
      <c r="C59" s="69">
        <v>-0.10807879446903229</v>
      </c>
      <c r="D59" s="52"/>
      <c r="E59" s="471"/>
      <c r="F59" s="471"/>
    </row>
    <row r="60" spans="2:6" x14ac:dyDescent="0.25">
      <c r="B60" s="8" t="s">
        <v>461</v>
      </c>
      <c r="C60" s="69">
        <v>0.11532362546575792</v>
      </c>
      <c r="D60" s="52"/>
      <c r="E60" s="471"/>
      <c r="F60" s="471"/>
    </row>
    <row r="61" spans="2:6" ht="15" customHeight="1" x14ac:dyDescent="0.25">
      <c r="B61" s="8" t="s">
        <v>462</v>
      </c>
      <c r="C61" s="69">
        <v>0.13739939334593965</v>
      </c>
      <c r="D61" s="52"/>
      <c r="E61" s="471"/>
      <c r="F61" s="471"/>
    </row>
    <row r="62" spans="2:6" x14ac:dyDescent="0.25">
      <c r="B62" s="8" t="s">
        <v>463</v>
      </c>
      <c r="C62" s="69">
        <v>0.17615046936003145</v>
      </c>
      <c r="D62" s="52"/>
      <c r="E62" s="471"/>
      <c r="F62" s="471"/>
    </row>
    <row r="63" spans="2:6" x14ac:dyDescent="0.25">
      <c r="B63" s="8" t="s">
        <v>464</v>
      </c>
      <c r="C63" s="69">
        <v>0.60979842185969102</v>
      </c>
      <c r="D63" s="52"/>
      <c r="E63" s="471"/>
      <c r="F63" s="471"/>
    </row>
    <row r="64" spans="2:6" x14ac:dyDescent="0.25">
      <c r="B64" s="8" t="s">
        <v>465</v>
      </c>
      <c r="C64" s="69">
        <v>1.3999190802963719</v>
      </c>
      <c r="D64" s="52"/>
      <c r="E64" s="471"/>
      <c r="F64" s="471"/>
    </row>
    <row r="65" spans="2:6" x14ac:dyDescent="0.25">
      <c r="B65" s="8" t="s">
        <v>466</v>
      </c>
      <c r="C65" s="69">
        <v>2.1302231665957114</v>
      </c>
      <c r="D65" s="52"/>
      <c r="E65" s="471"/>
      <c r="F65" s="471"/>
    </row>
    <row r="66" spans="2:6" x14ac:dyDescent="0.25">
      <c r="B66" s="8" t="s">
        <v>467</v>
      </c>
      <c r="C66" s="69">
        <v>2.4636949639236079</v>
      </c>
      <c r="D66" s="52"/>
      <c r="E66" s="471"/>
      <c r="F66" s="471"/>
    </row>
    <row r="67" spans="2:6" x14ac:dyDescent="0.25">
      <c r="B67" s="8" t="s">
        <v>468</v>
      </c>
      <c r="C67" s="69">
        <v>2.8614382534124019</v>
      </c>
      <c r="D67" s="52"/>
      <c r="E67" s="471"/>
      <c r="F67" s="471"/>
    </row>
    <row r="68" spans="2:6" x14ac:dyDescent="0.25">
      <c r="B68" s="8" t="s">
        <v>469</v>
      </c>
      <c r="C68" s="69">
        <v>3.247811421940368</v>
      </c>
      <c r="D68" s="52"/>
      <c r="E68" s="471"/>
      <c r="F68" s="471"/>
    </row>
    <row r="69" spans="2:6" x14ac:dyDescent="0.25">
      <c r="B69" s="8" t="s">
        <v>470</v>
      </c>
      <c r="C69" s="69">
        <v>3.6255127000474481</v>
      </c>
      <c r="D69" s="52"/>
      <c r="E69" s="471"/>
      <c r="F69" s="471"/>
    </row>
    <row r="70" spans="2:6" x14ac:dyDescent="0.25">
      <c r="B70" s="8" t="s">
        <v>471</v>
      </c>
      <c r="C70" s="69">
        <v>3.2815352470715307</v>
      </c>
      <c r="D70" s="52"/>
      <c r="E70" s="471"/>
      <c r="F70" s="471"/>
    </row>
    <row r="71" spans="2:6" x14ac:dyDescent="0.25">
      <c r="B71" s="8" t="s">
        <v>472</v>
      </c>
      <c r="C71" s="69">
        <v>2.9290997453992187</v>
      </c>
      <c r="D71" s="52"/>
      <c r="E71" s="471"/>
      <c r="F71" s="471"/>
    </row>
    <row r="72" spans="2:6" x14ac:dyDescent="0.25">
      <c r="B72" s="8" t="s">
        <v>473</v>
      </c>
      <c r="C72" s="69">
        <v>2.2286087884987351</v>
      </c>
      <c r="D72" s="52"/>
      <c r="E72" s="471"/>
      <c r="F72" s="471"/>
    </row>
    <row r="73" spans="2:6" x14ac:dyDescent="0.25">
      <c r="B73" s="8" t="s">
        <v>474</v>
      </c>
      <c r="C73" s="69">
        <v>1.8032198786028124</v>
      </c>
      <c r="D73" s="52"/>
      <c r="E73" s="471"/>
      <c r="F73" s="471"/>
    </row>
    <row r="74" spans="2:6" x14ac:dyDescent="0.25">
      <c r="B74" s="8" t="s">
        <v>475</v>
      </c>
      <c r="C74" s="69">
        <v>1.0281269618427722</v>
      </c>
      <c r="D74" s="52"/>
      <c r="E74" s="471"/>
      <c r="F74" s="471"/>
    </row>
    <row r="75" spans="2:6" x14ac:dyDescent="0.25">
      <c r="B75" s="8" t="s">
        <v>476</v>
      </c>
      <c r="C75" s="69">
        <v>0.63276357427802676</v>
      </c>
      <c r="D75" s="52"/>
      <c r="E75" s="471"/>
      <c r="F75" s="471"/>
    </row>
    <row r="76" spans="2:6" x14ac:dyDescent="0.25">
      <c r="B76" s="8" t="s">
        <v>477</v>
      </c>
      <c r="C76" s="69">
        <v>6.5816310709687451E-2</v>
      </c>
      <c r="D76" s="52"/>
      <c r="E76" s="471"/>
      <c r="F76" s="471"/>
    </row>
    <row r="77" spans="2:6" x14ac:dyDescent="0.25">
      <c r="B77" s="8" t="s">
        <v>478</v>
      </c>
      <c r="C77" s="69">
        <v>-0.6064679375515436</v>
      </c>
      <c r="D77" s="52"/>
      <c r="E77" s="471"/>
      <c r="F77" s="471"/>
    </row>
    <row r="78" spans="2:6" x14ac:dyDescent="0.25">
      <c r="B78" s="8" t="s">
        <v>479</v>
      </c>
      <c r="C78" s="69">
        <v>-1.4592744140934126</v>
      </c>
      <c r="D78" s="52"/>
      <c r="E78" s="471"/>
      <c r="F78" s="471"/>
    </row>
    <row r="79" spans="2:6" x14ac:dyDescent="0.25">
      <c r="B79" s="8" t="s">
        <v>480</v>
      </c>
      <c r="C79" s="69">
        <v>-2.0762675953954468</v>
      </c>
      <c r="D79" s="52"/>
      <c r="E79" s="471"/>
      <c r="F79" s="471"/>
    </row>
    <row r="80" spans="2:6" x14ac:dyDescent="0.25">
      <c r="B80" s="8" t="s">
        <v>481</v>
      </c>
      <c r="C80" s="69">
        <v>-2.2894038740039862</v>
      </c>
      <c r="D80" s="52"/>
      <c r="E80" s="471"/>
      <c r="F80" s="471"/>
    </row>
    <row r="81" spans="2:6" x14ac:dyDescent="0.25">
      <c r="B81" s="8" t="s">
        <v>482</v>
      </c>
      <c r="C81" s="69">
        <v>-2.3925404910987047</v>
      </c>
      <c r="D81" s="52"/>
      <c r="E81" s="471"/>
      <c r="F81" s="471"/>
    </row>
    <row r="82" spans="2:6" x14ac:dyDescent="0.25">
      <c r="B82" s="8" t="s">
        <v>483</v>
      </c>
      <c r="C82" s="69">
        <v>-2.3667844433931493</v>
      </c>
      <c r="D82" s="52"/>
      <c r="E82" s="471"/>
      <c r="F82" s="471"/>
    </row>
    <row r="83" spans="2:6" x14ac:dyDescent="0.25">
      <c r="B83" s="8" t="s">
        <v>484</v>
      </c>
      <c r="C83" s="69">
        <v>-2.3988624406176475</v>
      </c>
      <c r="D83" s="52"/>
      <c r="E83" s="471"/>
      <c r="F83" s="471"/>
    </row>
    <row r="84" spans="2:6" x14ac:dyDescent="0.25">
      <c r="B84" s="8" t="s">
        <v>485</v>
      </c>
      <c r="C84" s="69">
        <v>-2.3792880993488477</v>
      </c>
      <c r="D84" s="52"/>
      <c r="E84" s="471"/>
      <c r="F84" s="471"/>
    </row>
    <row r="85" spans="2:6" x14ac:dyDescent="0.25">
      <c r="B85" s="8" t="s">
        <v>486</v>
      </c>
      <c r="C85" s="69">
        <v>-2.529574788385148</v>
      </c>
      <c r="D85" s="52"/>
      <c r="E85" s="471"/>
      <c r="F85" s="471"/>
    </row>
    <row r="86" spans="2:6" x14ac:dyDescent="0.25">
      <c r="B86" s="8" t="s">
        <v>487</v>
      </c>
      <c r="C86" s="69">
        <v>-2.3232267965196693</v>
      </c>
      <c r="D86" s="52"/>
      <c r="E86" s="471"/>
      <c r="F86" s="471"/>
    </row>
    <row r="87" spans="2:6" x14ac:dyDescent="0.25">
      <c r="B87" s="8" t="s">
        <v>488</v>
      </c>
      <c r="C87" s="69">
        <v>-2.1469047326471755</v>
      </c>
      <c r="D87" s="52"/>
      <c r="E87" s="471"/>
      <c r="F87" s="471"/>
    </row>
    <row r="88" spans="2:6" x14ac:dyDescent="0.25">
      <c r="B88" s="8" t="s">
        <v>489</v>
      </c>
      <c r="C88" s="69">
        <v>-1.7833427968572593</v>
      </c>
      <c r="D88" s="52"/>
      <c r="E88" s="471"/>
      <c r="F88" s="471"/>
    </row>
    <row r="89" spans="2:6" x14ac:dyDescent="0.25">
      <c r="B89" s="8" t="s">
        <v>490</v>
      </c>
      <c r="C89" s="69">
        <v>-1.7421426825567015</v>
      </c>
      <c r="D89" s="52"/>
      <c r="E89" s="471"/>
      <c r="F89" s="471"/>
    </row>
    <row r="90" spans="2:6" x14ac:dyDescent="0.25">
      <c r="B90" s="78" t="s">
        <v>491</v>
      </c>
      <c r="C90" s="502">
        <v>-1.5659610356214557</v>
      </c>
      <c r="D90" s="52"/>
      <c r="E90" s="471"/>
      <c r="F90" s="471"/>
    </row>
    <row r="91" spans="2:6" x14ac:dyDescent="0.25">
      <c r="B91" s="8" t="s">
        <v>492</v>
      </c>
      <c r="C91" s="69">
        <v>-1.55948174281815</v>
      </c>
      <c r="D91" s="52"/>
      <c r="E91" s="471"/>
      <c r="F91" s="471"/>
    </row>
    <row r="92" spans="2:6" x14ac:dyDescent="0.25">
      <c r="B92" s="8" t="s">
        <v>493</v>
      </c>
      <c r="C92" s="69">
        <v>-0.94751106243850813</v>
      </c>
      <c r="D92" s="52"/>
      <c r="E92" s="471"/>
      <c r="F92" s="471"/>
    </row>
    <row r="93" spans="2:6" x14ac:dyDescent="0.25">
      <c r="B93" s="8" t="s">
        <v>494</v>
      </c>
      <c r="C93" s="69">
        <v>-0.28886961749125817</v>
      </c>
      <c r="D93" s="52"/>
      <c r="E93" s="471"/>
      <c r="F93" s="471"/>
    </row>
    <row r="94" spans="2:6" x14ac:dyDescent="0.25">
      <c r="B94" s="8" t="s">
        <v>495</v>
      </c>
      <c r="C94" s="69">
        <v>-0.16005807873695233</v>
      </c>
      <c r="D94" s="52"/>
      <c r="E94" s="471"/>
      <c r="F94" s="471"/>
    </row>
    <row r="95" spans="2:6" x14ac:dyDescent="0.25">
      <c r="B95" s="8" t="s">
        <v>496</v>
      </c>
      <c r="C95" s="69">
        <v>-0.41708328118745785</v>
      </c>
      <c r="D95" s="52"/>
      <c r="E95" s="471"/>
      <c r="F95" s="471"/>
    </row>
    <row r="96" spans="2:6" x14ac:dyDescent="0.25">
      <c r="B96" s="8" t="s">
        <v>497</v>
      </c>
      <c r="C96" s="69">
        <v>-0.92233269302602294</v>
      </c>
      <c r="D96" s="52"/>
      <c r="E96" s="471"/>
      <c r="F96" s="471"/>
    </row>
    <row r="97" spans="2:6" x14ac:dyDescent="0.25">
      <c r="B97" s="8" t="s">
        <v>498</v>
      </c>
      <c r="C97" s="69">
        <v>-0.64372719954843727</v>
      </c>
      <c r="D97" s="52"/>
      <c r="E97" s="471"/>
      <c r="F97" s="471"/>
    </row>
    <row r="98" spans="2:6" x14ac:dyDescent="0.25">
      <c r="B98" s="8" t="s">
        <v>499</v>
      </c>
      <c r="C98" s="69">
        <v>-0.58526758195676598</v>
      </c>
      <c r="D98" s="52"/>
      <c r="E98" s="471"/>
      <c r="F98" s="471"/>
    </row>
    <row r="99" spans="2:6" x14ac:dyDescent="0.25">
      <c r="B99" s="8" t="s">
        <v>500</v>
      </c>
      <c r="C99" s="69">
        <v>-0.73604660335059979</v>
      </c>
      <c r="D99" s="52"/>
      <c r="E99" s="471"/>
      <c r="F99" s="471"/>
    </row>
    <row r="100" spans="2:6" x14ac:dyDescent="0.25">
      <c r="B100" s="8" t="s">
        <v>501</v>
      </c>
      <c r="C100" s="69">
        <v>-1.0169529062089246</v>
      </c>
      <c r="D100" s="52"/>
      <c r="E100" s="471"/>
      <c r="F100" s="471"/>
    </row>
    <row r="101" spans="2:6" x14ac:dyDescent="0.25">
      <c r="B101" s="8" t="s">
        <v>502</v>
      </c>
      <c r="C101" s="69">
        <v>-0.24431650953472239</v>
      </c>
      <c r="D101" s="52"/>
      <c r="E101" s="471"/>
      <c r="F101" s="471"/>
    </row>
    <row r="102" spans="2:6" x14ac:dyDescent="0.25">
      <c r="B102" s="8" t="s">
        <v>503</v>
      </c>
      <c r="C102" s="69">
        <v>6.1273870247650075E-2</v>
      </c>
      <c r="D102" s="52"/>
      <c r="E102" s="471"/>
      <c r="F102" s="471"/>
    </row>
    <row r="103" spans="2:6" x14ac:dyDescent="0.25">
      <c r="B103" s="8" t="s">
        <v>504</v>
      </c>
      <c r="C103" s="69">
        <v>0.44946730475127888</v>
      </c>
      <c r="D103" s="52"/>
      <c r="E103" s="471"/>
      <c r="F103" s="471"/>
    </row>
    <row r="104" spans="2:6" x14ac:dyDescent="0.25">
      <c r="B104" s="8" t="s">
        <v>505</v>
      </c>
      <c r="C104" s="69">
        <v>0.74139552688227484</v>
      </c>
      <c r="D104" s="52"/>
      <c r="E104" s="471"/>
      <c r="F104" s="471"/>
    </row>
    <row r="105" spans="2:6" x14ac:dyDescent="0.25">
      <c r="B105" s="8" t="s">
        <v>506</v>
      </c>
      <c r="C105" s="69">
        <v>1.0798231537954461</v>
      </c>
      <c r="D105" s="52"/>
      <c r="E105" s="471"/>
      <c r="F105" s="471"/>
    </row>
    <row r="106" spans="2:6" x14ac:dyDescent="0.25">
      <c r="B106" s="8" t="s">
        <v>507</v>
      </c>
      <c r="C106" s="69">
        <v>1.497234241184668</v>
      </c>
      <c r="D106" s="52"/>
      <c r="E106" s="471"/>
      <c r="F106" s="471"/>
    </row>
    <row r="107" spans="2:6" x14ac:dyDescent="0.25">
      <c r="B107" s="8" t="s">
        <v>508</v>
      </c>
      <c r="C107" s="69">
        <v>1.5248744179463722</v>
      </c>
      <c r="D107" s="52"/>
      <c r="E107" s="471"/>
      <c r="F107" s="471"/>
    </row>
    <row r="108" spans="2:6" x14ac:dyDescent="0.25">
      <c r="B108" s="8" t="s">
        <v>509</v>
      </c>
      <c r="C108" s="69">
        <v>1.3738256773348085</v>
      </c>
      <c r="D108" s="52"/>
      <c r="E108" s="471"/>
      <c r="F108" s="471"/>
    </row>
    <row r="109" spans="2:6" x14ac:dyDescent="0.25">
      <c r="B109" s="8" t="s">
        <v>510</v>
      </c>
      <c r="C109" s="69">
        <v>1.0069523593721503</v>
      </c>
      <c r="D109" s="52"/>
      <c r="E109" s="471"/>
      <c r="F109" s="471"/>
    </row>
    <row r="110" spans="2:6" x14ac:dyDescent="0.25">
      <c r="B110" s="8" t="s">
        <v>511</v>
      </c>
      <c r="C110" s="69">
        <v>0.73399134984920789</v>
      </c>
      <c r="D110" s="52"/>
      <c r="E110" s="471"/>
      <c r="F110" s="471"/>
    </row>
    <row r="111" spans="2:6" x14ac:dyDescent="0.25">
      <c r="B111" s="8" t="s">
        <v>512</v>
      </c>
      <c r="C111" s="69">
        <v>0.57466103516180755</v>
      </c>
      <c r="D111" s="52"/>
      <c r="E111" s="471"/>
      <c r="F111" s="471"/>
    </row>
    <row r="112" spans="2:6" x14ac:dyDescent="0.25">
      <c r="B112" s="8" t="s">
        <v>513</v>
      </c>
      <c r="C112" s="69">
        <v>0.34696890732081115</v>
      </c>
      <c r="D112" s="52"/>
      <c r="E112" s="471"/>
      <c r="F112" s="471"/>
    </row>
    <row r="113" spans="2:6" x14ac:dyDescent="0.25">
      <c r="B113" s="8" t="s">
        <v>514</v>
      </c>
      <c r="C113" s="69">
        <v>0.86840965699216111</v>
      </c>
      <c r="D113" s="52"/>
      <c r="E113" s="471"/>
      <c r="F113" s="471"/>
    </row>
    <row r="114" spans="2:6" x14ac:dyDescent="0.25">
      <c r="B114" s="8" t="s">
        <v>515</v>
      </c>
      <c r="C114" s="69">
        <v>1.0441242861704587</v>
      </c>
      <c r="D114" s="52"/>
      <c r="E114" s="471"/>
      <c r="F114" s="471"/>
    </row>
    <row r="115" spans="2:6" x14ac:dyDescent="0.25">
      <c r="B115" s="8" t="s">
        <v>516</v>
      </c>
      <c r="C115" s="69">
        <v>1.2384847713642086</v>
      </c>
      <c r="D115" s="52"/>
      <c r="E115" s="471"/>
      <c r="F115" s="471"/>
    </row>
    <row r="116" spans="2:6" x14ac:dyDescent="0.25">
      <c r="B116" s="8" t="s">
        <v>517</v>
      </c>
      <c r="C116" s="69">
        <v>1.164185866640274</v>
      </c>
      <c r="D116" s="52"/>
      <c r="E116" s="471"/>
      <c r="F116" s="471"/>
    </row>
    <row r="117" spans="2:6" x14ac:dyDescent="0.25">
      <c r="B117" s="8" t="s">
        <v>518</v>
      </c>
      <c r="C117" s="69">
        <v>1.2693811232785213</v>
      </c>
      <c r="D117" s="52"/>
      <c r="E117" s="471"/>
      <c r="F117" s="471"/>
    </row>
    <row r="118" spans="2:6" x14ac:dyDescent="0.25">
      <c r="B118" s="8" t="s">
        <v>519</v>
      </c>
      <c r="C118" s="69">
        <v>1.2980861245240394</v>
      </c>
      <c r="D118" s="52"/>
      <c r="E118" s="471"/>
      <c r="F118" s="471"/>
    </row>
    <row r="119" spans="2:6" x14ac:dyDescent="0.25">
      <c r="B119" s="8" t="s">
        <v>520</v>
      </c>
      <c r="C119" s="69">
        <v>1.3499005960190584</v>
      </c>
      <c r="D119" s="52"/>
      <c r="E119" s="471"/>
      <c r="F119" s="471"/>
    </row>
    <row r="120" spans="2:6" x14ac:dyDescent="0.25">
      <c r="B120" s="8" t="s">
        <v>521</v>
      </c>
      <c r="C120" s="69">
        <v>1.2704392766377168</v>
      </c>
      <c r="D120" s="52"/>
      <c r="E120" s="471"/>
      <c r="F120" s="471"/>
    </row>
    <row r="121" spans="2:6" x14ac:dyDescent="0.25">
      <c r="B121" s="8" t="s">
        <v>522</v>
      </c>
      <c r="C121" s="69">
        <v>0.82468283733810921</v>
      </c>
      <c r="D121" s="52"/>
      <c r="E121" s="471"/>
      <c r="F121" s="471"/>
    </row>
    <row r="122" spans="2:6" x14ac:dyDescent="0.25">
      <c r="B122" s="8" t="s">
        <v>523</v>
      </c>
      <c r="C122" s="69">
        <v>0.5056099512776917</v>
      </c>
      <c r="D122" s="52"/>
      <c r="E122" s="471"/>
      <c r="F122" s="471"/>
    </row>
    <row r="123" spans="2:6" x14ac:dyDescent="0.25">
      <c r="B123" s="8" t="s">
        <v>524</v>
      </c>
      <c r="C123" s="69">
        <v>0.19554275824434364</v>
      </c>
      <c r="D123" s="52"/>
      <c r="E123" s="471"/>
      <c r="F123" s="471"/>
    </row>
    <row r="124" spans="2:6" x14ac:dyDescent="0.25">
      <c r="B124" s="8" t="s">
        <v>525</v>
      </c>
      <c r="C124" s="69">
        <v>0.13488548150913299</v>
      </c>
      <c r="D124" s="52"/>
      <c r="E124" s="471"/>
      <c r="F124" s="471"/>
    </row>
    <row r="125" spans="2:6" x14ac:dyDescent="0.25">
      <c r="B125" s="8" t="s">
        <v>526</v>
      </c>
      <c r="C125" s="69">
        <v>0.17778470331412777</v>
      </c>
      <c r="D125" s="52"/>
      <c r="E125" s="471"/>
      <c r="F125" s="471"/>
    </row>
    <row r="126" spans="2:6" x14ac:dyDescent="0.25">
      <c r="B126" s="8" t="s">
        <v>527</v>
      </c>
      <c r="C126" s="69">
        <v>6.0690241218074981E-2</v>
      </c>
      <c r="D126" s="52"/>
      <c r="E126" s="471"/>
      <c r="F126" s="471"/>
    </row>
    <row r="127" spans="2:6" x14ac:dyDescent="0.25">
      <c r="B127" s="8" t="s">
        <v>528</v>
      </c>
      <c r="C127" s="69">
        <v>-7.9120214937685618E-2</v>
      </c>
      <c r="D127" s="52"/>
      <c r="E127" s="471"/>
      <c r="F127" s="471"/>
    </row>
    <row r="128" spans="2:6" x14ac:dyDescent="0.25">
      <c r="B128" s="8" t="s">
        <v>529</v>
      </c>
      <c r="C128" s="69">
        <v>-6.6309363638702656E-2</v>
      </c>
      <c r="D128" s="52"/>
      <c r="E128" s="471"/>
      <c r="F128" s="471"/>
    </row>
    <row r="129" spans="2:6" x14ac:dyDescent="0.25">
      <c r="B129" s="8" t="s">
        <v>530</v>
      </c>
      <c r="C129" s="69">
        <v>0.35488965199280181</v>
      </c>
      <c r="D129" s="52"/>
      <c r="E129" s="471"/>
      <c r="F129" s="471"/>
    </row>
    <row r="130" spans="2:6" x14ac:dyDescent="0.25">
      <c r="B130" s="8" t="s">
        <v>531</v>
      </c>
      <c r="C130" s="69">
        <v>0.58457998093496133</v>
      </c>
      <c r="D130" s="52"/>
      <c r="E130" s="471"/>
      <c r="F130" s="471"/>
    </row>
    <row r="131" spans="2:6" x14ac:dyDescent="0.25">
      <c r="B131" s="8" t="s">
        <v>532</v>
      </c>
      <c r="C131" s="69">
        <v>0.66219429344217995</v>
      </c>
      <c r="D131" s="52"/>
      <c r="E131" s="471"/>
      <c r="F131" s="471"/>
    </row>
    <row r="132" spans="2:6" x14ac:dyDescent="0.25">
      <c r="B132" s="8" t="s">
        <v>533</v>
      </c>
      <c r="C132" s="69">
        <v>0.60743368261353337</v>
      </c>
      <c r="D132" s="52"/>
      <c r="E132" s="471"/>
      <c r="F132" s="471"/>
    </row>
    <row r="133" spans="2:6" x14ac:dyDescent="0.25">
      <c r="B133" s="8" t="s">
        <v>534</v>
      </c>
      <c r="C133" s="69">
        <v>0.52381430438377352</v>
      </c>
      <c r="D133" s="52"/>
      <c r="E133" s="471"/>
      <c r="F133" s="471"/>
    </row>
    <row r="134" spans="2:6" x14ac:dyDescent="0.25">
      <c r="B134" s="8" t="s">
        <v>535</v>
      </c>
      <c r="C134" s="69">
        <v>0.39125521172559918</v>
      </c>
      <c r="D134" s="52"/>
      <c r="E134" s="471"/>
      <c r="F134" s="471"/>
    </row>
    <row r="135" spans="2:6" x14ac:dyDescent="0.25">
      <c r="B135" s="8" t="s">
        <v>536</v>
      </c>
      <c r="C135" s="69">
        <v>0.40886194951457855</v>
      </c>
      <c r="D135" s="52"/>
      <c r="E135" s="471"/>
      <c r="F135" s="471"/>
    </row>
    <row r="136" spans="2:6" x14ac:dyDescent="0.25">
      <c r="B136" s="8" t="s">
        <v>537</v>
      </c>
      <c r="C136" s="69">
        <v>0.44814961941778786</v>
      </c>
      <c r="D136" s="52"/>
      <c r="E136" s="471"/>
      <c r="F136" s="471"/>
    </row>
    <row r="137" spans="2:6" x14ac:dyDescent="0.25">
      <c r="B137" s="8" t="s">
        <v>538</v>
      </c>
      <c r="C137" s="69">
        <v>0.40209726408367785</v>
      </c>
      <c r="D137" s="52"/>
      <c r="E137" s="471"/>
      <c r="F137" s="471"/>
    </row>
    <row r="138" spans="2:6" x14ac:dyDescent="0.25">
      <c r="B138" s="8" t="s">
        <v>539</v>
      </c>
      <c r="C138" s="69">
        <v>0.31237505820892003</v>
      </c>
      <c r="D138" s="52"/>
      <c r="E138" s="471"/>
      <c r="F138" s="471"/>
    </row>
    <row r="139" spans="2:6" x14ac:dyDescent="0.25">
      <c r="B139" s="8" t="s">
        <v>540</v>
      </c>
      <c r="C139" s="69">
        <v>0.10914855858651568</v>
      </c>
      <c r="D139" s="52"/>
      <c r="E139" s="471"/>
      <c r="F139" s="471"/>
    </row>
    <row r="140" spans="2:6" x14ac:dyDescent="0.25">
      <c r="B140" s="8" t="s">
        <v>541</v>
      </c>
      <c r="C140" s="69">
        <v>2.9103312382081636E-3</v>
      </c>
      <c r="D140" s="52"/>
      <c r="E140" s="471"/>
      <c r="F140" s="471"/>
    </row>
    <row r="141" spans="2:6" x14ac:dyDescent="0.25">
      <c r="B141" s="8" t="s">
        <v>542</v>
      </c>
      <c r="C141" s="69">
        <v>-0.14728870713398162</v>
      </c>
      <c r="D141" s="52"/>
      <c r="E141" s="471"/>
      <c r="F141" s="471"/>
    </row>
    <row r="142" spans="2:6" x14ac:dyDescent="0.25">
      <c r="B142" s="8" t="s">
        <v>543</v>
      </c>
      <c r="C142" s="69">
        <v>-3.6072678150517484E-2</v>
      </c>
      <c r="D142" s="52"/>
      <c r="E142" s="471"/>
      <c r="F142" s="471"/>
    </row>
    <row r="143" spans="2:6" x14ac:dyDescent="0.25">
      <c r="B143" s="8" t="s">
        <v>544</v>
      </c>
      <c r="C143" s="432">
        <v>0.2118574</v>
      </c>
      <c r="D143" s="52"/>
      <c r="E143" s="471"/>
      <c r="F143" s="471"/>
    </row>
    <row r="144" spans="2:6" x14ac:dyDescent="0.25">
      <c r="B144" s="8" t="s">
        <v>545</v>
      </c>
      <c r="C144" s="432">
        <v>0.52642088200000003</v>
      </c>
      <c r="D144" s="52"/>
      <c r="E144" s="471"/>
      <c r="F144" s="471"/>
    </row>
    <row r="145" spans="2:6" x14ac:dyDescent="0.25">
      <c r="B145" s="8" t="s">
        <v>546</v>
      </c>
      <c r="C145" s="432">
        <v>0.57400170399999995</v>
      </c>
      <c r="D145" s="52"/>
      <c r="E145" s="471"/>
      <c r="F145" s="471"/>
    </row>
    <row r="146" spans="2:6" x14ac:dyDescent="0.25">
      <c r="B146" s="8" t="s">
        <v>547</v>
      </c>
      <c r="C146" s="432">
        <v>0.75008227199999999</v>
      </c>
      <c r="D146" s="52"/>
      <c r="E146" s="471"/>
      <c r="F146" s="471"/>
    </row>
    <row r="147" spans="2:6" x14ac:dyDescent="0.25">
      <c r="B147" s="8" t="s">
        <v>43</v>
      </c>
      <c r="C147" s="432">
        <v>0.88515752400000003</v>
      </c>
      <c r="D147" s="52"/>
      <c r="E147" s="471"/>
      <c r="F147" s="471"/>
    </row>
    <row r="148" spans="2:6" x14ac:dyDescent="0.25">
      <c r="B148" s="8" t="s">
        <v>44</v>
      </c>
      <c r="C148" s="432">
        <v>0.67861450199999995</v>
      </c>
      <c r="D148" s="52"/>
      <c r="E148" s="471"/>
      <c r="F148" s="471"/>
    </row>
    <row r="149" spans="2:6" x14ac:dyDescent="0.25">
      <c r="B149" s="8" t="s">
        <v>45</v>
      </c>
      <c r="C149" s="432">
        <v>-1.9334212999999999E-2</v>
      </c>
      <c r="D149" s="52"/>
      <c r="E149" s="471"/>
      <c r="F149" s="471"/>
    </row>
    <row r="150" spans="2:6" x14ac:dyDescent="0.25">
      <c r="B150" s="8" t="s">
        <v>46</v>
      </c>
      <c r="C150" s="432">
        <v>-1.6086537599999999</v>
      </c>
      <c r="D150" s="52"/>
      <c r="E150" s="471"/>
      <c r="F150" s="471"/>
    </row>
    <row r="151" spans="2:6" x14ac:dyDescent="0.25">
      <c r="B151" s="8" t="s">
        <v>47</v>
      </c>
      <c r="C151" s="432">
        <v>-2.9084564899999998</v>
      </c>
      <c r="D151" s="52"/>
      <c r="E151" s="471"/>
      <c r="F151" s="471"/>
    </row>
    <row r="152" spans="2:6" x14ac:dyDescent="0.25">
      <c r="B152" s="8" t="s">
        <v>48</v>
      </c>
      <c r="C152" s="432">
        <v>-3.1672731700000001</v>
      </c>
      <c r="D152" s="52"/>
      <c r="E152" s="471"/>
      <c r="F152" s="471"/>
    </row>
    <row r="153" spans="2:6" x14ac:dyDescent="0.25">
      <c r="B153" s="8" t="s">
        <v>49</v>
      </c>
      <c r="C153" s="432">
        <v>-3.10597017</v>
      </c>
      <c r="D153" s="52"/>
      <c r="E153" s="471"/>
      <c r="F153" s="471"/>
    </row>
    <row r="154" spans="2:6" x14ac:dyDescent="0.25">
      <c r="B154" s="8" t="s">
        <v>50</v>
      </c>
      <c r="C154" s="432">
        <v>-3.1284006</v>
      </c>
      <c r="D154" s="52"/>
      <c r="E154" s="471"/>
      <c r="F154" s="471"/>
    </row>
    <row r="155" spans="2:6" x14ac:dyDescent="0.25">
      <c r="B155" s="8" t="s">
        <v>51</v>
      </c>
      <c r="C155" s="432">
        <v>-3.0479698499999999</v>
      </c>
      <c r="D155" s="52"/>
      <c r="E155" s="471"/>
      <c r="F155" s="471"/>
    </row>
    <row r="156" spans="2:6" x14ac:dyDescent="0.25">
      <c r="B156" s="8" t="s">
        <v>52</v>
      </c>
      <c r="C156" s="432">
        <v>-2.4840229599999999</v>
      </c>
      <c r="D156" s="52"/>
      <c r="E156" s="471"/>
      <c r="F156" s="471"/>
    </row>
    <row r="157" spans="2:6" x14ac:dyDescent="0.25">
      <c r="B157" s="8" t="s">
        <v>53</v>
      </c>
      <c r="C157" s="432">
        <v>-2.3011277400000001</v>
      </c>
      <c r="D157" s="52"/>
      <c r="E157" s="471"/>
      <c r="F157" s="471"/>
    </row>
    <row r="158" spans="2:6" x14ac:dyDescent="0.25">
      <c r="B158" s="8" t="s">
        <v>54</v>
      </c>
      <c r="C158" s="432">
        <v>-2.3789051400000001</v>
      </c>
      <c r="D158" s="52"/>
      <c r="E158" s="471"/>
      <c r="F158" s="471"/>
    </row>
    <row r="159" spans="2:6" x14ac:dyDescent="0.25">
      <c r="B159" s="8" t="s">
        <v>55</v>
      </c>
      <c r="C159" s="432">
        <v>-2.3799792700000002</v>
      </c>
      <c r="D159" s="52"/>
      <c r="E159" s="471"/>
      <c r="F159" s="471"/>
    </row>
    <row r="160" spans="2:6" x14ac:dyDescent="0.25">
      <c r="B160" s="8" t="s">
        <v>56</v>
      </c>
      <c r="C160" s="432">
        <v>-2.6120856899999998</v>
      </c>
      <c r="D160" s="52"/>
      <c r="E160" s="471"/>
      <c r="F160" s="471"/>
    </row>
    <row r="161" spans="2:6" x14ac:dyDescent="0.25">
      <c r="B161" s="8" t="s">
        <v>57</v>
      </c>
      <c r="C161" s="432">
        <v>-2.5280385399999994</v>
      </c>
      <c r="D161" s="52"/>
      <c r="E161" s="471"/>
      <c r="F161" s="471"/>
    </row>
    <row r="162" spans="2:6" x14ac:dyDescent="0.25">
      <c r="B162" s="8" t="s">
        <v>58</v>
      </c>
      <c r="C162" s="432">
        <v>-2.6429280899999994</v>
      </c>
      <c r="D162" s="52"/>
      <c r="E162" s="471"/>
      <c r="F162" s="471"/>
    </row>
    <row r="163" spans="2:6" x14ac:dyDescent="0.25">
      <c r="B163" s="8" t="s">
        <v>59</v>
      </c>
      <c r="C163" s="432">
        <v>-2.21760818</v>
      </c>
      <c r="D163" s="52"/>
      <c r="E163" s="471"/>
      <c r="F163" s="471"/>
    </row>
    <row r="164" spans="2:6" x14ac:dyDescent="0.25">
      <c r="B164" s="8" t="s">
        <v>60</v>
      </c>
      <c r="C164" s="432">
        <v>-2.3136053599999999</v>
      </c>
      <c r="D164" s="52"/>
      <c r="E164" s="471"/>
      <c r="F164" s="471"/>
    </row>
    <row r="165" spans="2:6" x14ac:dyDescent="0.25">
      <c r="B165" s="8" t="s">
        <v>61</v>
      </c>
      <c r="C165" s="432">
        <v>-1.8528611699999999</v>
      </c>
      <c r="D165" s="52"/>
      <c r="E165" s="471"/>
      <c r="F165" s="471"/>
    </row>
    <row r="166" spans="2:6" x14ac:dyDescent="0.25">
      <c r="B166" s="8" t="s">
        <v>62</v>
      </c>
      <c r="C166" s="432">
        <v>-2.07553315</v>
      </c>
      <c r="D166" s="52"/>
      <c r="E166" s="471"/>
      <c r="F166" s="471"/>
    </row>
    <row r="167" spans="2:6" x14ac:dyDescent="0.25">
      <c r="B167" s="8" t="s">
        <v>63</v>
      </c>
      <c r="C167" s="432">
        <v>-2.3825347699999999</v>
      </c>
      <c r="D167" s="52"/>
      <c r="E167" s="471"/>
      <c r="F167" s="471"/>
    </row>
    <row r="168" spans="2:6" x14ac:dyDescent="0.25">
      <c r="B168" s="8" t="s">
        <v>64</v>
      </c>
      <c r="C168" s="432">
        <v>-2.17029396</v>
      </c>
      <c r="D168" s="52"/>
      <c r="E168" s="471"/>
      <c r="F168" s="471"/>
    </row>
    <row r="169" spans="2:6" x14ac:dyDescent="0.25">
      <c r="B169" s="8" t="s">
        <v>65</v>
      </c>
      <c r="C169" s="432">
        <v>-1.76158974</v>
      </c>
      <c r="D169" s="52"/>
      <c r="E169" s="471"/>
      <c r="F169" s="471"/>
    </row>
    <row r="170" spans="2:6" x14ac:dyDescent="0.25">
      <c r="B170" s="8" t="s">
        <v>66</v>
      </c>
      <c r="C170" s="432">
        <v>-1.30111127</v>
      </c>
      <c r="D170" s="52"/>
      <c r="E170" s="471"/>
      <c r="F170" s="471"/>
    </row>
    <row r="171" spans="2:6" x14ac:dyDescent="0.25">
      <c r="B171" s="8" t="s">
        <v>67</v>
      </c>
      <c r="C171" s="432">
        <v>-1.04504518</v>
      </c>
      <c r="D171" s="52"/>
      <c r="E171" s="471"/>
      <c r="F171" s="471"/>
    </row>
    <row r="172" spans="2:6" x14ac:dyDescent="0.25">
      <c r="B172" s="8" t="s">
        <v>68</v>
      </c>
      <c r="C172" s="432">
        <v>-0.76563593500000005</v>
      </c>
      <c r="D172" s="52"/>
      <c r="E172" s="471"/>
      <c r="F172" s="471"/>
    </row>
    <row r="173" spans="2:6" x14ac:dyDescent="0.25">
      <c r="B173" s="8" t="s">
        <v>69</v>
      </c>
      <c r="C173" s="432">
        <v>-0.70259299799999997</v>
      </c>
      <c r="D173" s="52"/>
      <c r="E173" s="471"/>
      <c r="F173" s="471"/>
    </row>
    <row r="174" spans="2:6" x14ac:dyDescent="0.25">
      <c r="B174" s="8" t="s">
        <v>70</v>
      </c>
      <c r="C174" s="432">
        <v>-0.65439148700000005</v>
      </c>
      <c r="D174" s="52"/>
      <c r="E174" s="471"/>
      <c r="F174" s="471"/>
    </row>
    <row r="175" spans="2:6" x14ac:dyDescent="0.25">
      <c r="B175" s="8" t="s">
        <v>71</v>
      </c>
      <c r="C175" s="432">
        <v>-0.45865882299999999</v>
      </c>
      <c r="D175" s="52"/>
      <c r="E175" s="471"/>
      <c r="F175" s="471"/>
    </row>
    <row r="176" spans="2:6" x14ac:dyDescent="0.25">
      <c r="B176" s="8" t="s">
        <v>72</v>
      </c>
      <c r="C176" s="432">
        <v>-0.23758689699999999</v>
      </c>
      <c r="D176" s="52"/>
      <c r="E176" s="471"/>
      <c r="F176" s="471"/>
    </row>
    <row r="177" spans="2:6" x14ac:dyDescent="0.25">
      <c r="B177" s="8" t="s">
        <v>73</v>
      </c>
      <c r="C177" s="432">
        <v>-5.1463702E-2</v>
      </c>
      <c r="D177" s="52"/>
      <c r="E177" s="471"/>
      <c r="F177" s="471"/>
    </row>
    <row r="178" spans="2:6" x14ac:dyDescent="0.25">
      <c r="B178" s="8" t="s">
        <v>74</v>
      </c>
      <c r="C178" s="432">
        <v>7.5198946000000003E-3</v>
      </c>
      <c r="D178" s="52"/>
      <c r="E178" s="471"/>
      <c r="F178" s="471"/>
    </row>
    <row r="179" spans="2:6" x14ac:dyDescent="0.25">
      <c r="B179" s="8" t="s">
        <v>75</v>
      </c>
      <c r="C179" s="432">
        <v>-0.10200366399999999</v>
      </c>
      <c r="D179" s="52"/>
      <c r="E179" s="471"/>
      <c r="F179" s="471"/>
    </row>
    <row r="180" spans="2:6" x14ac:dyDescent="0.25">
      <c r="B180" s="8" t="s">
        <v>76</v>
      </c>
      <c r="C180" s="432">
        <v>-0.18327368499999999</v>
      </c>
      <c r="D180" s="52"/>
      <c r="E180" s="471"/>
      <c r="F180" s="471"/>
    </row>
    <row r="181" spans="2:6" x14ac:dyDescent="0.25">
      <c r="B181" s="8" t="s">
        <v>77</v>
      </c>
      <c r="C181" s="432">
        <v>-0.28731192500000002</v>
      </c>
      <c r="D181" s="52"/>
      <c r="E181" s="471"/>
      <c r="F181" s="471"/>
    </row>
    <row r="182" spans="2:6" x14ac:dyDescent="0.25">
      <c r="B182" s="8" t="s">
        <v>78</v>
      </c>
      <c r="C182" s="432">
        <v>-0.246697627</v>
      </c>
      <c r="D182" s="52"/>
      <c r="E182" s="471"/>
      <c r="F182" s="471"/>
    </row>
    <row r="183" spans="2:6" x14ac:dyDescent="0.25">
      <c r="B183" s="8" t="s">
        <v>79</v>
      </c>
      <c r="C183" s="432">
        <v>0</v>
      </c>
      <c r="D183" s="52"/>
      <c r="E183" s="471"/>
      <c r="F183" s="471"/>
    </row>
    <row r="184" spans="2:6" x14ac:dyDescent="0.25">
      <c r="B184" s="47" t="s">
        <v>80</v>
      </c>
      <c r="C184" s="432">
        <v>1.7722768E-2</v>
      </c>
      <c r="D184" s="52"/>
      <c r="E184" s="471"/>
      <c r="F184" s="471"/>
    </row>
    <row r="185" spans="2:6" x14ac:dyDescent="0.25">
      <c r="B185" s="47" t="s">
        <v>81</v>
      </c>
      <c r="C185" s="432">
        <v>6.4124995000000004E-2</v>
      </c>
      <c r="D185" s="52"/>
      <c r="E185" s="471"/>
      <c r="F185" s="471"/>
    </row>
    <row r="186" spans="2:6" x14ac:dyDescent="0.25">
      <c r="B186" s="47" t="s">
        <v>82</v>
      </c>
      <c r="C186" s="432">
        <v>0.15</v>
      </c>
      <c r="D186" s="52"/>
      <c r="E186" s="471"/>
      <c r="F186" s="471"/>
    </row>
    <row r="187" spans="2:6" x14ac:dyDescent="0.25">
      <c r="B187" s="47" t="s">
        <v>83</v>
      </c>
      <c r="C187" s="432">
        <v>7.4548544999999994E-2</v>
      </c>
      <c r="D187" s="52"/>
      <c r="E187" s="471"/>
      <c r="F187" s="471"/>
    </row>
    <row r="188" spans="2:6" x14ac:dyDescent="0.25">
      <c r="B188" s="47" t="s">
        <v>84</v>
      </c>
      <c r="C188" s="432">
        <v>0.12169501200000001</v>
      </c>
      <c r="D188" s="52"/>
      <c r="E188" s="471"/>
      <c r="F188" s="471"/>
    </row>
    <row r="189" spans="2:6" x14ac:dyDescent="0.25">
      <c r="B189" s="47" t="s">
        <v>85</v>
      </c>
      <c r="C189" s="432">
        <v>0.33942096799999999</v>
      </c>
      <c r="D189" s="52"/>
      <c r="E189" s="471"/>
      <c r="F189" s="471"/>
    </row>
    <row r="190" spans="2:6" x14ac:dyDescent="0.25">
      <c r="B190" s="47" t="s">
        <v>86</v>
      </c>
      <c r="C190" s="432">
        <v>0.33553248800000002</v>
      </c>
      <c r="D190" s="52"/>
      <c r="E190" s="471"/>
      <c r="F190" s="471"/>
    </row>
    <row r="191" spans="2:6" x14ac:dyDescent="0.25">
      <c r="B191" s="47" t="s">
        <v>87</v>
      </c>
      <c r="C191" s="432">
        <v>0.71935497100000001</v>
      </c>
      <c r="D191" s="52"/>
      <c r="E191" s="471"/>
      <c r="F191" s="471"/>
    </row>
    <row r="192" spans="2:6" x14ac:dyDescent="0.25">
      <c r="B192" s="47" t="s">
        <v>88</v>
      </c>
      <c r="C192" s="432">
        <v>0.77399813200000001</v>
      </c>
      <c r="D192" s="52"/>
      <c r="E192" s="471"/>
      <c r="F192" s="471"/>
    </row>
    <row r="193" spans="2:6" x14ac:dyDescent="0.25">
      <c r="B193" s="47" t="s">
        <v>89</v>
      </c>
      <c r="C193" s="432">
        <v>0.96012873899999995</v>
      </c>
      <c r="D193" s="52"/>
      <c r="E193" s="471"/>
      <c r="F193" s="471"/>
    </row>
    <row r="194" spans="2:6" x14ac:dyDescent="0.25">
      <c r="B194" s="47" t="s">
        <v>90</v>
      </c>
      <c r="C194" s="432">
        <v>0.47533277600000001</v>
      </c>
      <c r="D194" s="52"/>
      <c r="E194" s="471"/>
      <c r="F194" s="471"/>
    </row>
    <row r="195" spans="2:6" x14ac:dyDescent="0.25">
      <c r="B195" s="47" t="s">
        <v>91</v>
      </c>
      <c r="C195" s="432">
        <v>0</v>
      </c>
      <c r="D195" s="52"/>
      <c r="E195" s="471"/>
      <c r="F195" s="471"/>
    </row>
    <row r="196" spans="2:6" x14ac:dyDescent="0.25">
      <c r="B196" s="47" t="s">
        <v>92</v>
      </c>
      <c r="C196" s="432">
        <v>1.6743051000000001E-3</v>
      </c>
      <c r="D196" s="52"/>
      <c r="E196" s="471"/>
      <c r="F196" s="471"/>
    </row>
    <row r="197" spans="2:6" x14ac:dyDescent="0.25">
      <c r="B197" s="47" t="s">
        <v>548</v>
      </c>
      <c r="C197" s="432">
        <v>-0.82097063100000001</v>
      </c>
      <c r="D197" s="52"/>
      <c r="E197" s="471"/>
      <c r="F197" s="471"/>
    </row>
    <row r="198" spans="2:6" x14ac:dyDescent="0.25">
      <c r="B198" s="47" t="s">
        <v>94</v>
      </c>
      <c r="C198" s="432">
        <v>-0.79800790799999999</v>
      </c>
      <c r="D198" s="52"/>
      <c r="E198" s="471"/>
      <c r="F198" s="471"/>
    </row>
    <row r="199" spans="2:6" x14ac:dyDescent="0.25">
      <c r="B199" s="47" t="s">
        <v>95</v>
      </c>
      <c r="C199" s="432">
        <v>0.467414359</v>
      </c>
      <c r="D199" s="52"/>
      <c r="E199" s="471"/>
      <c r="F199" s="471"/>
    </row>
    <row r="200" spans="2:6" x14ac:dyDescent="0.25">
      <c r="B200" s="47" t="s">
        <v>96</v>
      </c>
      <c r="C200" s="432">
        <v>1.47082745</v>
      </c>
      <c r="D200" s="52"/>
      <c r="E200" s="471"/>
      <c r="F200" s="471"/>
    </row>
    <row r="201" spans="2:6" x14ac:dyDescent="0.25">
      <c r="B201" s="47" t="s">
        <v>97</v>
      </c>
      <c r="C201" s="432">
        <v>1.6914289499999999</v>
      </c>
      <c r="D201" s="52"/>
      <c r="E201" s="471"/>
      <c r="F201" s="471"/>
    </row>
    <row r="202" spans="2:6" x14ac:dyDescent="0.25">
      <c r="B202" s="47" t="s">
        <v>98</v>
      </c>
      <c r="C202" s="432">
        <v>1.91270227</v>
      </c>
      <c r="D202" s="52"/>
      <c r="E202" s="471"/>
      <c r="F202" s="471"/>
    </row>
    <row r="203" spans="2:6" x14ac:dyDescent="0.25">
      <c r="B203" s="47" t="s">
        <v>99</v>
      </c>
      <c r="C203" s="432">
        <v>2.0506996900000001</v>
      </c>
      <c r="D203" s="52"/>
      <c r="E203" s="471"/>
      <c r="F203" s="471"/>
    </row>
    <row r="204" spans="2:6" x14ac:dyDescent="0.25">
      <c r="B204" s="47" t="s">
        <v>100</v>
      </c>
      <c r="C204" s="432">
        <v>1.6519718999999999</v>
      </c>
      <c r="D204" s="52"/>
      <c r="E204" s="471"/>
      <c r="F204" s="471"/>
    </row>
    <row r="205" spans="2:6" x14ac:dyDescent="0.25">
      <c r="B205" s="47" t="s">
        <v>101</v>
      </c>
      <c r="C205" s="432">
        <v>1.05094624</v>
      </c>
      <c r="D205" s="52"/>
      <c r="E205" s="471"/>
      <c r="F205" s="471"/>
    </row>
    <row r="206" spans="2:6" x14ac:dyDescent="0.25">
      <c r="B206" s="47" t="s">
        <v>102</v>
      </c>
      <c r="C206" s="432">
        <v>0.75920095200000004</v>
      </c>
      <c r="D206" s="52"/>
      <c r="E206" s="471"/>
      <c r="F206" s="471"/>
    </row>
    <row r="207" spans="2:6" x14ac:dyDescent="0.25">
      <c r="B207" s="47" t="s">
        <v>103</v>
      </c>
      <c r="C207" s="432">
        <v>0.65139790799999997</v>
      </c>
      <c r="D207" s="52"/>
      <c r="E207" s="471"/>
      <c r="F207" s="471"/>
    </row>
    <row r="208" spans="2:6" x14ac:dyDescent="0.25">
      <c r="B208" s="47" t="s">
        <v>104</v>
      </c>
      <c r="C208" s="432">
        <v>0.36125748800000002</v>
      </c>
      <c r="D208" s="52"/>
      <c r="E208" s="471"/>
      <c r="F208" s="471"/>
    </row>
    <row r="209" spans="2:6" x14ac:dyDescent="0.25">
      <c r="B209" s="47" t="s">
        <v>105</v>
      </c>
      <c r="C209" s="432">
        <v>5.1568900000000001E-2</v>
      </c>
      <c r="D209" s="52"/>
      <c r="E209" s="471"/>
      <c r="F209" s="471"/>
    </row>
    <row r="210" spans="2:6" x14ac:dyDescent="0.25">
      <c r="B210" s="47" t="s">
        <v>106</v>
      </c>
      <c r="C210" s="432">
        <v>-0.16541980000000001</v>
      </c>
      <c r="D210" s="52"/>
      <c r="E210" s="471"/>
      <c r="F210" s="471"/>
    </row>
    <row r="211" spans="2:6" x14ac:dyDescent="0.25">
      <c r="B211" s="47" t="s">
        <v>107</v>
      </c>
      <c r="C211" s="432">
        <v>-0.20960161599998806</v>
      </c>
      <c r="D211" s="52"/>
      <c r="E211" s="471"/>
      <c r="F211" s="471"/>
    </row>
    <row r="212" spans="2:6" x14ac:dyDescent="0.25">
      <c r="B212" s="47" t="s">
        <v>108</v>
      </c>
      <c r="C212" s="432">
        <v>-0.26773136699997924</v>
      </c>
      <c r="D212" s="52"/>
      <c r="E212" s="471"/>
      <c r="F212" s="471"/>
    </row>
    <row r="213" spans="2:6" x14ac:dyDescent="0.25">
      <c r="B213" s="47" t="s">
        <v>109</v>
      </c>
      <c r="C213" s="432">
        <v>-0.34994402100000377</v>
      </c>
      <c r="D213" s="52"/>
      <c r="E213" s="471"/>
      <c r="F213" s="471"/>
    </row>
    <row r="214" spans="2:6" x14ac:dyDescent="0.25">
      <c r="B214" s="47" t="s">
        <v>110</v>
      </c>
      <c r="C214" s="432">
        <v>-0.47951410000002248</v>
      </c>
      <c r="D214" s="52"/>
      <c r="E214" s="471"/>
      <c r="F214" s="471"/>
    </row>
    <row r="215" spans="2:6" x14ac:dyDescent="0.25">
      <c r="B215" s="47" t="s">
        <v>111</v>
      </c>
      <c r="C215" s="432">
        <v>-0.57999999999999996</v>
      </c>
      <c r="D215" s="52"/>
      <c r="E215" s="471"/>
      <c r="F215" s="471"/>
    </row>
    <row r="216" spans="2:6" x14ac:dyDescent="0.25">
      <c r="B216" s="47" t="s">
        <v>112</v>
      </c>
      <c r="C216" s="432">
        <v>-0.68</v>
      </c>
      <c r="D216" s="52"/>
      <c r="E216" s="471"/>
      <c r="F216" s="471"/>
    </row>
    <row r="217" spans="2:6" x14ac:dyDescent="0.25">
      <c r="B217" s="47" t="s">
        <v>113</v>
      </c>
      <c r="C217" s="432">
        <v>-0.80461712487449688</v>
      </c>
      <c r="D217" s="52"/>
      <c r="E217" s="471"/>
      <c r="F217" s="471"/>
    </row>
    <row r="218" spans="2:6" x14ac:dyDescent="0.25">
      <c r="B218" s="47" t="s">
        <v>114</v>
      </c>
      <c r="C218" s="432">
        <v>-0.90388708362874581</v>
      </c>
      <c r="D218" s="52"/>
      <c r="E218" s="471"/>
      <c r="F218" s="471"/>
    </row>
    <row r="219" spans="2:6" x14ac:dyDescent="0.25">
      <c r="B219" s="47" t="s">
        <v>115</v>
      </c>
      <c r="C219" s="432">
        <v>-1.0047903037126105</v>
      </c>
      <c r="D219" s="52"/>
      <c r="E219" s="471"/>
      <c r="F219" s="471"/>
    </row>
    <row r="220" spans="2:6" ht="15.75" thickBot="1" x14ac:dyDescent="0.3">
      <c r="B220" s="47" t="s">
        <v>116</v>
      </c>
      <c r="C220" s="432">
        <v>-1.1056935237964751</v>
      </c>
      <c r="D220" s="52"/>
      <c r="E220" s="471"/>
      <c r="F220" s="471"/>
    </row>
    <row r="221" spans="2:6" x14ac:dyDescent="0.25">
      <c r="B221" s="81">
        <v>1972</v>
      </c>
      <c r="C221" s="317">
        <f ca="1">AVERAGE(OFFSET(C$3,4*(ROW()-ROW($C$221)),0,4))</f>
        <v>0.96717730383613254</v>
      </c>
      <c r="D221" s="52"/>
      <c r="E221" s="471"/>
    </row>
    <row r="222" spans="2:6" x14ac:dyDescent="0.25">
      <c r="B222" s="8">
        <v>1973</v>
      </c>
      <c r="C222" s="69">
        <f t="shared" ref="C222:C255" ca="1" si="0">AVERAGE(OFFSET(C$3,4*(ROW()-ROW($C$221)),0,4))</f>
        <v>6.8810175267196989</v>
      </c>
      <c r="D222" s="52"/>
      <c r="E222" s="471"/>
    </row>
    <row r="223" spans="2:6" x14ac:dyDescent="0.25">
      <c r="B223" s="8">
        <v>1974</v>
      </c>
      <c r="C223" s="69">
        <f t="shared" ca="1" si="0"/>
        <v>4.1680838759655305</v>
      </c>
      <c r="D223" s="52"/>
      <c r="E223" s="471"/>
    </row>
    <row r="224" spans="2:6" x14ac:dyDescent="0.25">
      <c r="B224" s="8">
        <v>1975</v>
      </c>
      <c r="C224" s="69">
        <f t="shared" ca="1" si="0"/>
        <v>-1.1675652825782907</v>
      </c>
      <c r="D224" s="52"/>
      <c r="E224" s="471"/>
    </row>
    <row r="225" spans="2:5" x14ac:dyDescent="0.25">
      <c r="B225" s="8">
        <v>1976</v>
      </c>
      <c r="C225" s="69">
        <f t="shared" ca="1" si="0"/>
        <v>-1.024731470229896</v>
      </c>
      <c r="D225" s="52"/>
      <c r="E225" s="471"/>
    </row>
    <row r="226" spans="2:5" x14ac:dyDescent="0.25">
      <c r="B226" s="8">
        <v>1977</v>
      </c>
      <c r="C226" s="69">
        <f t="shared" ca="1" si="0"/>
        <v>-0.59622047115638122</v>
      </c>
      <c r="D226" s="52"/>
      <c r="E226" s="471"/>
    </row>
    <row r="227" spans="2:5" x14ac:dyDescent="0.25">
      <c r="B227" s="8">
        <v>1978</v>
      </c>
      <c r="C227" s="69">
        <f t="shared" ca="1" si="0"/>
        <v>1.1573002287107945</v>
      </c>
      <c r="D227" s="52"/>
      <c r="E227" s="471"/>
    </row>
    <row r="228" spans="2:5" x14ac:dyDescent="0.25">
      <c r="B228" s="8">
        <v>1979</v>
      </c>
      <c r="C228" s="69">
        <f t="shared" ca="1" si="0"/>
        <v>0.76529254806127311</v>
      </c>
      <c r="D228" s="52"/>
      <c r="E228" s="471"/>
    </row>
    <row r="229" spans="2:5" x14ac:dyDescent="0.25">
      <c r="B229" s="8">
        <v>1980</v>
      </c>
      <c r="C229" s="69">
        <f t="shared" ca="1" si="0"/>
        <v>-2.4583243918952054</v>
      </c>
      <c r="D229" s="52"/>
      <c r="E229" s="471"/>
    </row>
    <row r="230" spans="2:5" x14ac:dyDescent="0.25">
      <c r="B230" s="8">
        <v>1981</v>
      </c>
      <c r="C230" s="69">
        <f t="shared" ca="1" si="0"/>
        <v>-3.1739714679466333</v>
      </c>
      <c r="D230" s="52"/>
      <c r="E230" s="471"/>
    </row>
    <row r="231" spans="2:5" x14ac:dyDescent="0.25">
      <c r="B231" s="8">
        <v>1982</v>
      </c>
      <c r="C231" s="69">
        <f t="shared" ca="1" si="0"/>
        <v>-2.9254717371307617</v>
      </c>
      <c r="D231" s="52"/>
      <c r="E231" s="471"/>
    </row>
    <row r="232" spans="2:5" x14ac:dyDescent="0.25">
      <c r="B232" s="8">
        <v>1983</v>
      </c>
      <c r="C232" s="69">
        <f t="shared" ca="1" si="0"/>
        <v>-1.7607649210742493</v>
      </c>
      <c r="D232" s="52"/>
      <c r="E232" s="471"/>
    </row>
    <row r="233" spans="2:5" x14ac:dyDescent="0.25">
      <c r="B233" s="8">
        <v>1984</v>
      </c>
      <c r="C233" s="69">
        <f t="shared" ca="1" si="0"/>
        <v>-0.68030190716898464</v>
      </c>
      <c r="D233" s="52"/>
      <c r="E233" s="471"/>
    </row>
    <row r="234" spans="2:5" x14ac:dyDescent="0.25">
      <c r="B234" s="8">
        <v>1985</v>
      </c>
      <c r="C234" s="69">
        <f t="shared" ca="1" si="0"/>
        <v>0.16683680747099686</v>
      </c>
      <c r="D234" s="52"/>
      <c r="E234" s="471"/>
    </row>
    <row r="235" spans="2:5" x14ac:dyDescent="0.25">
      <c r="B235" s="8">
        <v>1986</v>
      </c>
      <c r="C235" s="69">
        <f t="shared" ca="1" si="0"/>
        <v>8.0198673425674188E-2</v>
      </c>
      <c r="D235" s="52"/>
      <c r="E235" s="471"/>
    </row>
    <row r="236" spans="2:5" x14ac:dyDescent="0.25">
      <c r="B236" s="8">
        <v>1987</v>
      </c>
      <c r="C236" s="69">
        <f t="shared" ca="1" si="0"/>
        <v>1.6509089081688455</v>
      </c>
      <c r="D236" s="52"/>
      <c r="E236" s="471"/>
    </row>
    <row r="237" spans="2:5" x14ac:dyDescent="0.25">
      <c r="B237" s="8">
        <v>1988</v>
      </c>
      <c r="C237" s="69">
        <f t="shared" ca="1" si="0"/>
        <v>3.2540744056179371</v>
      </c>
      <c r="D237" s="52"/>
      <c r="E237" s="471"/>
    </row>
    <row r="238" spans="2:5" x14ac:dyDescent="0.25">
      <c r="B238" s="8">
        <v>1989</v>
      </c>
      <c r="C238" s="69">
        <f t="shared" ca="1" si="0"/>
        <v>1.9972638435858845</v>
      </c>
      <c r="D238" s="52"/>
      <c r="E238" s="471"/>
    </row>
    <row r="239" spans="2:5" x14ac:dyDescent="0.25">
      <c r="B239" s="8">
        <v>1990</v>
      </c>
      <c r="C239" s="69">
        <f t="shared" ca="1" si="0"/>
        <v>-0.34179061666431054</v>
      </c>
      <c r="D239" s="52"/>
      <c r="E239" s="471"/>
    </row>
    <row r="240" spans="2:5" x14ac:dyDescent="0.25">
      <c r="B240" s="8">
        <v>1991</v>
      </c>
      <c r="C240" s="69">
        <f t="shared" ca="1" si="0"/>
        <v>-2.2812491009728215</v>
      </c>
      <c r="D240" s="52"/>
      <c r="E240" s="471"/>
    </row>
    <row r="241" spans="2:5" x14ac:dyDescent="0.25">
      <c r="B241" s="8">
        <v>1992</v>
      </c>
      <c r="C241" s="69">
        <f t="shared" ca="1" si="0"/>
        <v>-2.407738031217828</v>
      </c>
      <c r="D241" s="52"/>
      <c r="E241" s="471"/>
    </row>
    <row r="242" spans="2:5" x14ac:dyDescent="0.25">
      <c r="B242" s="78">
        <v>1993</v>
      </c>
      <c r="C242" s="502">
        <f t="shared" ca="1" si="0"/>
        <v>-1.8095878119206479</v>
      </c>
      <c r="D242" s="52"/>
      <c r="E242" s="471"/>
    </row>
    <row r="243" spans="2:5" x14ac:dyDescent="0.25">
      <c r="B243" s="8">
        <v>1994</v>
      </c>
      <c r="C243" s="69">
        <f t="shared" ca="1" si="0"/>
        <v>-0.73898012537121716</v>
      </c>
      <c r="D243" s="52"/>
      <c r="E243" s="471"/>
    </row>
    <row r="244" spans="2:5" x14ac:dyDescent="0.25">
      <c r="B244" s="8">
        <v>1995</v>
      </c>
      <c r="C244" s="69">
        <f t="shared" ca="1" si="0"/>
        <v>-0.64210268892967104</v>
      </c>
      <c r="D244" s="52"/>
      <c r="E244" s="471"/>
    </row>
    <row r="245" spans="2:5" x14ac:dyDescent="0.25">
      <c r="B245" s="8">
        <v>1996</v>
      </c>
      <c r="C245" s="69">
        <f t="shared" ca="1" si="0"/>
        <v>-0.48401053721164916</v>
      </c>
      <c r="D245" s="52"/>
      <c r="E245" s="471"/>
    </row>
    <row r="246" spans="2:5" x14ac:dyDescent="0.25">
      <c r="B246" s="8">
        <v>1997</v>
      </c>
      <c r="C246" s="69">
        <f t="shared" ca="1" si="0"/>
        <v>0.941980056653417</v>
      </c>
      <c r="D246" s="52"/>
      <c r="E246" s="471"/>
    </row>
    <row r="247" spans="2:5" x14ac:dyDescent="0.25">
      <c r="B247" s="8">
        <v>1998</v>
      </c>
      <c r="C247" s="69">
        <f t="shared" ca="1" si="0"/>
        <v>1.1599109511256347</v>
      </c>
      <c r="D247" s="52"/>
      <c r="E247" s="471"/>
    </row>
    <row r="248" spans="2:5" x14ac:dyDescent="0.25">
      <c r="B248" s="8">
        <v>1999</v>
      </c>
      <c r="C248" s="69">
        <f t="shared" ca="1" si="0"/>
        <v>0.70854097141130956</v>
      </c>
      <c r="D248" s="52"/>
      <c r="E248" s="471"/>
    </row>
    <row r="249" spans="2:5" x14ac:dyDescent="0.25">
      <c r="B249" s="8">
        <v>2000</v>
      </c>
      <c r="C249" s="69">
        <f t="shared" ca="1" si="0"/>
        <v>1.2425344714517608</v>
      </c>
      <c r="D249" s="52"/>
      <c r="E249" s="471"/>
    </row>
    <row r="250" spans="2:5" x14ac:dyDescent="0.25">
      <c r="B250" s="8">
        <v>2001</v>
      </c>
      <c r="C250" s="69">
        <f t="shared" ca="1" si="0"/>
        <v>0.98765816531814399</v>
      </c>
      <c r="D250" s="52"/>
      <c r="E250" s="471"/>
    </row>
    <row r="251" spans="2:5" x14ac:dyDescent="0.25">
      <c r="B251" s="8">
        <v>2002</v>
      </c>
      <c r="C251" s="69">
        <f t="shared" ca="1" si="0"/>
        <v>0.14222579607141983</v>
      </c>
      <c r="D251" s="52"/>
      <c r="E251" s="471"/>
    </row>
    <row r="252" spans="2:5" x14ac:dyDescent="0.25">
      <c r="B252" s="8">
        <v>2003</v>
      </c>
      <c r="C252" s="69">
        <f t="shared" ca="1" si="0"/>
        <v>0.1985100135878437</v>
      </c>
      <c r="D252" s="52"/>
      <c r="E252" s="471"/>
    </row>
    <row r="253" spans="2:5" x14ac:dyDescent="0.25">
      <c r="B253" s="8">
        <v>2004</v>
      </c>
      <c r="C253" s="69">
        <f t="shared" ca="1" si="0"/>
        <v>0.54617437304127159</v>
      </c>
      <c r="D253" s="52"/>
      <c r="E253" s="471"/>
    </row>
    <row r="254" spans="2:5" x14ac:dyDescent="0.25">
      <c r="B254" s="8">
        <v>2005</v>
      </c>
      <c r="C254" s="69">
        <f t="shared" ca="1" si="0"/>
        <v>0.39287097280624106</v>
      </c>
      <c r="D254" s="52"/>
      <c r="E254" s="471"/>
    </row>
    <row r="255" spans="2:5" x14ac:dyDescent="0.25">
      <c r="B255" s="8">
        <v>2006</v>
      </c>
      <c r="C255" s="69">
        <f t="shared" ca="1" si="0"/>
        <v>-1.7825623864943817E-2</v>
      </c>
      <c r="D255" s="52"/>
      <c r="E255" s="471"/>
    </row>
    <row r="256" spans="2:5" x14ac:dyDescent="0.25">
      <c r="B256" s="8">
        <v>2007</v>
      </c>
      <c r="C256" s="432">
        <v>0.51710558848380117</v>
      </c>
      <c r="D256" s="52"/>
      <c r="E256" s="471"/>
    </row>
    <row r="257" spans="2:5" x14ac:dyDescent="0.25">
      <c r="B257" s="8">
        <v>2008</v>
      </c>
      <c r="C257" s="432">
        <v>-9.346876773648205E-3</v>
      </c>
      <c r="D257" s="52"/>
      <c r="E257" s="471"/>
    </row>
    <row r="258" spans="2:5" x14ac:dyDescent="0.25">
      <c r="B258" s="8">
        <v>2009</v>
      </c>
      <c r="C258" s="432">
        <v>-3.0775728733036516</v>
      </c>
      <c r="D258" s="52"/>
      <c r="E258" s="471"/>
    </row>
    <row r="259" spans="2:5" x14ac:dyDescent="0.25">
      <c r="B259" s="8">
        <v>2010</v>
      </c>
      <c r="C259" s="432">
        <v>-2.5518392142696626</v>
      </c>
      <c r="D259" s="52"/>
      <c r="E259" s="471"/>
    </row>
    <row r="260" spans="2:5" x14ac:dyDescent="0.25">
      <c r="B260" s="8">
        <v>2011</v>
      </c>
      <c r="C260" s="432">
        <v>-2.5409050712368213</v>
      </c>
      <c r="D260" s="52"/>
      <c r="E260" s="471"/>
    </row>
    <row r="261" spans="2:5" x14ac:dyDescent="0.25">
      <c r="B261" s="8">
        <v>2012</v>
      </c>
      <c r="C261" s="432">
        <v>-2.1144600090281642</v>
      </c>
      <c r="D261" s="52"/>
      <c r="E261" s="471"/>
    </row>
    <row r="262" spans="2:5" x14ac:dyDescent="0.25">
      <c r="B262" s="8">
        <v>2013</v>
      </c>
      <c r="C262" s="432">
        <v>-1.9024187112999016</v>
      </c>
      <c r="D262" s="52"/>
      <c r="E262" s="471"/>
    </row>
    <row r="263" spans="2:5" x14ac:dyDescent="0.25">
      <c r="B263" s="8">
        <v>2014</v>
      </c>
      <c r="C263" s="432">
        <v>-0.79087038352768957</v>
      </c>
      <c r="D263" s="52"/>
      <c r="E263" s="471"/>
    </row>
    <row r="264" spans="2:5" x14ac:dyDescent="0.25">
      <c r="B264" s="8">
        <v>2015</v>
      </c>
      <c r="C264" s="432">
        <v>-0.18446458659198584</v>
      </c>
      <c r="D264" s="52"/>
      <c r="E264" s="471"/>
    </row>
    <row r="265" spans="2:5" x14ac:dyDescent="0.25">
      <c r="B265" s="8">
        <v>2016</v>
      </c>
      <c r="C265" s="432">
        <v>-0.20525992242951929</v>
      </c>
      <c r="D265" s="52"/>
      <c r="E265" s="471"/>
    </row>
    <row r="266" spans="2:5" x14ac:dyDescent="0.25">
      <c r="B266" s="8">
        <v>2017</v>
      </c>
      <c r="C266" s="432">
        <v>5.8389259805991856E-2</v>
      </c>
      <c r="D266" s="52"/>
      <c r="E266" s="471"/>
    </row>
    <row r="267" spans="2:5" x14ac:dyDescent="0.25">
      <c r="B267" s="8">
        <v>2018</v>
      </c>
      <c r="C267" s="432">
        <v>0.21795894256840143</v>
      </c>
      <c r="D267" s="52"/>
      <c r="E267" s="471"/>
    </row>
    <row r="268" spans="2:5" x14ac:dyDescent="0.25">
      <c r="B268" s="8">
        <v>2019</v>
      </c>
      <c r="C268" s="432">
        <v>0.73186836237188402</v>
      </c>
      <c r="D268" s="52"/>
      <c r="E268" s="471"/>
    </row>
    <row r="269" spans="2:5" x14ac:dyDescent="0.25">
      <c r="B269" s="8">
        <v>2020</v>
      </c>
      <c r="C269" s="432">
        <v>-0.41537390408366548</v>
      </c>
      <c r="D269" s="52"/>
      <c r="E269" s="471"/>
    </row>
    <row r="270" spans="2:5" x14ac:dyDescent="0.25">
      <c r="B270" s="8">
        <v>2021</v>
      </c>
      <c r="C270" s="432">
        <v>1.4030973673956595</v>
      </c>
      <c r="D270" s="52"/>
      <c r="E270" s="471"/>
    </row>
    <row r="271" spans="2:5" x14ac:dyDescent="0.25">
      <c r="B271" s="8">
        <v>2022</v>
      </c>
      <c r="C271" s="432">
        <v>1.37412331555403</v>
      </c>
      <c r="D271" s="52"/>
      <c r="E271" s="471"/>
    </row>
    <row r="272" spans="2:5" x14ac:dyDescent="0.25">
      <c r="B272" s="8">
        <v>2023</v>
      </c>
      <c r="C272" s="432">
        <v>0.22435424429903605</v>
      </c>
      <c r="D272" s="52"/>
      <c r="E272" s="471"/>
    </row>
    <row r="273" spans="2:5" x14ac:dyDescent="0.25">
      <c r="B273" s="8">
        <v>2024</v>
      </c>
      <c r="C273" s="432">
        <v>-0.3272260512651286</v>
      </c>
      <c r="D273" s="52"/>
      <c r="E273" s="471"/>
    </row>
    <row r="274" spans="2:5" ht="15.75" thickBot="1" x14ac:dyDescent="0.3">
      <c r="B274" s="331">
        <v>2025</v>
      </c>
      <c r="C274" s="432">
        <v>-0.74240333692955573</v>
      </c>
      <c r="D274" s="52"/>
      <c r="E274" s="471"/>
    </row>
    <row r="275" spans="2:5" x14ac:dyDescent="0.25">
      <c r="B275" s="8" t="s">
        <v>549</v>
      </c>
      <c r="C275" s="317">
        <f ca="1">AVERAGE(OFFSET(C$4,4*(ROW()-ROW($C$275)),0,4))</f>
        <v>2.5446863580414503</v>
      </c>
      <c r="D275" s="52"/>
      <c r="E275" s="471"/>
    </row>
    <row r="276" spans="2:5" x14ac:dyDescent="0.25">
      <c r="B276" s="8" t="s">
        <v>550</v>
      </c>
      <c r="C276" s="69">
        <f t="shared" ref="C276:C310" ca="1" si="1">AVERAGE(OFFSET(C$4,4*(ROW()-ROW($C$275)),0,4))</f>
        <v>6.5394315949810444</v>
      </c>
      <c r="D276" s="52"/>
      <c r="E276" s="471"/>
    </row>
    <row r="277" spans="2:5" x14ac:dyDescent="0.25">
      <c r="B277" s="8" t="s">
        <v>551</v>
      </c>
      <c r="C277" s="69">
        <f t="shared" ca="1" si="1"/>
        <v>3.1047807042479647</v>
      </c>
      <c r="D277" s="52"/>
      <c r="E277" s="471"/>
    </row>
    <row r="278" spans="2:5" x14ac:dyDescent="0.25">
      <c r="B278" s="8" t="s">
        <v>552</v>
      </c>
      <c r="C278" s="69">
        <f t="shared" ca="1" si="1"/>
        <v>-1.7370636518415679</v>
      </c>
      <c r="D278" s="52"/>
      <c r="E278" s="471"/>
    </row>
    <row r="279" spans="2:5" x14ac:dyDescent="0.25">
      <c r="B279" s="8" t="s">
        <v>553</v>
      </c>
      <c r="C279" s="69">
        <f t="shared" ca="1" si="1"/>
        <v>-0.63964204746912723</v>
      </c>
      <c r="D279" s="52"/>
      <c r="E279" s="471"/>
    </row>
    <row r="280" spans="2:5" x14ac:dyDescent="0.25">
      <c r="B280" s="8" t="s">
        <v>554</v>
      </c>
      <c r="C280" s="69">
        <f t="shared" ca="1" si="1"/>
        <v>-0.46907116695174766</v>
      </c>
      <c r="D280" s="52"/>
      <c r="E280" s="471"/>
    </row>
    <row r="281" spans="2:5" x14ac:dyDescent="0.25">
      <c r="B281" s="8" t="s">
        <v>555</v>
      </c>
      <c r="C281" s="69">
        <f t="shared" ca="1" si="1"/>
        <v>1.561327335508581</v>
      </c>
      <c r="D281" s="52"/>
      <c r="E281" s="471"/>
    </row>
    <row r="282" spans="2:5" x14ac:dyDescent="0.25">
      <c r="B282" s="8" t="s">
        <v>556</v>
      </c>
      <c r="C282" s="69">
        <f t="shared" ca="1" si="1"/>
        <v>-9.7964602465713146E-2</v>
      </c>
      <c r="D282" s="52"/>
      <c r="E282" s="471"/>
    </row>
    <row r="283" spans="2:5" x14ac:dyDescent="0.25">
      <c r="B283" s="8" t="s">
        <v>557</v>
      </c>
      <c r="C283" s="69">
        <f t="shared" ca="1" si="1"/>
        <v>-2.8166061756407594</v>
      </c>
      <c r="D283" s="52"/>
      <c r="E283" s="471"/>
    </row>
    <row r="284" spans="2:5" x14ac:dyDescent="0.25">
      <c r="B284" s="8" t="s">
        <v>558</v>
      </c>
      <c r="C284" s="69">
        <f t="shared" ca="1" si="1"/>
        <v>-3.1630101961365638</v>
      </c>
      <c r="D284" s="52"/>
      <c r="E284" s="471"/>
    </row>
    <row r="285" spans="2:5" x14ac:dyDescent="0.25">
      <c r="B285" s="8" t="s">
        <v>559</v>
      </c>
      <c r="C285" s="69">
        <f t="shared" ca="1" si="1"/>
        <v>-2.7122309426549811</v>
      </c>
      <c r="D285" s="52"/>
      <c r="E285" s="471"/>
    </row>
    <row r="286" spans="2:5" x14ac:dyDescent="0.25">
      <c r="B286" s="8" t="s">
        <v>560</v>
      </c>
      <c r="C286" s="69">
        <f t="shared" ca="1" si="1"/>
        <v>-1.4882458676803174</v>
      </c>
      <c r="D286" s="52"/>
      <c r="E286" s="471"/>
    </row>
    <row r="287" spans="2:5" x14ac:dyDescent="0.25">
      <c r="B287" s="8" t="s">
        <v>561</v>
      </c>
      <c r="C287" s="69">
        <f t="shared" ca="1" si="1"/>
        <v>-0.37254083932752319</v>
      </c>
      <c r="D287" s="52"/>
      <c r="E287" s="471"/>
    </row>
    <row r="288" spans="2:5" x14ac:dyDescent="0.25">
      <c r="B288" s="8" t="s">
        <v>562</v>
      </c>
      <c r="C288" s="69">
        <f t="shared" ca="1" si="1"/>
        <v>0.1168717758042289</v>
      </c>
      <c r="D288" s="52"/>
      <c r="E288" s="471"/>
    </row>
    <row r="289" spans="2:5" x14ac:dyDescent="0.25">
      <c r="B289" s="8" t="s">
        <v>563</v>
      </c>
      <c r="C289" s="69">
        <f t="shared" ca="1" si="1"/>
        <v>0.25966797750785497</v>
      </c>
      <c r="D289" s="52"/>
      <c r="E289" s="471"/>
    </row>
    <row r="290" spans="2:5" x14ac:dyDescent="0.25">
      <c r="B290" s="8" t="s">
        <v>564</v>
      </c>
      <c r="C290" s="69">
        <f t="shared" ca="1" si="1"/>
        <v>2.2138188660570233</v>
      </c>
      <c r="D290" s="52"/>
      <c r="E290" s="471"/>
    </row>
    <row r="291" spans="2:5" x14ac:dyDescent="0.25">
      <c r="B291" s="8" t="s">
        <v>565</v>
      </c>
      <c r="C291" s="69">
        <f t="shared" ca="1" si="1"/>
        <v>3.2709897786146414</v>
      </c>
      <c r="D291" s="52"/>
      <c r="E291" s="471"/>
    </row>
    <row r="292" spans="2:5" x14ac:dyDescent="0.25">
      <c r="B292" s="8" t="s">
        <v>566</v>
      </c>
      <c r="C292" s="69">
        <f t="shared" ca="1" si="1"/>
        <v>1.4231798008055865</v>
      </c>
      <c r="D292" s="52"/>
      <c r="E292" s="471"/>
    </row>
    <row r="293" spans="2:5" x14ac:dyDescent="0.25">
      <c r="B293" s="8" t="s">
        <v>567</v>
      </c>
      <c r="C293" s="69">
        <f t="shared" ca="1" si="1"/>
        <v>-1.019048409082679</v>
      </c>
      <c r="D293" s="52"/>
      <c r="E293" s="471"/>
    </row>
    <row r="294" spans="2:5" x14ac:dyDescent="0.25">
      <c r="B294" s="8" t="s">
        <v>568</v>
      </c>
      <c r="C294" s="69">
        <f t="shared" ca="1" si="1"/>
        <v>-2.3618978122783716</v>
      </c>
      <c r="D294" s="52"/>
      <c r="E294" s="471"/>
    </row>
    <row r="295" spans="2:5" x14ac:dyDescent="0.25">
      <c r="B295" s="8" t="s">
        <v>569</v>
      </c>
      <c r="C295" s="69">
        <f t="shared" ca="1" si="1"/>
        <v>-2.3447486042252104</v>
      </c>
      <c r="D295" s="52"/>
      <c r="E295" s="471"/>
    </row>
    <row r="296" spans="2:5" x14ac:dyDescent="0.25">
      <c r="B296" s="78" t="s">
        <v>570</v>
      </c>
      <c r="C296" s="502">
        <f t="shared" ca="1" si="1"/>
        <v>-1.6627320644633916</v>
      </c>
      <c r="D296" s="52"/>
      <c r="E296" s="471"/>
    </row>
    <row r="297" spans="2:5" x14ac:dyDescent="0.25">
      <c r="B297" s="8" t="s">
        <v>571</v>
      </c>
      <c r="C297" s="69">
        <f t="shared" ca="1" si="1"/>
        <v>-0.45338050996354412</v>
      </c>
      <c r="D297" s="52"/>
      <c r="E297" s="471"/>
    </row>
    <row r="298" spans="2:5" x14ac:dyDescent="0.25">
      <c r="B298" s="8" t="s">
        <v>572</v>
      </c>
      <c r="C298" s="69">
        <f t="shared" ca="1" si="1"/>
        <v>-0.72184351947045644</v>
      </c>
      <c r="D298" s="52"/>
      <c r="E298" s="471"/>
    </row>
    <row r="299" spans="2:5" x14ac:dyDescent="0.25">
      <c r="B299" s="8" t="s">
        <v>573</v>
      </c>
      <c r="C299" s="69">
        <f t="shared" ca="1" si="1"/>
        <v>-0.18763206018617951</v>
      </c>
      <c r="D299" s="52"/>
      <c r="E299" s="471"/>
    </row>
    <row r="300" spans="2:5" x14ac:dyDescent="0.25">
      <c r="B300" s="8" t="s">
        <v>574</v>
      </c>
      <c r="C300" s="69">
        <f t="shared" ca="1" si="1"/>
        <v>1.2108318349521903</v>
      </c>
      <c r="D300" s="52"/>
      <c r="E300" s="471"/>
    </row>
    <row r="301" spans="2:5" x14ac:dyDescent="0.25">
      <c r="B301" s="8" t="s">
        <v>575</v>
      </c>
      <c r="C301" s="69">
        <f t="shared" ca="1" si="1"/>
        <v>0.92235760542949352</v>
      </c>
      <c r="D301" s="52"/>
      <c r="E301" s="471"/>
    </row>
    <row r="302" spans="2:5" x14ac:dyDescent="0.25">
      <c r="B302" s="8" t="s">
        <v>576</v>
      </c>
      <c r="C302" s="69">
        <f t="shared" ca="1" si="1"/>
        <v>0.87449690546190983</v>
      </c>
      <c r="D302" s="52"/>
      <c r="E302" s="471"/>
    </row>
    <row r="303" spans="2:5" x14ac:dyDescent="0.25">
      <c r="B303" s="8" t="s">
        <v>577</v>
      </c>
      <c r="C303" s="69">
        <f t="shared" ca="1" si="1"/>
        <v>1.2703884276154733</v>
      </c>
      <c r="D303" s="52"/>
      <c r="E303" s="471"/>
    </row>
    <row r="304" spans="2:5" x14ac:dyDescent="0.25">
      <c r="B304" s="8" t="s">
        <v>578</v>
      </c>
      <c r="C304" s="69">
        <f t="shared" ca="1" si="1"/>
        <v>0.69906870587446535</v>
      </c>
      <c r="D304" s="52"/>
      <c r="E304" s="471"/>
    </row>
    <row r="305" spans="2:5" x14ac:dyDescent="0.25">
      <c r="B305" s="8" t="s">
        <v>579</v>
      </c>
      <c r="C305" s="69">
        <f t="shared" ca="1" si="1"/>
        <v>7.3560052775912529E-2</v>
      </c>
      <c r="D305" s="52"/>
      <c r="E305" s="471"/>
    </row>
    <row r="306" spans="2:5" x14ac:dyDescent="0.25">
      <c r="B306" s="8" t="s">
        <v>580</v>
      </c>
      <c r="C306" s="69">
        <f t="shared" ca="1" si="1"/>
        <v>0.38383864068281015</v>
      </c>
      <c r="D306" s="52"/>
      <c r="E306" s="471"/>
    </row>
    <row r="307" spans="2:5" x14ac:dyDescent="0.25">
      <c r="B307" s="8" t="s">
        <v>581</v>
      </c>
      <c r="C307" s="69">
        <f t="shared" ca="1" si="1"/>
        <v>0.48284128705937113</v>
      </c>
      <c r="D307" s="52"/>
      <c r="E307" s="471"/>
    </row>
    <row r="308" spans="2:5" x14ac:dyDescent="0.25">
      <c r="B308" s="8" t="s">
        <v>582</v>
      </c>
      <c r="C308" s="69">
        <f t="shared" ca="1" si="1"/>
        <v>0.31794262507422538</v>
      </c>
      <c r="D308" s="52"/>
      <c r="E308" s="471"/>
    </row>
    <row r="309" spans="2:5" x14ac:dyDescent="0.25">
      <c r="B309" s="8" t="s">
        <v>583</v>
      </c>
      <c r="C309" s="69">
        <f t="shared" ca="1" si="1"/>
        <v>7.8515864884272646E-3</v>
      </c>
      <c r="D309" s="52"/>
      <c r="E309" s="471"/>
    </row>
    <row r="310" spans="2:5" x14ac:dyDescent="0.25">
      <c r="B310" s="8" t="s">
        <v>584</v>
      </c>
      <c r="C310" s="69">
        <f t="shared" ca="1" si="1"/>
        <v>0.68391559550000003</v>
      </c>
      <c r="D310" s="52"/>
      <c r="E310" s="471"/>
    </row>
    <row r="311" spans="2:5" x14ac:dyDescent="0.25">
      <c r="B311" s="8" t="s">
        <v>136</v>
      </c>
      <c r="C311" s="69">
        <v>-0.95357533330599153</v>
      </c>
      <c r="D311" s="52"/>
      <c r="E311" s="471"/>
    </row>
    <row r="312" spans="2:5" x14ac:dyDescent="0.25">
      <c r="B312" s="8" t="s">
        <v>137</v>
      </c>
      <c r="C312" s="69">
        <v>-3.1122303269218037</v>
      </c>
      <c r="D312" s="52"/>
      <c r="E312" s="471"/>
    </row>
    <row r="313" spans="2:5" x14ac:dyDescent="0.25">
      <c r="B313" s="8" t="s">
        <v>138</v>
      </c>
      <c r="C313" s="69">
        <v>-2.3859044935294804</v>
      </c>
      <c r="D313" s="52"/>
      <c r="E313" s="471"/>
    </row>
    <row r="314" spans="2:5" ht="15" customHeight="1" x14ac:dyDescent="0.25">
      <c r="B314" s="8" t="s">
        <v>139</v>
      </c>
      <c r="C314" s="69">
        <v>-2.49971429090904</v>
      </c>
      <c r="D314" s="52"/>
      <c r="E314" s="471"/>
    </row>
    <row r="315" spans="2:5" x14ac:dyDescent="0.25">
      <c r="B315" s="8" t="s">
        <v>140</v>
      </c>
      <c r="C315" s="69">
        <v>-2.1562725988126914</v>
      </c>
      <c r="D315" s="52"/>
      <c r="E315" s="471"/>
    </row>
    <row r="316" spans="2:5" x14ac:dyDescent="0.25">
      <c r="B316" s="8" t="s">
        <v>141</v>
      </c>
      <c r="C316" s="69">
        <v>-1.5679072265885168</v>
      </c>
      <c r="D316" s="52"/>
      <c r="E316" s="471"/>
    </row>
    <row r="317" spans="2:5" ht="15" customHeight="1" x14ac:dyDescent="0.25">
      <c r="B317" s="8" t="s">
        <v>142</v>
      </c>
      <c r="C317" s="69">
        <v>-0.64477542428848267</v>
      </c>
      <c r="D317" s="52"/>
      <c r="E317" s="471"/>
    </row>
    <row r="318" spans="2:5" ht="15" customHeight="1" x14ac:dyDescent="0.25">
      <c r="B318" s="8" t="s">
        <v>143</v>
      </c>
      <c r="C318" s="69">
        <v>-9.5691442302992868E-2</v>
      </c>
      <c r="D318" s="52"/>
      <c r="E318" s="471"/>
    </row>
    <row r="319" spans="2:5" ht="15" customHeight="1" x14ac:dyDescent="0.25">
      <c r="B319" s="8" t="s">
        <v>144</v>
      </c>
      <c r="C319" s="69">
        <v>-0.17883742641762979</v>
      </c>
      <c r="D319" s="52"/>
      <c r="E319" s="471"/>
    </row>
    <row r="320" spans="2:5" ht="15" customHeight="1" x14ac:dyDescent="0.25">
      <c r="B320" s="8" t="s">
        <v>145</v>
      </c>
      <c r="C320" s="69">
        <v>7.6808462240762765E-2</v>
      </c>
      <c r="D320" s="52"/>
      <c r="E320" s="471"/>
    </row>
    <row r="321" spans="2:5" ht="15" customHeight="1" x14ac:dyDescent="0.25">
      <c r="B321" s="8" t="s">
        <v>146</v>
      </c>
      <c r="C321" s="69">
        <v>0.37926667436693151</v>
      </c>
      <c r="D321" s="52"/>
      <c r="E321" s="471"/>
    </row>
    <row r="322" spans="2:5" x14ac:dyDescent="0.25">
      <c r="B322" s="8" t="s">
        <v>147</v>
      </c>
      <c r="C322" s="69">
        <v>0.55457139395140587</v>
      </c>
      <c r="D322" s="52"/>
      <c r="E322" s="471"/>
    </row>
    <row r="323" spans="2:5" x14ac:dyDescent="0.25">
      <c r="B323" s="8" t="s">
        <v>148</v>
      </c>
      <c r="C323" s="69">
        <v>-0.30264965844484948</v>
      </c>
      <c r="D323" s="52"/>
      <c r="E323" s="471"/>
    </row>
    <row r="324" spans="2:5" x14ac:dyDescent="0.25">
      <c r="B324" s="8" t="s">
        <v>149</v>
      </c>
      <c r="C324" s="69">
        <v>1.7842801679714881</v>
      </c>
      <c r="D324" s="52"/>
      <c r="E324" s="471"/>
    </row>
    <row r="325" spans="2:5" x14ac:dyDescent="0.25">
      <c r="B325" s="8" t="s">
        <v>150</v>
      </c>
      <c r="C325" s="69">
        <v>1.0262595497447649</v>
      </c>
      <c r="D325" s="52"/>
      <c r="E325" s="471"/>
    </row>
    <row r="326" spans="2:5" x14ac:dyDescent="0.25">
      <c r="B326" s="8" t="s">
        <v>151</v>
      </c>
      <c r="C326" s="69">
        <v>9.0713938354696211E-3</v>
      </c>
      <c r="D326" s="52"/>
      <c r="E326" s="471"/>
    </row>
    <row r="327" spans="2:5" x14ac:dyDescent="0.25">
      <c r="B327" s="8" t="s">
        <v>152</v>
      </c>
      <c r="C327" s="69">
        <v>-0.41997778120139628</v>
      </c>
      <c r="D327" s="52"/>
      <c r="E327" s="471"/>
    </row>
    <row r="328" spans="2:5" ht="15.75" thickBot="1" x14ac:dyDescent="0.3">
      <c r="B328" s="500" t="s">
        <v>153</v>
      </c>
      <c r="C328" s="501">
        <v>-0.84877376411087369</v>
      </c>
      <c r="D328" s="52"/>
      <c r="E328" s="471"/>
    </row>
    <row r="329" spans="2:5" ht="157.5" customHeight="1" thickBot="1" x14ac:dyDescent="0.3">
      <c r="B329" s="643" t="s">
        <v>585</v>
      </c>
      <c r="C329" s="644"/>
    </row>
  </sheetData>
  <mergeCells count="2">
    <mergeCell ref="B2:C2"/>
    <mergeCell ref="B329:C329"/>
  </mergeCells>
  <phoneticPr fontId="91" type="noConversion"/>
  <hyperlinks>
    <hyperlink ref="A1" location="Contents!A1" display="Back to contents" xr:uid="{AE8F4B26-F450-489E-94CC-1138C2ECA69D}"/>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12561-C10C-4EFB-865C-B22050BEE0D8}">
  <sheetPr codeName="Sheet17">
    <tabColor theme="5"/>
  </sheetPr>
  <dimension ref="A1:AT165"/>
  <sheetViews>
    <sheetView showGridLines="0" zoomScaleNormal="100" zoomScaleSheetLayoutView="100" workbookViewId="0"/>
  </sheetViews>
  <sheetFormatPr defaultColWidth="8.77734375" defaultRowHeight="15.75" x14ac:dyDescent="0.25"/>
  <cols>
    <col min="1" max="1" width="9.21875" style="2" customWidth="1"/>
    <col min="2" max="2" width="7.77734375" style="2" customWidth="1"/>
    <col min="3" max="3" width="1.77734375" style="28" customWidth="1"/>
    <col min="4" max="4" width="10.77734375" style="2" customWidth="1"/>
    <col min="5" max="5" width="1" style="28" customWidth="1"/>
    <col min="6" max="6" width="9.77734375" style="2" customWidth="1"/>
    <col min="7" max="7" width="13.21875" style="2" customWidth="1"/>
    <col min="8" max="8" width="14" style="2" customWidth="1"/>
    <col min="9" max="9" width="12.21875" style="2" customWidth="1"/>
    <col min="10" max="10" width="7.77734375" style="2" customWidth="1"/>
    <col min="11" max="11" width="10.21875" style="2" customWidth="1"/>
    <col min="12" max="12" width="1" style="28" customWidth="1"/>
    <col min="13" max="13" width="10.77734375" style="28" customWidth="1"/>
    <col min="14" max="14" width="1" style="28" customWidth="1"/>
    <col min="15" max="15" width="8.77734375" style="28" customWidth="1"/>
    <col min="16" max="16" width="13.21875" style="28" bestFit="1" customWidth="1"/>
    <col min="17" max="17" width="14" style="28" customWidth="1"/>
    <col min="18" max="18" width="12.21875" style="28" customWidth="1"/>
    <col min="19" max="19" width="7.77734375" style="28" customWidth="1"/>
    <col min="20" max="20" width="9.77734375" style="28" customWidth="1"/>
    <col min="21" max="46" width="8.77734375" style="28"/>
    <col min="47" max="16384" width="8.77734375" style="2"/>
  </cols>
  <sheetData>
    <row r="1" spans="1:26" ht="35.1" customHeight="1" thickBot="1" x14ac:dyDescent="0.3">
      <c r="A1" s="9" t="s">
        <v>22</v>
      </c>
      <c r="B1" s="470"/>
      <c r="C1" s="277"/>
      <c r="D1" s="525"/>
      <c r="E1" s="277"/>
      <c r="F1" s="22"/>
      <c r="G1" s="277"/>
      <c r="H1" s="277"/>
      <c r="I1" s="277"/>
      <c r="J1" s="277"/>
      <c r="K1" s="277"/>
      <c r="L1" s="277"/>
      <c r="M1" s="277"/>
      <c r="N1" s="277"/>
      <c r="O1" s="15"/>
      <c r="P1" s="15"/>
      <c r="Q1" s="15"/>
      <c r="R1" s="16"/>
      <c r="S1" s="16"/>
      <c r="T1" s="16"/>
      <c r="U1" s="4"/>
    </row>
    <row r="2" spans="1:26" ht="19.5" thickBot="1" x14ac:dyDescent="0.35">
      <c r="A2" s="7"/>
      <c r="B2" s="568" t="s">
        <v>586</v>
      </c>
      <c r="C2" s="569"/>
      <c r="D2" s="569"/>
      <c r="E2" s="569"/>
      <c r="F2" s="569"/>
      <c r="G2" s="569"/>
      <c r="H2" s="569"/>
      <c r="I2" s="569"/>
      <c r="J2" s="569"/>
      <c r="K2" s="569"/>
      <c r="L2" s="569"/>
      <c r="M2" s="569"/>
      <c r="N2" s="569"/>
      <c r="O2" s="569"/>
      <c r="P2" s="569"/>
      <c r="Q2" s="569"/>
      <c r="R2" s="569"/>
      <c r="S2" s="569"/>
      <c r="T2" s="570"/>
    </row>
    <row r="3" spans="1:26" x14ac:dyDescent="0.25">
      <c r="A3" s="7"/>
      <c r="B3" s="29"/>
      <c r="C3" s="645" t="s">
        <v>587</v>
      </c>
      <c r="D3" s="645"/>
      <c r="E3" s="645"/>
      <c r="F3" s="645"/>
      <c r="G3" s="645"/>
      <c r="H3" s="645"/>
      <c r="I3" s="645"/>
      <c r="J3" s="645"/>
      <c r="K3" s="646"/>
      <c r="L3" s="647" t="s">
        <v>588</v>
      </c>
      <c r="M3" s="648"/>
      <c r="N3" s="648"/>
      <c r="O3" s="648"/>
      <c r="P3" s="648"/>
      <c r="Q3" s="648"/>
      <c r="R3" s="648"/>
      <c r="S3" s="648"/>
      <c r="T3" s="649"/>
    </row>
    <row r="4" spans="1:26" ht="49.5" x14ac:dyDescent="0.25">
      <c r="A4" s="7"/>
      <c r="B4" s="29"/>
      <c r="C4" s="53"/>
      <c r="D4" s="30" t="s">
        <v>589</v>
      </c>
      <c r="E4" s="53"/>
      <c r="F4" s="30" t="s">
        <v>590</v>
      </c>
      <c r="G4" s="30" t="s">
        <v>591</v>
      </c>
      <c r="H4" s="31" t="s">
        <v>657</v>
      </c>
      <c r="I4" s="31" t="s">
        <v>658</v>
      </c>
      <c r="J4" s="31" t="s">
        <v>592</v>
      </c>
      <c r="K4" s="31" t="s">
        <v>593</v>
      </c>
      <c r="L4" s="53"/>
      <c r="M4" s="30" t="s">
        <v>594</v>
      </c>
      <c r="N4" s="53"/>
      <c r="O4" s="215" t="s">
        <v>590</v>
      </c>
      <c r="P4" s="31" t="s">
        <v>595</v>
      </c>
      <c r="Q4" s="31" t="s">
        <v>657</v>
      </c>
      <c r="R4" s="390" t="s">
        <v>658</v>
      </c>
      <c r="S4" s="215" t="s">
        <v>592</v>
      </c>
      <c r="T4" s="32" t="s">
        <v>593</v>
      </c>
      <c r="V4" s="97"/>
      <c r="W4"/>
      <c r="X4"/>
      <c r="Y4"/>
      <c r="Z4"/>
    </row>
    <row r="5" spans="1:26" s="80" customFormat="1" x14ac:dyDescent="0.25">
      <c r="A5" s="296"/>
      <c r="B5" s="8" t="s">
        <v>87</v>
      </c>
      <c r="C5" s="467"/>
      <c r="D5" s="91">
        <v>660703.19869661983</v>
      </c>
      <c r="E5" s="90"/>
      <c r="F5" s="91">
        <v>53301</v>
      </c>
      <c r="G5" s="94">
        <v>61.243246499999998</v>
      </c>
      <c r="H5" s="94">
        <v>63.774380794351842</v>
      </c>
      <c r="I5" s="94">
        <v>3.9688888888888938</v>
      </c>
      <c r="J5" s="94">
        <v>31.777531471225007</v>
      </c>
      <c r="K5" s="94">
        <v>636.93144510921604</v>
      </c>
      <c r="L5" s="90"/>
      <c r="M5" s="113">
        <v>0.52524372329179059</v>
      </c>
      <c r="N5" s="90"/>
      <c r="O5" s="113">
        <v>0.57361737456838036</v>
      </c>
      <c r="P5" s="113">
        <v>0.46377684042839817</v>
      </c>
      <c r="Q5" s="113">
        <v>9.1576860953868078E-2</v>
      </c>
      <c r="R5" s="113">
        <v>0.37185945988631453</v>
      </c>
      <c r="S5" s="113">
        <v>-0.71858087590032094</v>
      </c>
      <c r="T5" s="14">
        <v>0.21058246592697838</v>
      </c>
      <c r="V5" s="468"/>
      <c r="W5"/>
      <c r="X5"/>
      <c r="Y5"/>
      <c r="Z5"/>
    </row>
    <row r="6" spans="1:26" s="80" customFormat="1" x14ac:dyDescent="0.25">
      <c r="A6" s="296"/>
      <c r="B6" s="8" t="s">
        <v>88</v>
      </c>
      <c r="C6" s="467"/>
      <c r="D6" s="91">
        <v>661753.04380251537</v>
      </c>
      <c r="E6" s="90"/>
      <c r="F6" s="91">
        <v>53381</v>
      </c>
      <c r="G6" s="94">
        <v>61.240665399999997</v>
      </c>
      <c r="H6" s="94">
        <v>63.776858489932529</v>
      </c>
      <c r="I6" s="94">
        <v>3.976666666666671</v>
      </c>
      <c r="J6" s="94">
        <v>31.727531471225006</v>
      </c>
      <c r="K6" s="94">
        <v>638.01818571812328</v>
      </c>
      <c r="L6" s="90"/>
      <c r="M6" s="113">
        <v>0.51372998983287843</v>
      </c>
      <c r="N6" s="90"/>
      <c r="O6" s="113">
        <v>0.59549608970130841</v>
      </c>
      <c r="P6" s="113">
        <v>0.23416928813377869</v>
      </c>
      <c r="Q6" s="113">
        <v>6.9588635837081192E-2</v>
      </c>
      <c r="R6" s="113">
        <v>0.16446624964794321</v>
      </c>
      <c r="S6" s="113">
        <v>-0.62641861360391848</v>
      </c>
      <c r="T6" s="14">
        <v>0.31366905603131823</v>
      </c>
      <c r="V6" s="468"/>
      <c r="W6"/>
      <c r="X6"/>
      <c r="Y6"/>
      <c r="Z6"/>
    </row>
    <row r="7" spans="1:26" s="80" customFormat="1" x14ac:dyDescent="0.25">
      <c r="A7" s="296"/>
      <c r="B7" s="8" t="s">
        <v>89</v>
      </c>
      <c r="C7" s="467"/>
      <c r="D7" s="91">
        <v>664170.11187999172</v>
      </c>
      <c r="E7" s="90"/>
      <c r="F7" s="91">
        <v>53435</v>
      </c>
      <c r="G7" s="94">
        <v>61.230210100000001</v>
      </c>
      <c r="H7" s="94">
        <v>63.771135600073642</v>
      </c>
      <c r="I7" s="94">
        <v>3.9844444444444496</v>
      </c>
      <c r="J7" s="94">
        <v>31.677531471225009</v>
      </c>
      <c r="K7" s="94">
        <v>640.82055463622282</v>
      </c>
      <c r="L7" s="90"/>
      <c r="M7" s="113">
        <v>0.78069577609198859</v>
      </c>
      <c r="N7" s="90"/>
      <c r="O7" s="113">
        <v>0.55324514028716187</v>
      </c>
      <c r="P7" s="113">
        <v>5.0761330412463224E-2</v>
      </c>
      <c r="Q7" s="113">
        <v>3.4552109102303774E-2</v>
      </c>
      <c r="R7" s="113">
        <v>1.6203703703698835E-2</v>
      </c>
      <c r="S7" s="113">
        <v>-0.62740115300500277</v>
      </c>
      <c r="T7" s="14">
        <v>0.80781819234039265</v>
      </c>
      <c r="V7" s="468"/>
      <c r="W7"/>
      <c r="X7"/>
      <c r="Y7"/>
      <c r="Z7"/>
    </row>
    <row r="8" spans="1:26" s="80" customFormat="1" x14ac:dyDescent="0.25">
      <c r="A8" s="296"/>
      <c r="B8" s="8" t="s">
        <v>90</v>
      </c>
      <c r="C8" s="467"/>
      <c r="D8" s="91">
        <v>667414.5598452593</v>
      </c>
      <c r="E8" s="90"/>
      <c r="F8" s="91">
        <v>53475</v>
      </c>
      <c r="G8" s="94">
        <v>61.215991799999998</v>
      </c>
      <c r="H8" s="94">
        <v>63.761492285092757</v>
      </c>
      <c r="I8" s="94">
        <v>3.9922222222222281</v>
      </c>
      <c r="J8" s="94">
        <v>31.627531471225009</v>
      </c>
      <c r="K8" s="94">
        <v>644.63620978367044</v>
      </c>
      <c r="L8" s="90"/>
      <c r="M8" s="113">
        <v>1.1378530361841221</v>
      </c>
      <c r="N8" s="90"/>
      <c r="O8" s="113">
        <v>0.47725521880461752</v>
      </c>
      <c r="P8" s="113">
        <v>-3.8760295940898359E-2</v>
      </c>
      <c r="Q8" s="113">
        <v>-6.3681200173970609E-3</v>
      </c>
      <c r="R8" s="113">
        <v>-3.239428472262551E-2</v>
      </c>
      <c r="S8" s="113">
        <v>-0.62838677947995025</v>
      </c>
      <c r="T8" s="14">
        <v>1.3332551373324453</v>
      </c>
      <c r="V8" s="468"/>
      <c r="W8"/>
      <c r="X8"/>
      <c r="Y8"/>
      <c r="Z8"/>
    </row>
    <row r="9" spans="1:26" s="80" customFormat="1" x14ac:dyDescent="0.25">
      <c r="A9" s="296"/>
      <c r="B9" s="8" t="s">
        <v>91</v>
      </c>
      <c r="C9" s="467"/>
      <c r="D9" s="91">
        <v>652180</v>
      </c>
      <c r="E9" s="90"/>
      <c r="F9" s="91">
        <v>53515</v>
      </c>
      <c r="G9" s="94">
        <v>61.195264999999999</v>
      </c>
      <c r="H9" s="94">
        <v>63.745067729263504</v>
      </c>
      <c r="I9" s="94">
        <v>4.0000000000000062</v>
      </c>
      <c r="J9" s="94">
        <v>31.309119573126363</v>
      </c>
      <c r="K9" s="94">
        <v>636.06759626863436</v>
      </c>
      <c r="L9" s="90"/>
      <c r="M9" s="113">
        <v>-1.290019287546007</v>
      </c>
      <c r="N9" s="90"/>
      <c r="O9" s="113">
        <v>0.40149340537700695</v>
      </c>
      <c r="P9" s="113">
        <v>-7.8345781358923894E-2</v>
      </c>
      <c r="Q9" s="113">
        <v>-4.5963700036322219E-2</v>
      </c>
      <c r="R9" s="113">
        <v>-3.2396908409304537E-2</v>
      </c>
      <c r="S9" s="113">
        <v>-1.4740348806602466</v>
      </c>
      <c r="T9" s="14">
        <v>-0.13562665922917105</v>
      </c>
      <c r="V9" s="468"/>
      <c r="W9"/>
      <c r="X9"/>
      <c r="Y9"/>
      <c r="Z9"/>
    </row>
    <row r="10" spans="1:26" s="80" customFormat="1" x14ac:dyDescent="0.25">
      <c r="A10" s="296"/>
      <c r="B10" s="8" t="s">
        <v>92</v>
      </c>
      <c r="C10" s="467"/>
      <c r="D10" s="91">
        <v>522347.25431328127</v>
      </c>
      <c r="E10" s="90"/>
      <c r="F10" s="91">
        <v>53555</v>
      </c>
      <c r="G10" s="94">
        <v>60.853309500000002</v>
      </c>
      <c r="H10" s="94">
        <v>63.720742887683315</v>
      </c>
      <c r="I10" s="94">
        <v>4.5</v>
      </c>
      <c r="J10" s="94">
        <v>26.205521953035401</v>
      </c>
      <c r="K10" s="94">
        <v>611.62084205099677</v>
      </c>
      <c r="L10" s="90"/>
      <c r="M10" s="113">
        <v>-21.066134987183606</v>
      </c>
      <c r="N10" s="90"/>
      <c r="O10" s="113">
        <v>0.32595867443472315</v>
      </c>
      <c r="P10" s="113">
        <v>-0.6325141921139199</v>
      </c>
      <c r="Q10" s="113">
        <v>-8.7987404174305617E-2</v>
      </c>
      <c r="R10" s="113">
        <v>-0.54500642205018712</v>
      </c>
      <c r="S10" s="113">
        <v>-17.404472589358999</v>
      </c>
      <c r="T10" s="14">
        <v>-4.137396747933586</v>
      </c>
      <c r="V10" s="468"/>
      <c r="W10"/>
      <c r="X10"/>
      <c r="Y10"/>
      <c r="Z10"/>
    </row>
    <row r="11" spans="1:26" s="80" customFormat="1" x14ac:dyDescent="0.25">
      <c r="A11" s="296"/>
      <c r="B11" s="8" t="s">
        <v>93</v>
      </c>
      <c r="C11" s="467"/>
      <c r="D11" s="91">
        <v>616029.42062162294</v>
      </c>
      <c r="E11" s="90"/>
      <c r="F11" s="91">
        <v>53618</v>
      </c>
      <c r="G11" s="94">
        <v>60.831209999999999</v>
      </c>
      <c r="H11" s="94">
        <v>63.697602112833067</v>
      </c>
      <c r="I11" s="94">
        <v>4.5</v>
      </c>
      <c r="J11" s="94">
        <v>30.607669999999999</v>
      </c>
      <c r="K11" s="94">
        <v>617.0695524917877</v>
      </c>
      <c r="L11" s="90"/>
      <c r="M11" s="113">
        <v>-7.2482471579611296</v>
      </c>
      <c r="N11" s="90"/>
      <c r="O11" s="113">
        <v>0.34247216244034373</v>
      </c>
      <c r="P11" s="113">
        <v>-0.65163927961109369</v>
      </c>
      <c r="Q11" s="113">
        <v>-0.11530841743468967</v>
      </c>
      <c r="R11" s="113">
        <v>-0.53695003124493157</v>
      </c>
      <c r="S11" s="113">
        <v>-3.3773511430233882</v>
      </c>
      <c r="T11" s="14">
        <v>-3.7063421222370052</v>
      </c>
      <c r="V11" s="468"/>
      <c r="W11"/>
      <c r="X11"/>
      <c r="Y11"/>
      <c r="Z11"/>
    </row>
    <row r="12" spans="1:26" s="80" customFormat="1" x14ac:dyDescent="0.25">
      <c r="A12" s="296"/>
      <c r="B12" s="8" t="s">
        <v>94</v>
      </c>
      <c r="C12" s="467"/>
      <c r="D12" s="91">
        <v>624312.05960625561</v>
      </c>
      <c r="E12" s="90"/>
      <c r="F12" s="91">
        <v>53692</v>
      </c>
      <c r="G12" s="94">
        <v>60.809884599999997</v>
      </c>
      <c r="H12" s="94">
        <v>63.675271826633598</v>
      </c>
      <c r="I12" s="94">
        <v>4.5</v>
      </c>
      <c r="J12" s="94">
        <v>31.123035920587999</v>
      </c>
      <c r="K12" s="94">
        <v>614.3785002052731</v>
      </c>
      <c r="L12" s="90"/>
      <c r="M12" s="113">
        <v>-6.4581300487356774</v>
      </c>
      <c r="N12" s="90"/>
      <c r="O12" s="113">
        <v>0.40579710144927894</v>
      </c>
      <c r="P12" s="113">
        <v>-0.66340050705508968</v>
      </c>
      <c r="Q12" s="113">
        <v>-0.13522340109866082</v>
      </c>
      <c r="R12" s="113">
        <v>-0.52889233511174139</v>
      </c>
      <c r="S12" s="113">
        <v>-1.5951151644446382</v>
      </c>
      <c r="T12" s="14">
        <v>-4.6937651219672194</v>
      </c>
      <c r="V12" s="468"/>
      <c r="W12"/>
      <c r="X12"/>
      <c r="Y12"/>
      <c r="Z12"/>
    </row>
    <row r="13" spans="1:26" s="80" customFormat="1" x14ac:dyDescent="0.25">
      <c r="A13" s="296"/>
      <c r="B13" s="8" t="s">
        <v>95</v>
      </c>
      <c r="C13" s="467"/>
      <c r="D13" s="91">
        <v>609814.63881489506</v>
      </c>
      <c r="E13" s="90"/>
      <c r="F13" s="91">
        <v>53767</v>
      </c>
      <c r="G13" s="94">
        <v>60.789230000000003</v>
      </c>
      <c r="H13" s="94">
        <v>63.653643982681267</v>
      </c>
      <c r="I13" s="94">
        <v>4.5</v>
      </c>
      <c r="J13" s="94">
        <v>30.45</v>
      </c>
      <c r="K13" s="94">
        <v>612.72852799115947</v>
      </c>
      <c r="L13" s="90"/>
      <c r="M13" s="113">
        <v>-6.4959614194095128</v>
      </c>
      <c r="N13" s="90"/>
      <c r="O13" s="113">
        <v>0.47089601046435003</v>
      </c>
      <c r="P13" s="113">
        <v>-0.66350721742931551</v>
      </c>
      <c r="Q13" s="113">
        <v>-0.14342089488480481</v>
      </c>
      <c r="R13" s="113">
        <v>-0.52083333333333703</v>
      </c>
      <c r="S13" s="113">
        <v>-2.7439914786482</v>
      </c>
      <c r="T13" s="14">
        <v>-3.6692748403454267</v>
      </c>
      <c r="V13" s="468"/>
      <c r="W13"/>
      <c r="X13"/>
      <c r="Y13"/>
      <c r="Z13"/>
    </row>
    <row r="14" spans="1:26" x14ac:dyDescent="0.25">
      <c r="A14" s="7"/>
      <c r="B14" s="8" t="s">
        <v>96</v>
      </c>
      <c r="C14" s="467"/>
      <c r="D14" s="91">
        <v>645942.30329201871</v>
      </c>
      <c r="E14" s="90"/>
      <c r="F14" s="91">
        <v>53842</v>
      </c>
      <c r="G14" s="94">
        <v>60.899000100000002</v>
      </c>
      <c r="H14" s="94">
        <v>63.635318770692002</v>
      </c>
      <c r="I14" s="94">
        <v>4.3</v>
      </c>
      <c r="J14" s="94">
        <v>31.3</v>
      </c>
      <c r="K14" s="94">
        <v>629.38740066211619</v>
      </c>
      <c r="L14" s="90"/>
      <c r="M14" s="113">
        <v>23.661471934264334</v>
      </c>
      <c r="N14" s="90"/>
      <c r="O14" s="113">
        <v>0.5358976752870781</v>
      </c>
      <c r="P14" s="113">
        <v>7.5083180151436224E-2</v>
      </c>
      <c r="Q14" s="113">
        <v>-0.13406013979134768</v>
      </c>
      <c r="R14" s="113">
        <v>0.20942408376962707</v>
      </c>
      <c r="S14" s="113">
        <v>19.440475393295898</v>
      </c>
      <c r="T14" s="14">
        <v>2.904832109962352</v>
      </c>
      <c r="V14" s="97"/>
      <c r="W14"/>
      <c r="X14"/>
      <c r="Y14"/>
      <c r="Z14"/>
    </row>
    <row r="15" spans="1:26" x14ac:dyDescent="0.25">
      <c r="A15" s="23"/>
      <c r="B15" s="8" t="s">
        <v>97</v>
      </c>
      <c r="C15" s="54"/>
      <c r="D15" s="91">
        <v>655412.16883451014</v>
      </c>
      <c r="E15" s="90"/>
      <c r="F15" s="91">
        <v>53949</v>
      </c>
      <c r="G15" s="94">
        <v>61.0106751</v>
      </c>
      <c r="H15" s="94">
        <v>63.61905645813524</v>
      </c>
      <c r="I15" s="94">
        <v>4.0999999999999988</v>
      </c>
      <c r="J15" s="94">
        <v>31.39</v>
      </c>
      <c r="K15" s="94">
        <v>634.35731891457863</v>
      </c>
      <c r="L15" s="90"/>
      <c r="M15" s="113">
        <v>6.3929979469400822</v>
      </c>
      <c r="N15" s="90"/>
      <c r="O15" s="113">
        <v>0.61733000111903191</v>
      </c>
      <c r="P15" s="113">
        <v>0.29502142074766535</v>
      </c>
      <c r="Q15" s="113">
        <v>-0.12331022219438381</v>
      </c>
      <c r="R15" s="113">
        <v>0.41884816753927634</v>
      </c>
      <c r="S15" s="113">
        <v>2.5559933180147487</v>
      </c>
      <c r="T15" s="14">
        <v>2.801591223060873</v>
      </c>
      <c r="V15" s="34"/>
      <c r="W15" s="34"/>
      <c r="X15" s="34"/>
      <c r="Y15" s="34"/>
    </row>
    <row r="16" spans="1:26" x14ac:dyDescent="0.25">
      <c r="A16" s="23"/>
      <c r="B16" s="8" t="s">
        <v>98</v>
      </c>
      <c r="C16" s="54"/>
      <c r="D16" s="91">
        <v>662998.80677278421</v>
      </c>
      <c r="E16" s="90"/>
      <c r="F16" s="91">
        <v>54073</v>
      </c>
      <c r="G16" s="88">
        <v>61.036931199999998</v>
      </c>
      <c r="H16" s="88">
        <v>63.601541069577024</v>
      </c>
      <c r="I16" s="88">
        <v>4.0323076923076986</v>
      </c>
      <c r="J16" s="88">
        <v>31.51</v>
      </c>
      <c r="K16" s="88">
        <v>637.51614555721937</v>
      </c>
      <c r="L16" s="90"/>
      <c r="M16" s="113">
        <v>6.1967002833371199</v>
      </c>
      <c r="N16" s="90"/>
      <c r="O16" s="113">
        <v>0.70960292036057471</v>
      </c>
      <c r="P16" s="113">
        <v>0.37337120682514602</v>
      </c>
      <c r="Q16" s="113">
        <v>-0.11579182144257905</v>
      </c>
      <c r="R16" s="113">
        <v>0.48973016512283696</v>
      </c>
      <c r="S16" s="113">
        <v>1.2433365446718136</v>
      </c>
      <c r="T16" s="14">
        <v>3.7660245832521255</v>
      </c>
      <c r="V16" s="34"/>
      <c r="W16" s="34"/>
      <c r="X16" s="34"/>
      <c r="Y16" s="34"/>
    </row>
    <row r="17" spans="1:42" x14ac:dyDescent="0.25">
      <c r="A17" s="23"/>
      <c r="B17" s="8" t="s">
        <v>99</v>
      </c>
      <c r="C17" s="54"/>
      <c r="D17" s="91">
        <v>668811.68093243474</v>
      </c>
      <c r="E17" s="90"/>
      <c r="F17" s="91">
        <v>54198</v>
      </c>
      <c r="G17" s="88">
        <v>61.014684899999999</v>
      </c>
      <c r="H17" s="88">
        <v>63.585495386011978</v>
      </c>
      <c r="I17" s="88">
        <v>4.0430769230769297</v>
      </c>
      <c r="J17" s="88">
        <v>31.618500000000001</v>
      </c>
      <c r="K17" s="88">
        <v>639.65375438386559</v>
      </c>
      <c r="L17" s="90"/>
      <c r="M17" s="113">
        <v>9.6745860729407376</v>
      </c>
      <c r="N17" s="90"/>
      <c r="O17" s="113">
        <v>0.80160693362099078</v>
      </c>
      <c r="P17" s="113">
        <v>0.37087967720597081</v>
      </c>
      <c r="Q17" s="113">
        <v>-0.10706157951904105</v>
      </c>
      <c r="R17" s="113">
        <v>0.47845348368908969</v>
      </c>
      <c r="S17" s="113">
        <v>3.8374384236453229</v>
      </c>
      <c r="T17" s="14">
        <v>4.3943157797762256</v>
      </c>
      <c r="V17" s="34"/>
      <c r="W17" s="34"/>
      <c r="X17" s="34"/>
      <c r="Y17" s="34"/>
    </row>
    <row r="18" spans="1:42" x14ac:dyDescent="0.25">
      <c r="A18" s="23"/>
      <c r="B18" s="8" t="s">
        <v>100</v>
      </c>
      <c r="C18" s="54"/>
      <c r="D18" s="91">
        <v>675181.19636201556</v>
      </c>
      <c r="E18" s="90"/>
      <c r="F18" s="91">
        <v>54322</v>
      </c>
      <c r="G18" s="88">
        <v>60.997324599999999</v>
      </c>
      <c r="H18" s="88">
        <v>63.574538539816245</v>
      </c>
      <c r="I18" s="88">
        <v>4.0538461538461599</v>
      </c>
      <c r="J18" s="88">
        <v>31.701609621082369</v>
      </c>
      <c r="K18" s="88">
        <v>642.76539505761036</v>
      </c>
      <c r="L18" s="90"/>
      <c r="M18" s="113">
        <v>4.526548721299406</v>
      </c>
      <c r="N18" s="90"/>
      <c r="O18" s="113">
        <v>0.89149734408082715</v>
      </c>
      <c r="P18" s="113">
        <v>0.16145503183719878</v>
      </c>
      <c r="Q18" s="113">
        <v>-9.5513359640386764E-2</v>
      </c>
      <c r="R18" s="113">
        <v>0.25721405031748912</v>
      </c>
      <c r="S18" s="113">
        <v>1.2830978309340768</v>
      </c>
      <c r="T18" s="14">
        <v>2.1255580237895533</v>
      </c>
      <c r="V18" s="34"/>
      <c r="W18" s="34"/>
      <c r="X18" s="34"/>
      <c r="Y18" s="34"/>
    </row>
    <row r="19" spans="1:42" x14ac:dyDescent="0.25">
      <c r="A19" s="23"/>
      <c r="B19" s="8" t="s">
        <v>101</v>
      </c>
      <c r="C19" s="54"/>
      <c r="D19" s="91">
        <v>679883.78690515074</v>
      </c>
      <c r="E19" s="90"/>
      <c r="F19" s="91">
        <v>54472</v>
      </c>
      <c r="G19" s="88">
        <v>60.980676799999998</v>
      </c>
      <c r="H19" s="88">
        <v>63.564322028411297</v>
      </c>
      <c r="I19" s="88">
        <v>4.064615384615391</v>
      </c>
      <c r="J19" s="88">
        <v>31.765218839217155</v>
      </c>
      <c r="K19" s="88">
        <v>644.34323275767531</v>
      </c>
      <c r="L19" s="90"/>
      <c r="M19" s="113">
        <v>3.7337753606493829</v>
      </c>
      <c r="N19" s="90"/>
      <c r="O19" s="113">
        <v>0.96943409516394574</v>
      </c>
      <c r="P19" s="113">
        <v>-4.9168936339150093E-2</v>
      </c>
      <c r="Q19" s="113">
        <v>-8.6034645546750887E-2</v>
      </c>
      <c r="R19" s="113">
        <v>3.689740916017481E-2</v>
      </c>
      <c r="S19" s="113">
        <v>1.1953451392709535</v>
      </c>
      <c r="T19" s="14">
        <v>1.574178076826338</v>
      </c>
      <c r="V19" s="34"/>
      <c r="W19" s="34"/>
      <c r="X19" s="34"/>
      <c r="Y19" s="34"/>
    </row>
    <row r="20" spans="1:42" x14ac:dyDescent="0.25">
      <c r="A20" s="23"/>
      <c r="B20" s="8" t="s">
        <v>102</v>
      </c>
      <c r="C20" s="54"/>
      <c r="D20" s="91">
        <v>683626.89808163617</v>
      </c>
      <c r="E20" s="90"/>
      <c r="F20" s="91">
        <v>54636</v>
      </c>
      <c r="G20" s="88">
        <v>60.969701399999998</v>
      </c>
      <c r="H20" s="88">
        <v>63.560016553468841</v>
      </c>
      <c r="I20" s="88">
        <v>4.0753846153846212</v>
      </c>
      <c r="J20" s="88">
        <v>31.813872923115955</v>
      </c>
      <c r="K20" s="88">
        <v>645.07414532970347</v>
      </c>
      <c r="L20" s="90"/>
      <c r="M20" s="113">
        <v>3.1113315888547932</v>
      </c>
      <c r="N20" s="90"/>
      <c r="O20" s="113">
        <v>1.041185064634842</v>
      </c>
      <c r="P20" s="113">
        <v>-0.11014610118537105</v>
      </c>
      <c r="Q20" s="113">
        <v>-6.5288537683005909E-2</v>
      </c>
      <c r="R20" s="113">
        <v>-4.4886901040419591E-2</v>
      </c>
      <c r="S20" s="113">
        <v>0.96436979725786909</v>
      </c>
      <c r="T20" s="14">
        <v>1.1855385663806173</v>
      </c>
      <c r="V20" s="34"/>
      <c r="W20" s="34"/>
      <c r="X20" s="34"/>
      <c r="Y20" s="34"/>
    </row>
    <row r="21" spans="1:42" x14ac:dyDescent="0.25">
      <c r="A21" s="23"/>
      <c r="B21" s="8" t="s">
        <v>103</v>
      </c>
      <c r="C21" s="54"/>
      <c r="D21" s="91">
        <v>684745.58160629414</v>
      </c>
      <c r="E21" s="90"/>
      <c r="F21" s="91">
        <v>54799</v>
      </c>
      <c r="G21" s="88">
        <v>60.955292499999999</v>
      </c>
      <c r="H21" s="88">
        <v>63.552130329739782</v>
      </c>
      <c r="I21" s="88">
        <v>4.0861538461538531</v>
      </c>
      <c r="J21" s="88">
        <v>31.851070332493201</v>
      </c>
      <c r="K21" s="88">
        <v>643.60758622504159</v>
      </c>
      <c r="L21" s="90"/>
      <c r="M21" s="113">
        <v>2.3824196149871302</v>
      </c>
      <c r="N21" s="90"/>
      <c r="O21" s="113">
        <v>1.108897007269638</v>
      </c>
      <c r="P21" s="113">
        <v>-9.7341156636865378E-2</v>
      </c>
      <c r="Q21" s="113">
        <v>-5.247274723526596E-2</v>
      </c>
      <c r="R21" s="113">
        <v>-4.4891938690438948E-2</v>
      </c>
      <c r="S21" s="113">
        <v>0.73555144138146566</v>
      </c>
      <c r="T21" s="14">
        <v>0.61812063387081118</v>
      </c>
      <c r="V21" s="34"/>
      <c r="W21" s="34"/>
      <c r="X21" s="34"/>
      <c r="Y21" s="34"/>
    </row>
    <row r="22" spans="1:42" x14ac:dyDescent="0.25">
      <c r="A22" s="23"/>
      <c r="B22" s="8" t="s">
        <v>104</v>
      </c>
      <c r="C22" s="54"/>
      <c r="D22" s="91">
        <v>687009.12808156188</v>
      </c>
      <c r="E22" s="90"/>
      <c r="F22" s="91">
        <v>54963</v>
      </c>
      <c r="G22" s="88">
        <v>60.938049499999998</v>
      </c>
      <c r="H22" s="88">
        <v>63.541287105422711</v>
      </c>
      <c r="I22" s="88">
        <v>4.0969230769230833</v>
      </c>
      <c r="J22" s="88">
        <v>31.879498501442736</v>
      </c>
      <c r="K22" s="88">
        <v>643.4162841929691</v>
      </c>
      <c r="L22" s="90"/>
      <c r="M22" s="113">
        <v>1.7518159248623988</v>
      </c>
      <c r="N22" s="90"/>
      <c r="O22" s="113">
        <v>1.1800007363499176</v>
      </c>
      <c r="P22" s="113">
        <v>-9.7176557150180365E-2</v>
      </c>
      <c r="Q22" s="113">
        <v>-5.2303068425274546E-2</v>
      </c>
      <c r="R22" s="113">
        <v>-4.4896977471320376E-2</v>
      </c>
      <c r="S22" s="113">
        <v>0.5611351678561638</v>
      </c>
      <c r="T22" s="14">
        <v>0.10126387331421682</v>
      </c>
      <c r="V22" s="34"/>
      <c r="W22" s="34"/>
      <c r="X22" s="34"/>
      <c r="Y22" s="34"/>
    </row>
    <row r="23" spans="1:42" x14ac:dyDescent="0.25">
      <c r="A23" s="23"/>
      <c r="B23" s="8" t="s">
        <v>105</v>
      </c>
      <c r="C23" s="54"/>
      <c r="D23" s="91">
        <v>687484.4718202115</v>
      </c>
      <c r="E23" s="90"/>
      <c r="F23" s="91">
        <v>55126</v>
      </c>
      <c r="G23" s="88">
        <v>60.928696100000003</v>
      </c>
      <c r="H23" s="88">
        <v>63.538669097381614</v>
      </c>
      <c r="I23" s="88">
        <v>4.1076923076923135</v>
      </c>
      <c r="J23" s="88">
        <v>31.901218762558777</v>
      </c>
      <c r="K23" s="88">
        <v>641.61905492995083</v>
      </c>
      <c r="L23" s="90"/>
      <c r="M23" s="113">
        <v>1.1179388391741707</v>
      </c>
      <c r="N23" s="90"/>
      <c r="O23" s="113">
        <v>1.200616830665302</v>
      </c>
      <c r="P23" s="113">
        <v>-8.5241264491831004E-2</v>
      </c>
      <c r="Q23" s="113">
        <v>-4.0357436705162897E-2</v>
      </c>
      <c r="R23" s="113">
        <v>-4.4902017383496862E-2</v>
      </c>
      <c r="S23" s="113">
        <v>0.42814099292058927</v>
      </c>
      <c r="T23" s="14">
        <v>-0.42278364840823146</v>
      </c>
      <c r="V23" s="34"/>
      <c r="W23" s="34"/>
      <c r="X23" s="34"/>
      <c r="Y23" s="34"/>
    </row>
    <row r="24" spans="1:42" x14ac:dyDescent="0.25">
      <c r="A24" s="23"/>
      <c r="B24" s="8" t="s">
        <v>106</v>
      </c>
      <c r="C24" s="54"/>
      <c r="D24" s="91">
        <v>686764.04370757297</v>
      </c>
      <c r="E24" s="90"/>
      <c r="F24" s="91">
        <v>55290</v>
      </c>
      <c r="G24" s="88">
        <v>60.919343300000001</v>
      </c>
      <c r="H24" s="88">
        <v>63.536051089340496</v>
      </c>
      <c r="I24" s="88">
        <v>4.1184615384615437</v>
      </c>
      <c r="J24" s="88">
        <v>31.917810411144213</v>
      </c>
      <c r="K24" s="88">
        <v>638.8113968315098</v>
      </c>
      <c r="L24" s="90"/>
      <c r="M24" s="113">
        <v>0.45889733635995356</v>
      </c>
      <c r="N24" s="90"/>
      <c r="O24" s="113">
        <v>1.1970129584889078</v>
      </c>
      <c r="P24" s="113">
        <v>-8.2595287238851345E-2</v>
      </c>
      <c r="Q24" s="113">
        <v>-3.7705251552577757E-2</v>
      </c>
      <c r="R24" s="113">
        <v>-4.4907058427290369E-2</v>
      </c>
      <c r="S24" s="113">
        <v>0.32670491982991212</v>
      </c>
      <c r="T24" s="14">
        <v>-0.97085715549686258</v>
      </c>
      <c r="V24" s="34"/>
      <c r="W24" s="34"/>
      <c r="X24" s="34"/>
      <c r="Y24" s="34"/>
    </row>
    <row r="25" spans="1:42" x14ac:dyDescent="0.25">
      <c r="A25" s="23"/>
      <c r="B25" s="8" t="s">
        <v>107</v>
      </c>
      <c r="C25" s="54"/>
      <c r="D25" s="91">
        <v>692070.59114289621</v>
      </c>
      <c r="E25" s="90"/>
      <c r="F25" s="91">
        <v>55454</v>
      </c>
      <c r="G25" s="88">
        <v>60.909990999999998</v>
      </c>
      <c r="H25" s="88">
        <v>63.5334330812994</v>
      </c>
      <c r="I25" s="88">
        <v>4.1292307692307757</v>
      </c>
      <c r="J25" s="88">
        <v>31.930482378938624</v>
      </c>
      <c r="K25" s="88">
        <v>641.68738518671375</v>
      </c>
      <c r="L25" s="90"/>
      <c r="M25" s="113">
        <v>1.0697417746630578</v>
      </c>
      <c r="N25" s="90"/>
      <c r="O25" s="113">
        <v>1.1952772860818639</v>
      </c>
      <c r="P25" s="113">
        <v>-7.4319223388197297E-2</v>
      </c>
      <c r="Q25" s="113">
        <v>-2.9420333108221008E-2</v>
      </c>
      <c r="R25" s="113">
        <v>-4.4912100603111682E-2</v>
      </c>
      <c r="S25" s="113">
        <v>0.24932300741056235</v>
      </c>
      <c r="T25" s="14">
        <v>-0.29834965892655552</v>
      </c>
      <c r="V25" s="34"/>
      <c r="W25" s="34"/>
      <c r="X25" s="34"/>
      <c r="Y25" s="34"/>
      <c r="AK25" s="80"/>
      <c r="AL25" s="80"/>
      <c r="AM25" s="80"/>
      <c r="AN25" s="80"/>
      <c r="AO25" s="80"/>
      <c r="AP25" s="80"/>
    </row>
    <row r="26" spans="1:42" x14ac:dyDescent="0.25">
      <c r="A26" s="23"/>
      <c r="B26" s="8" t="s">
        <v>108</v>
      </c>
      <c r="C26" s="54"/>
      <c r="D26" s="91">
        <v>696775.4865350211</v>
      </c>
      <c r="E26" s="90"/>
      <c r="F26" s="91">
        <v>55617</v>
      </c>
      <c r="G26" s="88">
        <v>60.900639300000002</v>
      </c>
      <c r="H26" s="88">
        <v>63.530815073258303</v>
      </c>
      <c r="I26" s="88">
        <v>4.1400000000000059</v>
      </c>
      <c r="J26" s="88">
        <v>31.940159477261279</v>
      </c>
      <c r="K26" s="88">
        <v>644.06006567326335</v>
      </c>
      <c r="L26" s="90"/>
      <c r="M26" s="113">
        <v>1.4215762286494238</v>
      </c>
      <c r="N26" s="90"/>
      <c r="O26" s="113">
        <v>1.1898913814748058</v>
      </c>
      <c r="P26" s="113">
        <v>-6.1390543850592394E-2</v>
      </c>
      <c r="Q26" s="113">
        <v>-1.6480673655594469E-2</v>
      </c>
      <c r="R26" s="113">
        <v>-4.4917143911327173E-2</v>
      </c>
      <c r="S26" s="113">
        <v>0.19028208933649093</v>
      </c>
      <c r="T26" s="14">
        <v>0.10005675891491261</v>
      </c>
      <c r="V26" s="34"/>
      <c r="W26" s="34"/>
      <c r="X26" s="34"/>
      <c r="Y26" s="34"/>
      <c r="AK26" s="80"/>
      <c r="AL26" s="80"/>
      <c r="AM26" s="80"/>
      <c r="AN26" s="80"/>
      <c r="AO26" s="80"/>
      <c r="AP26" s="80"/>
    </row>
    <row r="27" spans="1:42" x14ac:dyDescent="0.25">
      <c r="A27" s="23"/>
      <c r="B27" s="8" t="s">
        <v>109</v>
      </c>
      <c r="C27" s="54"/>
      <c r="D27" s="91">
        <v>698598.70439682016</v>
      </c>
      <c r="E27" s="90"/>
      <c r="F27" s="91">
        <v>55771</v>
      </c>
      <c r="G27" s="88">
        <v>60.898129699999998</v>
      </c>
      <c r="H27" s="88">
        <v>63.528197065217185</v>
      </c>
      <c r="I27" s="88">
        <v>4.1400000000000059</v>
      </c>
      <c r="J27" s="88">
        <v>31.947548814008407</v>
      </c>
      <c r="K27" s="88">
        <v>643.83984027249664</v>
      </c>
      <c r="L27" s="90"/>
      <c r="M27" s="113">
        <v>1.6166521619291441</v>
      </c>
      <c r="N27" s="90"/>
      <c r="O27" s="113">
        <v>1.1700468018720711</v>
      </c>
      <c r="P27" s="113">
        <v>-5.0167494065256335E-2</v>
      </c>
      <c r="Q27" s="113">
        <v>-1.6481352715114195E-2</v>
      </c>
      <c r="R27" s="113">
        <v>-3.3691641264232963E-2</v>
      </c>
      <c r="S27" s="113">
        <v>0.14522972239545684</v>
      </c>
      <c r="T27" s="14">
        <v>0.34612209931768056</v>
      </c>
      <c r="V27" s="34"/>
      <c r="W27" s="34"/>
      <c r="X27" s="34"/>
      <c r="Y27" s="34"/>
      <c r="AK27" s="80"/>
      <c r="AL27" s="80"/>
      <c r="AM27" s="80"/>
      <c r="AN27" s="80"/>
      <c r="AO27" s="80"/>
      <c r="AP27" s="80"/>
    </row>
    <row r="28" spans="1:42" x14ac:dyDescent="0.25">
      <c r="A28" s="23"/>
      <c r="B28" s="8" t="s">
        <v>110</v>
      </c>
      <c r="C28" s="54"/>
      <c r="D28" s="91">
        <v>702537.76765372488</v>
      </c>
      <c r="E28" s="90"/>
      <c r="F28" s="91">
        <v>55918</v>
      </c>
      <c r="G28" s="88">
        <v>60.895620100000002</v>
      </c>
      <c r="H28" s="88">
        <v>63.525579057176088</v>
      </c>
      <c r="I28" s="88">
        <v>4.1400000000000059</v>
      </c>
      <c r="J28" s="88">
        <v>31.953190834058592</v>
      </c>
      <c r="K28" s="88">
        <v>645.68062748325872</v>
      </c>
      <c r="L28" s="90"/>
      <c r="M28" s="113">
        <v>2.296818549351487</v>
      </c>
      <c r="N28" s="90"/>
      <c r="O28" s="113">
        <v>1.1358292638813605</v>
      </c>
      <c r="P28" s="113">
        <v>-3.8941982488505111E-2</v>
      </c>
      <c r="Q28" s="113">
        <v>-1.648203183053365E-2</v>
      </c>
      <c r="R28" s="113">
        <v>-2.2463616963230848E-2</v>
      </c>
      <c r="S28" s="113">
        <v>0.11084852769858156</v>
      </c>
      <c r="T28" s="14">
        <v>1.0753143550381372</v>
      </c>
      <c r="V28" s="34"/>
      <c r="W28" s="34"/>
      <c r="X28" s="34"/>
      <c r="Y28" s="34"/>
      <c r="AK28" s="80"/>
      <c r="AL28" s="93"/>
      <c r="AM28" s="92"/>
      <c r="AN28" s="92"/>
      <c r="AO28" s="92"/>
      <c r="AP28" s="80"/>
    </row>
    <row r="29" spans="1:42" x14ac:dyDescent="0.25">
      <c r="A29" s="23"/>
      <c r="B29" s="8" t="s">
        <v>111</v>
      </c>
      <c r="C29" s="54"/>
      <c r="D29" s="91">
        <v>707280.22530677938</v>
      </c>
      <c r="E29" s="90"/>
      <c r="F29" s="91">
        <v>56065</v>
      </c>
      <c r="G29" s="88">
        <v>60.893110499999999</v>
      </c>
      <c r="H29" s="88">
        <v>63.522961049134985</v>
      </c>
      <c r="I29" s="88">
        <v>4.1400000000000059</v>
      </c>
      <c r="J29" s="88">
        <v>31.955498480200248</v>
      </c>
      <c r="K29" s="88">
        <v>648.31479728939223</v>
      </c>
      <c r="L29" s="90"/>
      <c r="M29" s="113">
        <v>2.1976998240549106</v>
      </c>
      <c r="N29" s="90"/>
      <c r="O29" s="113">
        <v>1.1018141162044248</v>
      </c>
      <c r="P29" s="113">
        <v>-2.7713844186905146E-2</v>
      </c>
      <c r="Q29" s="113">
        <v>-1.6482711001963857E-2</v>
      </c>
      <c r="R29" s="113">
        <v>-1.1233070158545022E-2</v>
      </c>
      <c r="S29" s="113">
        <v>7.8345516252276148E-2</v>
      </c>
      <c r="T29" s="14">
        <v>1.0328100965784293</v>
      </c>
      <c r="V29" s="34"/>
      <c r="W29" s="34"/>
      <c r="X29" s="34"/>
      <c r="Y29" s="34"/>
      <c r="AK29" s="80"/>
      <c r="AL29" s="93"/>
      <c r="AM29" s="92"/>
      <c r="AN29" s="92"/>
      <c r="AO29" s="92"/>
      <c r="AP29" s="80"/>
    </row>
    <row r="30" spans="1:42" x14ac:dyDescent="0.25">
      <c r="A30" s="23"/>
      <c r="B30" s="8" t="s">
        <v>112</v>
      </c>
      <c r="C30" s="54"/>
      <c r="D30" s="91">
        <v>709095.85179218685</v>
      </c>
      <c r="E30" s="90"/>
      <c r="F30" s="91">
        <v>56213</v>
      </c>
      <c r="G30" s="88">
        <v>60.890600800000001</v>
      </c>
      <c r="H30" s="88">
        <v>63.520343041093902</v>
      </c>
      <c r="I30" s="88">
        <v>4.1400000000000059</v>
      </c>
      <c r="J30" s="88">
        <v>31.957260169359721</v>
      </c>
      <c r="K30" s="88">
        <v>648.25874395360916</v>
      </c>
      <c r="L30" s="90"/>
      <c r="M30" s="113">
        <v>1.7681972881154806</v>
      </c>
      <c r="N30" s="90"/>
      <c r="O30" s="113">
        <v>1.0716147940377896</v>
      </c>
      <c r="P30" s="113">
        <v>-1.6483406603584605E-2</v>
      </c>
      <c r="Q30" s="113">
        <v>-1.6483390229338202E-2</v>
      </c>
      <c r="R30" s="113">
        <v>0</v>
      </c>
      <c r="S30" s="113">
        <v>5.3539783076583802E-2</v>
      </c>
      <c r="T30" s="14">
        <v>0.65190787383422322</v>
      </c>
      <c r="V30" s="34"/>
      <c r="W30" s="34"/>
      <c r="X30" s="34"/>
      <c r="Y30" s="34"/>
      <c r="AK30" s="80"/>
      <c r="AL30" s="93"/>
      <c r="AM30" s="92"/>
      <c r="AN30" s="92"/>
      <c r="AO30" s="92"/>
      <c r="AP30" s="80"/>
    </row>
    <row r="31" spans="1:42" x14ac:dyDescent="0.25">
      <c r="A31" s="23"/>
      <c r="B31" s="8" t="s">
        <v>113</v>
      </c>
      <c r="C31" s="54"/>
      <c r="D31" s="91">
        <v>710518.95720515237</v>
      </c>
      <c r="E31" s="90"/>
      <c r="F31" s="91">
        <v>56351</v>
      </c>
      <c r="G31" s="88">
        <v>60.884581500000003</v>
      </c>
      <c r="H31" s="88">
        <v>63.514063736778581</v>
      </c>
      <c r="I31" s="88">
        <v>4.1400000000000059</v>
      </c>
      <c r="J31" s="88">
        <v>31.949985597988626</v>
      </c>
      <c r="K31" s="88">
        <v>648.18063274752046</v>
      </c>
      <c r="L31" s="90"/>
      <c r="M31" s="113">
        <v>1.7063090345442733</v>
      </c>
      <c r="N31" s="90"/>
      <c r="O31" s="113">
        <v>1.0399670079431989</v>
      </c>
      <c r="P31" s="113">
        <v>-2.2247317063328609E-2</v>
      </c>
      <c r="Q31" s="113">
        <v>-2.2247331250557778E-2</v>
      </c>
      <c r="R31" s="113">
        <v>0</v>
      </c>
      <c r="S31" s="113">
        <v>7.6274520915742272E-3</v>
      </c>
      <c r="T31" s="14">
        <v>0.67420376986715436</v>
      </c>
      <c r="V31" s="34"/>
      <c r="W31" s="34"/>
      <c r="X31" s="34"/>
      <c r="Y31" s="34"/>
      <c r="AK31" s="80"/>
      <c r="AL31" s="93"/>
      <c r="AM31" s="92"/>
      <c r="AN31" s="92"/>
      <c r="AO31" s="92"/>
      <c r="AP31" s="80"/>
    </row>
    <row r="32" spans="1:42" x14ac:dyDescent="0.25">
      <c r="A32" s="23"/>
      <c r="B32" s="8" t="s">
        <v>114</v>
      </c>
      <c r="C32" s="54"/>
      <c r="D32" s="91">
        <v>711591.98806828621</v>
      </c>
      <c r="E32" s="90"/>
      <c r="F32" s="91">
        <v>56485</v>
      </c>
      <c r="G32" s="88">
        <v>60.872005199999997</v>
      </c>
      <c r="H32" s="88">
        <v>63.500944260334002</v>
      </c>
      <c r="I32" s="88">
        <v>4.1400000000000059</v>
      </c>
      <c r="J32" s="88">
        <v>31.948103981079864</v>
      </c>
      <c r="K32" s="88">
        <v>647.79146154931107</v>
      </c>
      <c r="L32" s="90"/>
      <c r="M32" s="113">
        <v>1.288787710986683</v>
      </c>
      <c r="N32" s="90"/>
      <c r="O32" s="113">
        <v>1.0139847634035526</v>
      </c>
      <c r="P32" s="113">
        <v>-3.8779307873415547E-2</v>
      </c>
      <c r="Q32" s="113">
        <v>-3.8779334573102453E-2</v>
      </c>
      <c r="R32" s="113">
        <v>0</v>
      </c>
      <c r="S32" s="113">
        <v>-1.5919702683675485E-2</v>
      </c>
      <c r="T32" s="14">
        <v>0.32691612171793505</v>
      </c>
      <c r="V32" s="34"/>
      <c r="W32" s="34"/>
      <c r="X32" s="34"/>
      <c r="Y32" s="34"/>
      <c r="AK32" s="80"/>
      <c r="AL32" s="93"/>
      <c r="AM32" s="92"/>
      <c r="AN32" s="92"/>
      <c r="AO32" s="92"/>
      <c r="AP32" s="80"/>
    </row>
    <row r="33" spans="1:42" x14ac:dyDescent="0.25">
      <c r="A33" s="23"/>
      <c r="B33" s="8" t="s">
        <v>115</v>
      </c>
      <c r="C33" s="54"/>
      <c r="D33" s="91">
        <v>716800.34031647909</v>
      </c>
      <c r="E33" s="90"/>
      <c r="F33" s="91">
        <v>56618</v>
      </c>
      <c r="G33" s="88">
        <v>60.855486200000001</v>
      </c>
      <c r="H33" s="88">
        <v>63.483711884487334</v>
      </c>
      <c r="I33" s="88">
        <v>4.1400000000000059</v>
      </c>
      <c r="J33" s="88">
        <v>31.944904293997649</v>
      </c>
      <c r="K33" s="88">
        <v>651.24192416711401</v>
      </c>
      <c r="L33" s="90"/>
      <c r="M33" s="113">
        <v>1.3460174155965454</v>
      </c>
      <c r="N33" s="90"/>
      <c r="O33" s="113">
        <v>0.98635512351734622</v>
      </c>
      <c r="P33" s="113">
        <v>-6.1787449665584582E-2</v>
      </c>
      <c r="Q33" s="113">
        <v>-6.1787366330878779E-2</v>
      </c>
      <c r="R33" s="113">
        <v>0</v>
      </c>
      <c r="S33" s="113">
        <v>-3.3152936760361129E-2</v>
      </c>
      <c r="T33" s="14">
        <v>0.45149777391477741</v>
      </c>
      <c r="V33" s="34"/>
      <c r="W33" s="34"/>
      <c r="X33" s="34"/>
      <c r="Y33" s="34"/>
      <c r="AK33" s="80"/>
      <c r="AL33" s="93"/>
      <c r="AM33" s="92"/>
      <c r="AN33" s="92"/>
      <c r="AO33" s="92"/>
      <c r="AP33" s="80"/>
    </row>
    <row r="34" spans="1:42" x14ac:dyDescent="0.25">
      <c r="A34" s="23"/>
      <c r="B34" s="8" t="s">
        <v>116</v>
      </c>
      <c r="C34" s="54"/>
      <c r="D34" s="91">
        <v>720511.65065954172</v>
      </c>
      <c r="E34" s="90"/>
      <c r="F34" s="91">
        <v>56752</v>
      </c>
      <c r="G34" s="88">
        <v>60.835024599999997</v>
      </c>
      <c r="H34" s="88">
        <v>63.462366609238558</v>
      </c>
      <c r="I34" s="88">
        <v>4.1400000000000006</v>
      </c>
      <c r="J34" s="88">
        <v>31.94038653674211</v>
      </c>
      <c r="K34" s="88">
        <v>653.38021698984869</v>
      </c>
      <c r="L34" s="90"/>
      <c r="M34" s="113">
        <v>1.6099091312552938</v>
      </c>
      <c r="N34" s="90"/>
      <c r="O34" s="113">
        <v>0.95885293437460994</v>
      </c>
      <c r="P34" s="113">
        <v>-9.1272214873605595E-2</v>
      </c>
      <c r="Q34" s="113">
        <v>-9.1272227257710448E-2</v>
      </c>
      <c r="R34" s="113">
        <v>0</v>
      </c>
      <c r="S34" s="113">
        <v>-5.2800623483328923E-2</v>
      </c>
      <c r="T34" s="14">
        <v>0.79003531907717583</v>
      </c>
      <c r="V34" s="34"/>
      <c r="W34" s="34"/>
      <c r="X34" s="34"/>
      <c r="Y34" s="34"/>
      <c r="AK34" s="80"/>
      <c r="AL34" s="93"/>
      <c r="AM34" s="92"/>
      <c r="AN34" s="92"/>
      <c r="AO34" s="92"/>
      <c r="AP34" s="80"/>
    </row>
    <row r="35" spans="1:42" x14ac:dyDescent="0.25">
      <c r="A35" s="23"/>
      <c r="B35" s="8" t="s">
        <v>117</v>
      </c>
      <c r="C35" s="54"/>
      <c r="D35" s="91">
        <v>722466.23145284352</v>
      </c>
      <c r="E35" s="90"/>
      <c r="F35" s="91">
        <v>56824.088900000002</v>
      </c>
      <c r="G35" s="88">
        <v>60.8163026</v>
      </c>
      <c r="H35" s="88">
        <v>63.442836008232327</v>
      </c>
      <c r="I35" s="88">
        <v>4.1400000000000006</v>
      </c>
      <c r="J35" s="88">
        <v>31.93394584910952</v>
      </c>
      <c r="K35" s="88">
        <v>654.65497716812445</v>
      </c>
      <c r="L35" s="90"/>
      <c r="M35" s="113">
        <v>1.6814856418027269</v>
      </c>
      <c r="N35" s="90"/>
      <c r="O35" s="113">
        <v>0.83953949353161583</v>
      </c>
      <c r="P35" s="113">
        <v>-0.11214481288666089</v>
      </c>
      <c r="Q35" s="113">
        <v>-0.11214481385011243</v>
      </c>
      <c r="R35" s="113">
        <v>0</v>
      </c>
      <c r="S35" s="113">
        <v>-5.0202679528332794E-2</v>
      </c>
      <c r="T35" s="14">
        <v>0.99884879206593169</v>
      </c>
      <c r="V35" s="34"/>
      <c r="W35" s="34"/>
      <c r="X35" s="34"/>
      <c r="Y35" s="34"/>
      <c r="AK35" s="80"/>
      <c r="AL35" s="93"/>
      <c r="AM35" s="92"/>
      <c r="AN35" s="92"/>
      <c r="AO35" s="92"/>
      <c r="AP35" s="80"/>
    </row>
    <row r="36" spans="1:42" x14ac:dyDescent="0.25">
      <c r="A36" s="23"/>
      <c r="B36" s="8" t="s">
        <v>118</v>
      </c>
      <c r="C36" s="54"/>
      <c r="D36" s="214">
        <v>723943.45445656125</v>
      </c>
      <c r="E36" s="90"/>
      <c r="F36" s="91">
        <v>56896.177799999998</v>
      </c>
      <c r="G36" s="88">
        <v>60.799320100000003</v>
      </c>
      <c r="H36" s="88">
        <v>63.425120081468627</v>
      </c>
      <c r="I36" s="88">
        <v>4.1400000000000006</v>
      </c>
      <c r="J36" s="88">
        <v>31.925582231099977</v>
      </c>
      <c r="K36" s="88">
        <v>655.51706909495488</v>
      </c>
      <c r="L36" s="90"/>
      <c r="M36" s="113">
        <v>1.735751188234258</v>
      </c>
      <c r="N36" s="90"/>
      <c r="O36" s="113">
        <v>0.72794157740991849</v>
      </c>
      <c r="P36" s="113">
        <v>-0.11940644925558797</v>
      </c>
      <c r="Q36" s="113">
        <v>-0.11940638009180216</v>
      </c>
      <c r="R36" s="113">
        <v>0</v>
      </c>
      <c r="S36" s="113">
        <v>-7.0494793660447197E-2</v>
      </c>
      <c r="T36" s="14">
        <v>1.1926071898457291</v>
      </c>
      <c r="V36" s="34"/>
      <c r="W36" s="34"/>
      <c r="X36" s="34"/>
      <c r="Y36" s="34"/>
      <c r="AK36" s="80"/>
      <c r="AL36" s="93"/>
      <c r="AM36" s="92"/>
      <c r="AN36" s="92"/>
      <c r="AO36" s="92"/>
      <c r="AP36" s="80"/>
    </row>
    <row r="37" spans="1:42" x14ac:dyDescent="0.25">
      <c r="A37" s="23"/>
      <c r="B37" s="8" t="s">
        <v>119</v>
      </c>
      <c r="C37" s="54"/>
      <c r="D37" s="214">
        <v>725440.78038939973</v>
      </c>
      <c r="E37" s="90"/>
      <c r="F37" s="91">
        <v>56968.2667</v>
      </c>
      <c r="G37" s="88">
        <v>60.784077199999999</v>
      </c>
      <c r="H37" s="88">
        <v>63.409218828947267</v>
      </c>
      <c r="I37" s="88">
        <v>4.1400000000000006</v>
      </c>
      <c r="J37" s="88">
        <v>31.915295682713289</v>
      </c>
      <c r="K37" s="88">
        <v>656.41766530400355</v>
      </c>
      <c r="L37" s="90"/>
      <c r="M37" s="113">
        <v>1.2054179646602492</v>
      </c>
      <c r="N37" s="90"/>
      <c r="O37" s="113">
        <v>0.61864901621393464</v>
      </c>
      <c r="P37" s="113">
        <v>-0.11734192668401144</v>
      </c>
      <c r="Q37" s="113">
        <v>-0.11734199738605566</v>
      </c>
      <c r="R37" s="113">
        <v>0</v>
      </c>
      <c r="S37" s="113">
        <v>-9.2686492380333885E-2</v>
      </c>
      <c r="T37" s="14">
        <v>0.79474937727770367</v>
      </c>
      <c r="V37" s="34"/>
      <c r="W37" s="34"/>
      <c r="X37" s="34"/>
      <c r="Y37" s="34"/>
      <c r="AK37" s="80"/>
      <c r="AL37" s="93"/>
      <c r="AM37" s="92"/>
      <c r="AN37" s="92"/>
      <c r="AO37" s="92"/>
      <c r="AP37" s="80"/>
    </row>
    <row r="38" spans="1:42" x14ac:dyDescent="0.25">
      <c r="A38" s="23"/>
      <c r="B38" s="8" t="s">
        <v>120</v>
      </c>
      <c r="C38" s="54"/>
      <c r="D38" s="214">
        <v>726950.92675054865</v>
      </c>
      <c r="E38" s="90"/>
      <c r="F38" s="91">
        <v>57040.355499999998</v>
      </c>
      <c r="G38" s="88">
        <v>60.770573800000001</v>
      </c>
      <c r="H38" s="88">
        <v>63.395132250668361</v>
      </c>
      <c r="I38" s="88">
        <v>4.1400000000000006</v>
      </c>
      <c r="J38" s="88">
        <v>31.903086203949645</v>
      </c>
      <c r="K38" s="88">
        <v>657.35025616293387</v>
      </c>
      <c r="L38" s="90"/>
      <c r="M38" s="113">
        <v>0.89370880888774984</v>
      </c>
      <c r="N38" s="90"/>
      <c r="O38" s="113">
        <v>0.50809751198195308</v>
      </c>
      <c r="P38" s="113">
        <v>-0.10594357514239761</v>
      </c>
      <c r="Q38" s="113">
        <v>-0.10594366734569816</v>
      </c>
      <c r="R38" s="113">
        <v>0</v>
      </c>
      <c r="S38" s="113">
        <v>-0.11678109389677838</v>
      </c>
      <c r="T38" s="14">
        <v>0.60761545419532048</v>
      </c>
      <c r="V38" s="34"/>
      <c r="W38" s="34"/>
      <c r="X38" s="34"/>
      <c r="Y38" s="34"/>
      <c r="AK38" s="80"/>
      <c r="AL38" s="93"/>
      <c r="AM38" s="92"/>
      <c r="AN38" s="92"/>
      <c r="AO38" s="92"/>
      <c r="AP38" s="80"/>
    </row>
    <row r="39" spans="1:42" x14ac:dyDescent="0.25">
      <c r="A39" s="23"/>
      <c r="B39" s="8" t="s">
        <v>121</v>
      </c>
      <c r="C39" s="54"/>
      <c r="D39" s="214">
        <v>728599.87234333681</v>
      </c>
      <c r="E39" s="90"/>
      <c r="F39" s="91">
        <v>57119.513099999996</v>
      </c>
      <c r="G39" s="88">
        <v>60.757395099999997</v>
      </c>
      <c r="H39" s="88">
        <v>63.381384374067473</v>
      </c>
      <c r="I39" s="88">
        <v>4.1400000000000006</v>
      </c>
      <c r="J39" s="88">
        <v>31.890174945024508</v>
      </c>
      <c r="K39" s="88">
        <v>658.33742911841443</v>
      </c>
      <c r="L39" s="90"/>
      <c r="M39" s="113">
        <v>0.84898651638829481</v>
      </c>
      <c r="N39" s="90"/>
      <c r="O39" s="113">
        <v>0.51989254155906384</v>
      </c>
      <c r="P39" s="113">
        <v>-9.6861363617328777E-2</v>
      </c>
      <c r="Q39" s="113">
        <v>-9.6861423655270062E-2</v>
      </c>
      <c r="R39" s="113">
        <v>0</v>
      </c>
      <c r="S39" s="113">
        <v>-0.13706700791638049</v>
      </c>
      <c r="T39" s="14">
        <v>0.56250270428239713</v>
      </c>
      <c r="V39" s="34"/>
      <c r="W39" s="34"/>
      <c r="X39" s="34"/>
      <c r="Y39" s="34"/>
      <c r="AK39" s="80"/>
      <c r="AL39" s="93"/>
      <c r="AM39" s="92"/>
      <c r="AN39" s="92"/>
      <c r="AO39" s="92"/>
      <c r="AP39" s="80"/>
    </row>
    <row r="40" spans="1:42" x14ac:dyDescent="0.25">
      <c r="A40" s="23"/>
      <c r="B40" s="8" t="s">
        <v>122</v>
      </c>
      <c r="C40" s="54"/>
      <c r="D40" s="214">
        <v>730857.23168824485</v>
      </c>
      <c r="E40" s="90"/>
      <c r="F40" s="91">
        <v>57198.670599999998</v>
      </c>
      <c r="G40" s="88">
        <v>60.744540999999998</v>
      </c>
      <c r="H40" s="88">
        <v>63.367975199144738</v>
      </c>
      <c r="I40" s="88">
        <v>4.1400000000000006</v>
      </c>
      <c r="J40" s="88">
        <v>31.876561905938075</v>
      </c>
      <c r="K40" s="88">
        <v>659.88443539626667</v>
      </c>
      <c r="L40" s="90"/>
      <c r="M40" s="113">
        <v>0.95501619485924838</v>
      </c>
      <c r="N40" s="90"/>
      <c r="O40" s="113">
        <v>0.53165750617434337</v>
      </c>
      <c r="P40" s="113">
        <v>-9.0098211476552503E-2</v>
      </c>
      <c r="Q40" s="113">
        <v>-9.0098185467346603E-2</v>
      </c>
      <c r="R40" s="113">
        <v>0</v>
      </c>
      <c r="S40" s="113">
        <v>-0.15354559489959563</v>
      </c>
      <c r="T40" s="14">
        <v>0.66624753301109951</v>
      </c>
      <c r="V40" s="34"/>
      <c r="W40" s="34"/>
      <c r="X40" s="34"/>
      <c r="Y40" s="34"/>
      <c r="AK40" s="80"/>
      <c r="AL40" s="93"/>
      <c r="AM40" s="92"/>
      <c r="AN40" s="92"/>
      <c r="AO40" s="92"/>
      <c r="AP40" s="80"/>
    </row>
    <row r="41" spans="1:42" x14ac:dyDescent="0.25">
      <c r="A41" s="23"/>
      <c r="B41" s="8" t="s">
        <v>123</v>
      </c>
      <c r="C41" s="54"/>
      <c r="D41" s="214">
        <v>733407.52642574674</v>
      </c>
      <c r="E41" s="90"/>
      <c r="F41" s="91">
        <v>57277.828099999999</v>
      </c>
      <c r="G41" s="88">
        <v>60.732011700000001</v>
      </c>
      <c r="H41" s="88">
        <v>63.354904725900127</v>
      </c>
      <c r="I41" s="88">
        <v>4.1400000000000006</v>
      </c>
      <c r="J41" s="88">
        <v>31.862247086690346</v>
      </c>
      <c r="K41" s="88">
        <v>661.70551256976273</v>
      </c>
      <c r="L41" s="90"/>
      <c r="M41" s="113">
        <v>1.0981938500990607</v>
      </c>
      <c r="N41" s="90"/>
      <c r="O41" s="113">
        <v>0.54339269549865676</v>
      </c>
      <c r="P41" s="113">
        <v>-8.5656478469986475E-2</v>
      </c>
      <c r="Q41" s="113">
        <v>-8.5656477165663159E-2</v>
      </c>
      <c r="R41" s="113">
        <v>0</v>
      </c>
      <c r="S41" s="113">
        <v>-0.16621684019577643</v>
      </c>
      <c r="T41" s="14">
        <v>0.80556138953242762</v>
      </c>
      <c r="V41" s="34"/>
      <c r="W41" s="34"/>
      <c r="X41" s="34"/>
      <c r="Y41" s="34"/>
      <c r="AK41" s="80"/>
      <c r="AL41" s="93"/>
      <c r="AM41" s="92"/>
      <c r="AN41" s="92"/>
      <c r="AO41" s="92"/>
      <c r="AP41" s="80"/>
    </row>
    <row r="42" spans="1:42" x14ac:dyDescent="0.25">
      <c r="A42" s="23"/>
      <c r="B42" s="8" t="s">
        <v>124</v>
      </c>
      <c r="C42" s="54"/>
      <c r="D42" s="214">
        <v>736111.15406708221</v>
      </c>
      <c r="E42" s="90"/>
      <c r="F42" s="91">
        <v>57356.9856</v>
      </c>
      <c r="G42" s="88">
        <v>60.719807000000003</v>
      </c>
      <c r="H42" s="88">
        <v>63.342172954333421</v>
      </c>
      <c r="I42" s="88">
        <v>4.1400000000000006</v>
      </c>
      <c r="J42" s="88">
        <v>31.847230487281131</v>
      </c>
      <c r="K42" s="88">
        <v>663.67433900171375</v>
      </c>
      <c r="L42" s="90"/>
      <c r="M42" s="113">
        <v>1.26008881472639</v>
      </c>
      <c r="N42" s="90"/>
      <c r="O42" s="113">
        <v>0.55509839871177302</v>
      </c>
      <c r="P42" s="113">
        <v>-8.3538457555254464E-2</v>
      </c>
      <c r="Q42" s="113">
        <v>-8.3538427091744971E-2</v>
      </c>
      <c r="R42" s="113">
        <v>0</v>
      </c>
      <c r="S42" s="113">
        <v>-0.17507935223395332</v>
      </c>
      <c r="T42" s="14">
        <v>0.96205679993108806</v>
      </c>
      <c r="V42" s="34"/>
      <c r="W42" s="34"/>
      <c r="X42" s="34"/>
      <c r="Y42" s="34"/>
      <c r="AK42" s="80"/>
      <c r="AL42" s="93"/>
      <c r="AM42" s="92"/>
      <c r="AN42" s="92"/>
      <c r="AO42" s="92"/>
      <c r="AP42" s="80"/>
    </row>
    <row r="43" spans="1:42" x14ac:dyDescent="0.25">
      <c r="A43" s="23"/>
      <c r="B43" s="8" t="s">
        <v>125</v>
      </c>
      <c r="C43" s="54"/>
      <c r="D43" s="214">
        <v>738766.4726402415</v>
      </c>
      <c r="E43" s="90"/>
      <c r="F43" s="91">
        <v>57437.436399999999</v>
      </c>
      <c r="G43" s="88">
        <v>60.709387499999998</v>
      </c>
      <c r="H43" s="88">
        <v>63.331303457640914</v>
      </c>
      <c r="I43" s="88">
        <v>4.1400000000000006</v>
      </c>
      <c r="J43" s="88">
        <v>31.832880185454101</v>
      </c>
      <c r="K43" s="88">
        <v>665.54947270337357</v>
      </c>
      <c r="L43" s="90"/>
      <c r="M43" s="113">
        <v>1.3953612514653102</v>
      </c>
      <c r="N43" s="90"/>
      <c r="O43" s="113">
        <v>0.55659315485308003</v>
      </c>
      <c r="P43" s="113">
        <v>-7.9015237438972985E-2</v>
      </c>
      <c r="Q43" s="113">
        <v>-7.901518233017768E-2</v>
      </c>
      <c r="R43" s="113">
        <v>0</v>
      </c>
      <c r="S43" s="113">
        <v>-0.1796627320771238</v>
      </c>
      <c r="T43" s="14">
        <v>1.0954934758330204</v>
      </c>
      <c r="V43" s="34"/>
      <c r="W43" s="34"/>
      <c r="X43" s="34"/>
      <c r="Y43" s="34"/>
      <c r="AK43" s="80"/>
      <c r="AL43" s="93"/>
      <c r="AM43" s="92"/>
      <c r="AN43" s="92"/>
      <c r="AO43" s="92"/>
      <c r="AP43" s="80"/>
    </row>
    <row r="44" spans="1:42" x14ac:dyDescent="0.25">
      <c r="A44" s="23"/>
      <c r="B44" s="8" t="s">
        <v>126</v>
      </c>
      <c r="C44" s="54"/>
      <c r="D44" s="214">
        <v>741394.66209257941</v>
      </c>
      <c r="E44" s="90"/>
      <c r="F44" s="91">
        <v>57517.887199999997</v>
      </c>
      <c r="G44" s="88">
        <v>60.700753200000001</v>
      </c>
      <c r="H44" s="88">
        <v>63.322296235822471</v>
      </c>
      <c r="I44" s="88">
        <v>4.1400000000000006</v>
      </c>
      <c r="J44" s="88">
        <v>31.819196181209055</v>
      </c>
      <c r="K44" s="88">
        <v>667.36472247865584</v>
      </c>
      <c r="L44" s="90"/>
      <c r="M44" s="113">
        <v>1.4417905368458328</v>
      </c>
      <c r="N44" s="90"/>
      <c r="O44" s="113">
        <v>0.55808394959444563</v>
      </c>
      <c r="P44" s="113">
        <v>-7.2085160706036877E-2</v>
      </c>
      <c r="Q44" s="113">
        <v>-7.208524996847876E-2</v>
      </c>
      <c r="R44" s="113">
        <v>0</v>
      </c>
      <c r="S44" s="113">
        <v>-0.17996208279392745</v>
      </c>
      <c r="T44" s="14">
        <v>1.1335753173049357</v>
      </c>
      <c r="V44" s="34"/>
      <c r="W44" s="34"/>
      <c r="X44" s="34"/>
      <c r="Y44" s="34"/>
      <c r="AK44" s="80"/>
      <c r="AL44" s="93"/>
      <c r="AM44" s="92"/>
      <c r="AN44" s="92"/>
      <c r="AO44" s="92"/>
      <c r="AP44" s="80"/>
    </row>
    <row r="45" spans="1:42" x14ac:dyDescent="0.25">
      <c r="A45" s="23"/>
      <c r="B45" s="8" t="s">
        <v>127</v>
      </c>
      <c r="C45" s="54"/>
      <c r="D45" s="214">
        <v>744051.60753212031</v>
      </c>
      <c r="E45" s="90"/>
      <c r="F45" s="91">
        <v>57598.338000000003</v>
      </c>
      <c r="G45" s="88">
        <v>60.693904000000003</v>
      </c>
      <c r="H45" s="88">
        <v>63.315151288878127</v>
      </c>
      <c r="I45" s="88">
        <v>4.1400000000000006</v>
      </c>
      <c r="J45" s="88">
        <v>31.806178474546009</v>
      </c>
      <c r="K45" s="88">
        <v>669.17012201534328</v>
      </c>
      <c r="L45" s="90"/>
      <c r="M45" s="113">
        <v>1.4513187720130771</v>
      </c>
      <c r="N45" s="90"/>
      <c r="O45" s="113">
        <v>0.55957062380305178</v>
      </c>
      <c r="P45" s="113">
        <v>-6.2747303988941461E-2</v>
      </c>
      <c r="Q45" s="113">
        <v>-6.2747213012137593E-2</v>
      </c>
      <c r="R45" s="113">
        <v>0</v>
      </c>
      <c r="S45" s="113">
        <v>-0.17597193315269655</v>
      </c>
      <c r="T45" s="14">
        <v>1.1280863320287882</v>
      </c>
      <c r="V45" s="34"/>
      <c r="W45" s="34"/>
      <c r="X45" s="34"/>
      <c r="Y45" s="34"/>
      <c r="AK45" s="80"/>
      <c r="AL45" s="93"/>
      <c r="AM45" s="92"/>
      <c r="AN45" s="92"/>
      <c r="AO45" s="92"/>
      <c r="AP45" s="80"/>
    </row>
    <row r="46" spans="1:42" x14ac:dyDescent="0.25">
      <c r="A46" s="23"/>
      <c r="B46" s="8" t="s">
        <v>128</v>
      </c>
      <c r="C46" s="54"/>
      <c r="D46" s="214">
        <v>746761.11731197441</v>
      </c>
      <c r="E46" s="90"/>
      <c r="F46" s="91">
        <v>57678.788800000002</v>
      </c>
      <c r="G46" s="88">
        <v>60.6888401</v>
      </c>
      <c r="H46" s="88">
        <v>63.309868616807954</v>
      </c>
      <c r="I46" s="88">
        <v>4.1400000000000006</v>
      </c>
      <c r="J46" s="88">
        <v>31.793827065465145</v>
      </c>
      <c r="K46" s="88">
        <v>670.98671233880509</v>
      </c>
      <c r="L46" s="90"/>
      <c r="M46" s="113">
        <v>1.4467873752557869</v>
      </c>
      <c r="N46" s="90"/>
      <c r="O46" s="113">
        <v>0.56105319453887414</v>
      </c>
      <c r="P46" s="113">
        <v>-5.0999668032547518E-2</v>
      </c>
      <c r="Q46" s="113">
        <v>-5.0999730540912669E-2</v>
      </c>
      <c r="R46" s="113">
        <v>0</v>
      </c>
      <c r="S46" s="113">
        <v>-0.16768623518869097</v>
      </c>
      <c r="T46" s="14">
        <v>1.1018014269001952</v>
      </c>
      <c r="V46" s="34"/>
      <c r="W46" s="34"/>
      <c r="X46" s="34"/>
      <c r="Y46" s="34"/>
      <c r="AK46" s="80"/>
      <c r="AL46" s="93"/>
      <c r="AM46" s="92"/>
      <c r="AN46" s="92"/>
      <c r="AO46" s="92"/>
      <c r="AP46" s="80"/>
    </row>
    <row r="47" spans="1:42" x14ac:dyDescent="0.25">
      <c r="A47" s="23"/>
      <c r="B47" s="8" t="s">
        <v>129</v>
      </c>
      <c r="C47" s="54"/>
      <c r="D47" s="214">
        <v>749479.73415524291</v>
      </c>
      <c r="E47" s="90"/>
      <c r="F47" s="91">
        <v>57761.028400000003</v>
      </c>
      <c r="G47" s="88">
        <v>60.684263700000002</v>
      </c>
      <c r="H47" s="88">
        <v>63.305094629698978</v>
      </c>
      <c r="I47" s="88">
        <v>4.1400000000000006</v>
      </c>
      <c r="J47" s="88">
        <v>31.780065625664712</v>
      </c>
      <c r="K47" s="88">
        <v>672.81257558560446</v>
      </c>
      <c r="L47" s="90"/>
      <c r="M47" s="113">
        <v>1.4501553483760254</v>
      </c>
      <c r="N47" s="90"/>
      <c r="O47" s="113">
        <v>0.56338169020371254</v>
      </c>
      <c r="P47" s="113">
        <v>-4.1383715162657264E-2</v>
      </c>
      <c r="Q47" s="113">
        <v>-4.138368628314737E-2</v>
      </c>
      <c r="R47" s="113">
        <v>0</v>
      </c>
      <c r="S47" s="113">
        <v>-0.16591197366275789</v>
      </c>
      <c r="T47" s="14">
        <v>1.0912942132955461</v>
      </c>
      <c r="V47" s="34"/>
      <c r="W47" s="34"/>
      <c r="X47" s="34"/>
      <c r="Y47" s="34"/>
      <c r="AK47" s="80"/>
      <c r="AL47" s="93"/>
      <c r="AM47" s="92"/>
      <c r="AN47" s="92"/>
      <c r="AO47" s="92"/>
      <c r="AP47" s="80"/>
    </row>
    <row r="48" spans="1:42" x14ac:dyDescent="0.25">
      <c r="A48" s="23"/>
      <c r="B48" s="8" t="s">
        <v>130</v>
      </c>
      <c r="C48" s="54"/>
      <c r="D48" s="214">
        <v>752191.59907871613</v>
      </c>
      <c r="E48" s="90"/>
      <c r="F48" s="91">
        <v>57843.267999999996</v>
      </c>
      <c r="G48" s="88">
        <v>60.680174999999998</v>
      </c>
      <c r="H48" s="88">
        <v>63.300829327551213</v>
      </c>
      <c r="I48" s="88">
        <v>4.1400000000000006</v>
      </c>
      <c r="J48" s="88">
        <v>31.764894155144599</v>
      </c>
      <c r="K48" s="88">
        <v>674.65449785235262</v>
      </c>
      <c r="L48" s="90"/>
      <c r="M48" s="113">
        <v>1.4563008797045418</v>
      </c>
      <c r="N48" s="90"/>
      <c r="O48" s="113">
        <v>0.56570367209176631</v>
      </c>
      <c r="P48" s="113">
        <v>-3.3901062038221852E-2</v>
      </c>
      <c r="Q48" s="113">
        <v>-3.3901026253546629E-2</v>
      </c>
      <c r="R48" s="113">
        <v>0</v>
      </c>
      <c r="S48" s="113">
        <v>-0.17065806991228838</v>
      </c>
      <c r="T48" s="14">
        <v>1.0923225528945979</v>
      </c>
      <c r="V48" s="34"/>
      <c r="W48" s="34"/>
      <c r="X48" s="34"/>
      <c r="Y48" s="34"/>
      <c r="AK48" s="80"/>
      <c r="AL48" s="93"/>
      <c r="AM48" s="92"/>
      <c r="AN48" s="92"/>
      <c r="AO48" s="92"/>
      <c r="AP48" s="80"/>
    </row>
    <row r="49" spans="1:42" x14ac:dyDescent="0.25">
      <c r="A49" s="23"/>
      <c r="B49" s="47" t="s">
        <v>131</v>
      </c>
      <c r="C49" s="54"/>
      <c r="D49" s="214">
        <v>754980.75644715875</v>
      </c>
      <c r="E49" s="90"/>
      <c r="F49" s="91">
        <v>57925.507599999997</v>
      </c>
      <c r="G49" s="88">
        <v>60.679458199999999</v>
      </c>
      <c r="H49" s="88">
        <v>63.300081625239649</v>
      </c>
      <c r="I49" s="88">
        <v>4.1400000000000006</v>
      </c>
      <c r="J49" s="88">
        <v>31.752130542375575</v>
      </c>
      <c r="K49" s="88">
        <v>676.47455890285357</v>
      </c>
      <c r="L49" s="90"/>
      <c r="M49" s="113">
        <v>1.468869740270895</v>
      </c>
      <c r="N49" s="90"/>
      <c r="O49" s="113">
        <v>0.56801916749749104</v>
      </c>
      <c r="P49" s="113">
        <v>-2.3801072344931118E-2</v>
      </c>
      <c r="Q49" s="113">
        <v>-2.3801038664061913E-2</v>
      </c>
      <c r="R49" s="113">
        <v>0</v>
      </c>
      <c r="S49" s="113">
        <v>-0.16992903505741452</v>
      </c>
      <c r="T49" s="14">
        <v>1.0915665011330011</v>
      </c>
      <c r="V49" s="34"/>
      <c r="W49" s="34"/>
      <c r="X49" s="34"/>
      <c r="Y49" s="34"/>
      <c r="AK49" s="80"/>
      <c r="AL49" s="93"/>
      <c r="AM49" s="92"/>
      <c r="AN49" s="92"/>
      <c r="AO49" s="92"/>
      <c r="AP49" s="80"/>
    </row>
    <row r="50" spans="1:42" x14ac:dyDescent="0.25">
      <c r="A50" s="23"/>
      <c r="B50" s="47" t="s">
        <v>132</v>
      </c>
      <c r="C50" s="54"/>
      <c r="D50" s="214">
        <v>757745.41266688239</v>
      </c>
      <c r="E50" s="90"/>
      <c r="F50" s="91">
        <v>58007.747100000001</v>
      </c>
      <c r="G50" s="88">
        <v>60.673066300000002</v>
      </c>
      <c r="H50" s="88">
        <v>63.293413640814315</v>
      </c>
      <c r="I50" s="88">
        <v>4.1400000000000006</v>
      </c>
      <c r="J50" s="88">
        <v>31.740077514513963</v>
      </c>
      <c r="K50" s="88">
        <v>678.31807518408732</v>
      </c>
      <c r="L50" s="90"/>
      <c r="M50" s="113">
        <v>1.4709249183255224</v>
      </c>
      <c r="N50" s="90"/>
      <c r="O50" s="113">
        <v>0.5703280301891489</v>
      </c>
      <c r="P50" s="113">
        <v>-2.599126952171904E-2</v>
      </c>
      <c r="Q50" s="113">
        <v>-2.5991170654982021E-2</v>
      </c>
      <c r="R50" s="113">
        <v>0</v>
      </c>
      <c r="S50" s="113">
        <v>-0.16905656195621566</v>
      </c>
      <c r="T50" s="14">
        <v>1.0926241474630505</v>
      </c>
      <c r="V50" s="34"/>
      <c r="W50" s="34"/>
      <c r="X50" s="34"/>
      <c r="Y50" s="34"/>
      <c r="AK50" s="80"/>
      <c r="AL50" s="93"/>
      <c r="AM50" s="92"/>
      <c r="AN50" s="92"/>
      <c r="AO50" s="92"/>
      <c r="AP50" s="80"/>
    </row>
    <row r="51" spans="1:42" x14ac:dyDescent="0.25">
      <c r="A51" s="23"/>
      <c r="B51" s="47" t="s">
        <v>133</v>
      </c>
      <c r="C51" s="54"/>
      <c r="D51" s="214">
        <v>760510.3212199026</v>
      </c>
      <c r="E51" s="90"/>
      <c r="F51" s="91">
        <v>58088.767200000002</v>
      </c>
      <c r="G51" s="88">
        <v>60.665304300000003</v>
      </c>
      <c r="H51" s="88">
        <v>63.285316347098352</v>
      </c>
      <c r="I51" s="88">
        <v>4.1400000000000006</v>
      </c>
      <c r="J51" s="88">
        <v>31.728734250457233</v>
      </c>
      <c r="K51" s="88">
        <v>680.17368500569773</v>
      </c>
      <c r="L51" s="90"/>
      <c r="M51" s="113">
        <v>1.4717658879852991</v>
      </c>
      <c r="N51" s="90"/>
      <c r="O51" s="113">
        <v>0.56740471746863363</v>
      </c>
      <c r="P51" s="113">
        <v>-3.1242695954469824E-2</v>
      </c>
      <c r="Q51" s="113">
        <v>-3.1242797623665108E-2</v>
      </c>
      <c r="R51" s="113">
        <v>0</v>
      </c>
      <c r="S51" s="113">
        <v>-0.16152067088881505</v>
      </c>
      <c r="T51" s="14">
        <v>1.0940802367860547</v>
      </c>
      <c r="V51" s="34"/>
      <c r="W51" s="34"/>
      <c r="X51" s="34"/>
      <c r="Y51" s="34"/>
      <c r="AK51" s="80"/>
      <c r="AL51" s="93"/>
      <c r="AM51" s="92"/>
      <c r="AN51" s="92"/>
      <c r="AO51" s="92"/>
      <c r="AP51" s="80"/>
    </row>
    <row r="52" spans="1:42" x14ac:dyDescent="0.25">
      <c r="A52" s="23"/>
      <c r="B52" s="47" t="s">
        <v>134</v>
      </c>
      <c r="C52" s="54"/>
      <c r="D52" s="214">
        <v>763285.90277572931</v>
      </c>
      <c r="E52" s="90"/>
      <c r="F52" s="91">
        <v>58169.787199999999</v>
      </c>
      <c r="G52" s="88">
        <v>60.6561722</v>
      </c>
      <c r="H52" s="88">
        <v>63.275789867240327</v>
      </c>
      <c r="I52" s="88">
        <v>4.1400000000000006</v>
      </c>
      <c r="J52" s="88">
        <v>31.718099976740543</v>
      </c>
      <c r="K52" s="88">
        <v>682.03647731487581</v>
      </c>
      <c r="L52" s="90"/>
      <c r="M52" s="113">
        <v>1.4749305510193711</v>
      </c>
      <c r="N52" s="90"/>
      <c r="O52" s="113">
        <v>0.56448954440126986</v>
      </c>
      <c r="P52" s="113">
        <v>-3.9556247159799884E-2</v>
      </c>
      <c r="Q52" s="113">
        <v>-3.9556291089515305E-2</v>
      </c>
      <c r="R52" s="113">
        <v>0</v>
      </c>
      <c r="S52" s="113">
        <v>-0.1473141329403016</v>
      </c>
      <c r="T52" s="14">
        <v>1.0941866519859289</v>
      </c>
      <c r="V52" s="34"/>
      <c r="W52" s="34"/>
      <c r="X52" s="34"/>
      <c r="Y52" s="34"/>
      <c r="AK52" s="80"/>
      <c r="AL52" s="93"/>
      <c r="AM52" s="92"/>
      <c r="AN52" s="92"/>
      <c r="AO52" s="92"/>
      <c r="AP52" s="80"/>
    </row>
    <row r="53" spans="1:42" x14ac:dyDescent="0.25">
      <c r="A53" s="23"/>
      <c r="B53" s="47" t="s">
        <v>135</v>
      </c>
      <c r="C53" s="54"/>
      <c r="D53" s="214">
        <v>766071.98473618715</v>
      </c>
      <c r="E53" s="90"/>
      <c r="F53" s="91">
        <v>58250.8073</v>
      </c>
      <c r="G53" s="88">
        <v>60.645670199999998</v>
      </c>
      <c r="H53" s="88">
        <v>63.264834324412774</v>
      </c>
      <c r="I53" s="88">
        <v>4.1400000000000006</v>
      </c>
      <c r="J53" s="88">
        <v>31.708173967448843</v>
      </c>
      <c r="K53" s="88">
        <v>683.90629292611425</v>
      </c>
      <c r="L53" s="90"/>
      <c r="M53" s="113">
        <v>1.4690743034593723</v>
      </c>
      <c r="N53" s="90"/>
      <c r="O53" s="113">
        <v>0.5615828215892904</v>
      </c>
      <c r="P53" s="113">
        <v>-5.568276481414669E-2</v>
      </c>
      <c r="Q53" s="113">
        <v>-5.568286789194854E-2</v>
      </c>
      <c r="R53" s="113">
        <v>0</v>
      </c>
      <c r="S53" s="113">
        <v>-0.13843661567235488</v>
      </c>
      <c r="T53" s="14">
        <v>1.0985977115405277</v>
      </c>
      <c r="V53" s="34"/>
      <c r="W53" s="34"/>
      <c r="X53" s="34"/>
      <c r="Y53" s="34"/>
      <c r="AK53" s="80"/>
      <c r="AL53" s="93"/>
      <c r="AM53" s="92"/>
      <c r="AN53" s="92"/>
      <c r="AO53" s="92"/>
      <c r="AP53" s="80"/>
    </row>
    <row r="54" spans="1:42" x14ac:dyDescent="0.25">
      <c r="A54" s="23"/>
      <c r="B54" s="47" t="s">
        <v>645</v>
      </c>
      <c r="C54" s="54"/>
      <c r="D54" s="214">
        <v>768877.64819508011</v>
      </c>
      <c r="E54" s="90"/>
      <c r="F54" s="91">
        <v>58331.827299999997</v>
      </c>
      <c r="G54" s="88">
        <v>60.634891600000003</v>
      </c>
      <c r="H54" s="88">
        <v>63.253590186101469</v>
      </c>
      <c r="I54" s="88">
        <v>4.1400000000000006</v>
      </c>
      <c r="J54" s="88">
        <v>31.698955544134336</v>
      </c>
      <c r="K54" s="88">
        <v>685.77886461605203</v>
      </c>
      <c r="L54" s="90"/>
      <c r="M54" s="113">
        <v>1.4691260866915412</v>
      </c>
      <c r="N54" s="90"/>
      <c r="O54" s="113">
        <v>0.55868434166441716</v>
      </c>
      <c r="P54" s="113">
        <v>-6.291869247425641E-2</v>
      </c>
      <c r="Q54" s="113">
        <v>-6.2918797426281259E-2</v>
      </c>
      <c r="R54" s="113">
        <v>0</v>
      </c>
      <c r="S54" s="113">
        <v>-0.12955850646811928</v>
      </c>
      <c r="T54" s="14">
        <v>1.0998954185232224</v>
      </c>
      <c r="V54" s="34"/>
      <c r="W54" s="34"/>
      <c r="X54" s="34"/>
      <c r="Y54" s="34"/>
      <c r="AK54" s="80"/>
      <c r="AL54" s="93"/>
      <c r="AM54" s="92"/>
      <c r="AN54" s="92"/>
      <c r="AO54" s="92"/>
      <c r="AP54" s="80"/>
    </row>
    <row r="55" spans="1:42" x14ac:dyDescent="0.25">
      <c r="A55" s="23"/>
      <c r="B55" s="47" t="s">
        <v>646</v>
      </c>
      <c r="C55" s="54"/>
      <c r="D55" s="214">
        <v>771702.10038868769</v>
      </c>
      <c r="E55" s="90"/>
      <c r="F55" s="91">
        <v>58412.763299999999</v>
      </c>
      <c r="G55" s="88">
        <v>60.623836300000001</v>
      </c>
      <c r="H55" s="88">
        <v>63.242057477256587</v>
      </c>
      <c r="I55" s="88">
        <v>4.1400000000000006</v>
      </c>
      <c r="J55" s="88">
        <v>31.690444075739187</v>
      </c>
      <c r="K55" s="88">
        <v>687.65434384663331</v>
      </c>
      <c r="L55" s="90"/>
      <c r="M55" s="113">
        <v>1.4716143695239881</v>
      </c>
      <c r="N55" s="90"/>
      <c r="O55" s="113">
        <v>0.5577603306409884</v>
      </c>
      <c r="P55" s="113">
        <v>-6.8355381182849673E-2</v>
      </c>
      <c r="Q55" s="113">
        <v>-6.8355303155165359E-2</v>
      </c>
      <c r="R55" s="113">
        <v>0</v>
      </c>
      <c r="S55" s="113">
        <v>-0.12067980530138245</v>
      </c>
      <c r="T55" s="14">
        <v>1.0998159743379254</v>
      </c>
      <c r="V55" s="34"/>
      <c r="W55" s="34"/>
      <c r="X55" s="34"/>
      <c r="Y55" s="34"/>
      <c r="AK55" s="80"/>
      <c r="AL55" s="93"/>
      <c r="AM55" s="92"/>
      <c r="AN55" s="92"/>
      <c r="AO55" s="92"/>
      <c r="AP55" s="80"/>
    </row>
    <row r="56" spans="1:42" x14ac:dyDescent="0.25">
      <c r="A56" s="23"/>
      <c r="B56" s="47" t="s">
        <v>647</v>
      </c>
      <c r="C56" s="54"/>
      <c r="D56" s="214">
        <v>774546.03627757728</v>
      </c>
      <c r="E56" s="90"/>
      <c r="F56" s="91">
        <v>58493.699200000003</v>
      </c>
      <c r="G56" s="88">
        <v>60.612504399999999</v>
      </c>
      <c r="H56" s="88">
        <v>63.230236222835103</v>
      </c>
      <c r="I56" s="88">
        <v>4.1400000000000006</v>
      </c>
      <c r="J56" s="88">
        <v>31.682638978523645</v>
      </c>
      <c r="K56" s="88">
        <v>689.53223029043488</v>
      </c>
      <c r="L56" s="90"/>
      <c r="M56" s="113">
        <v>1.4752183239465033</v>
      </c>
      <c r="N56" s="90"/>
      <c r="O56" s="113">
        <v>0.55683889453872482</v>
      </c>
      <c r="P56" s="113">
        <v>-7.1992343756899224E-2</v>
      </c>
      <c r="Q56" s="113">
        <v>-7.1992217719918372E-2</v>
      </c>
      <c r="R56" s="113">
        <v>0</v>
      </c>
      <c r="S56" s="113">
        <v>-0.11180051214575437</v>
      </c>
      <c r="T56" s="14">
        <v>1.099025231769013</v>
      </c>
      <c r="V56" s="34"/>
      <c r="W56" s="34"/>
      <c r="X56" s="34"/>
      <c r="Y56" s="34"/>
      <c r="AK56" s="80"/>
      <c r="AL56" s="93"/>
      <c r="AM56" s="92"/>
      <c r="AN56" s="92"/>
      <c r="AO56" s="92"/>
      <c r="AP56" s="80"/>
    </row>
    <row r="57" spans="1:42" x14ac:dyDescent="0.25">
      <c r="A57" s="23"/>
      <c r="B57" s="47" t="s">
        <v>648</v>
      </c>
      <c r="C57" s="54"/>
      <c r="D57" s="214">
        <v>777400.2808161818</v>
      </c>
      <c r="E57" s="90"/>
      <c r="F57" s="91">
        <v>58574.6351</v>
      </c>
      <c r="G57" s="88">
        <v>60.601174700000001</v>
      </c>
      <c r="H57" s="88">
        <v>63.218417178051645</v>
      </c>
      <c r="I57" s="88">
        <v>4.1400000000000006</v>
      </c>
      <c r="J57" s="88">
        <v>31.674835803639709</v>
      </c>
      <c r="K57" s="88">
        <v>691.41641570744196</v>
      </c>
      <c r="L57" s="90"/>
      <c r="M57" s="113">
        <v>1.4787508622829737</v>
      </c>
      <c r="N57" s="90"/>
      <c r="O57" s="113">
        <v>0.55591984902843006</v>
      </c>
      <c r="P57" s="113">
        <v>-7.3369623673469331E-2</v>
      </c>
      <c r="Q57" s="113">
        <v>-7.3369584946847421E-2</v>
      </c>
      <c r="R57" s="113">
        <v>0</v>
      </c>
      <c r="S57" s="113">
        <v>-0.1051405982676834</v>
      </c>
      <c r="T57" s="14">
        <v>1.0981216080342637</v>
      </c>
      <c r="V57" s="34"/>
      <c r="W57" s="34"/>
      <c r="X57" s="34"/>
      <c r="Y57" s="34"/>
      <c r="AK57" s="80"/>
      <c r="AL57" s="93"/>
      <c r="AM57" s="92"/>
      <c r="AN57" s="92"/>
      <c r="AO57" s="92"/>
      <c r="AP57" s="80"/>
    </row>
    <row r="58" spans="1:42" x14ac:dyDescent="0.25">
      <c r="A58" s="23"/>
      <c r="B58" s="379">
        <v>2019</v>
      </c>
      <c r="C58" s="434"/>
      <c r="D58" s="435">
        <v>2654040.9142243862</v>
      </c>
      <c r="E58" s="434"/>
      <c r="F58" s="435">
        <v>53398</v>
      </c>
      <c r="G58" s="384">
        <v>61.232528450000004</v>
      </c>
      <c r="H58" s="384">
        <v>63.770966792362699</v>
      </c>
      <c r="I58" s="384">
        <v>3.9805555555555605</v>
      </c>
      <c r="J58" s="384">
        <v>31.702531471225008</v>
      </c>
      <c r="K58" s="384">
        <v>640.10159881180812</v>
      </c>
      <c r="L58" s="434"/>
      <c r="M58" s="384">
        <v>0.73971407499398012</v>
      </c>
      <c r="N58" s="434"/>
      <c r="O58" s="472">
        <v>0.54984370880879485</v>
      </c>
      <c r="P58" s="384">
        <v>0.17714794597203376</v>
      </c>
      <c r="Q58" s="384">
        <v>4.732671953964207E-2</v>
      </c>
      <c r="R58" s="436">
        <v>0.12980057174820647</v>
      </c>
      <c r="S58" s="384">
        <v>-0.65026573285306144</v>
      </c>
      <c r="T58" s="437">
        <v>0.66642397558520639</v>
      </c>
      <c r="V58" s="34"/>
      <c r="W58" s="34"/>
      <c r="X58" s="34"/>
      <c r="Y58" s="34"/>
      <c r="AK58" s="80"/>
      <c r="AL58" s="93"/>
      <c r="AM58" s="92"/>
      <c r="AN58" s="92"/>
      <c r="AO58" s="92"/>
      <c r="AP58" s="80"/>
    </row>
    <row r="59" spans="1:42" x14ac:dyDescent="0.25">
      <c r="A59" s="23"/>
      <c r="B59" s="47">
        <v>2020</v>
      </c>
      <c r="C59" s="90"/>
      <c r="D59" s="91">
        <v>2414868.7345411596</v>
      </c>
      <c r="E59" s="90"/>
      <c r="F59" s="91">
        <v>53595</v>
      </c>
      <c r="G59" s="88">
        <v>60.922417275000001</v>
      </c>
      <c r="H59" s="88">
        <v>63.709671139103371</v>
      </c>
      <c r="I59" s="88">
        <v>4.3750000000000018</v>
      </c>
      <c r="J59" s="88">
        <v>29.81133686168744</v>
      </c>
      <c r="K59" s="88">
        <v>619.78412275417304</v>
      </c>
      <c r="L59" s="90"/>
      <c r="M59" s="88">
        <v>-9.0116236867856294</v>
      </c>
      <c r="N59" s="90"/>
      <c r="O59" s="94">
        <v>0.36892767519383085</v>
      </c>
      <c r="P59" s="88">
        <v>-0.50644842349312214</v>
      </c>
      <c r="Q59" s="88">
        <v>-9.6118431854586017E-2</v>
      </c>
      <c r="R59" s="89">
        <v>-0.4107964243353468</v>
      </c>
      <c r="S59" s="88">
        <v>-5.9654372120223957</v>
      </c>
      <c r="T59" s="87">
        <v>-3.1741017512453507</v>
      </c>
      <c r="V59" s="34"/>
      <c r="W59" s="34"/>
      <c r="X59" s="34"/>
      <c r="Y59" s="34"/>
      <c r="AK59" s="80"/>
      <c r="AL59" s="93"/>
      <c r="AM59" s="92"/>
      <c r="AN59" s="92"/>
      <c r="AO59" s="92"/>
      <c r="AP59" s="80"/>
    </row>
    <row r="60" spans="1:42" x14ac:dyDescent="0.25">
      <c r="A60" s="23"/>
      <c r="B60" s="47">
        <v>2021</v>
      </c>
      <c r="C60" s="90"/>
      <c r="D60" s="91">
        <v>2574167.9177142084</v>
      </c>
      <c r="E60" s="90"/>
      <c r="F60" s="91">
        <v>53907.75</v>
      </c>
      <c r="G60" s="88">
        <v>60.933959100000003</v>
      </c>
      <c r="H60" s="88">
        <v>63.627390070271382</v>
      </c>
      <c r="I60" s="88">
        <v>4.2330769230769238</v>
      </c>
      <c r="J60" s="88">
        <v>31.162500000000001</v>
      </c>
      <c r="K60" s="88">
        <v>628.49734828126839</v>
      </c>
      <c r="L60" s="90"/>
      <c r="M60" s="88">
        <v>6.596598021851352</v>
      </c>
      <c r="N60" s="90"/>
      <c r="O60" s="94">
        <v>0.58354324097396049</v>
      </c>
      <c r="P60" s="88">
        <v>1.8945119902102903E-2</v>
      </c>
      <c r="Q60" s="88">
        <v>-0.12915004482182413</v>
      </c>
      <c r="R60" s="89">
        <v>0.14841628959276765</v>
      </c>
      <c r="S60" s="88">
        <v>4.5323802303177896</v>
      </c>
      <c r="T60" s="87">
        <v>1.4058484571008112</v>
      </c>
      <c r="V60" s="34"/>
      <c r="W60" s="34"/>
      <c r="X60" s="34"/>
      <c r="Y60" s="34"/>
      <c r="AK60" s="80"/>
      <c r="AL60" s="93"/>
      <c r="AM60" s="92"/>
      <c r="AN60" s="92"/>
      <c r="AO60" s="92"/>
      <c r="AP60" s="80"/>
    </row>
    <row r="61" spans="1:42" x14ac:dyDescent="0.25">
      <c r="A61" s="23"/>
      <c r="B61" s="47">
        <v>2022</v>
      </c>
      <c r="C61" s="90"/>
      <c r="D61" s="91">
        <v>2707503.562281237</v>
      </c>
      <c r="E61" s="90"/>
      <c r="F61" s="91">
        <v>54407</v>
      </c>
      <c r="G61" s="88">
        <v>60.990596924999998</v>
      </c>
      <c r="H61" s="88">
        <v>63.571093126927089</v>
      </c>
      <c r="I61" s="88">
        <v>4.0592307692307754</v>
      </c>
      <c r="J61" s="88">
        <v>31.724800345853868</v>
      </c>
      <c r="K61" s="88">
        <v>642.95913188221357</v>
      </c>
      <c r="L61" s="90"/>
      <c r="M61" s="88">
        <v>5.1797570643886681</v>
      </c>
      <c r="N61" s="90"/>
      <c r="O61" s="94">
        <v>0.92611915726403815</v>
      </c>
      <c r="P61" s="88">
        <v>9.2949524102059478E-2</v>
      </c>
      <c r="Q61" s="88">
        <v>-8.8479101974980878E-2</v>
      </c>
      <c r="R61" s="89">
        <v>0.18153047864606364</v>
      </c>
      <c r="S61" s="88">
        <v>1.8044134644327858</v>
      </c>
      <c r="T61" s="87">
        <v>2.3010094856395824</v>
      </c>
      <c r="V61" s="34"/>
      <c r="W61" s="34"/>
      <c r="X61" s="34"/>
      <c r="Y61" s="34"/>
      <c r="AK61" s="80"/>
      <c r="AL61" s="93"/>
      <c r="AM61" s="92"/>
      <c r="AN61" s="92"/>
      <c r="AO61" s="92"/>
      <c r="AP61" s="80"/>
    </row>
    <row r="62" spans="1:42" x14ac:dyDescent="0.25">
      <c r="A62" s="23"/>
      <c r="B62" s="47">
        <v>2023</v>
      </c>
      <c r="C62" s="90"/>
      <c r="D62" s="91">
        <v>2746003.2252156404</v>
      </c>
      <c r="E62" s="90"/>
      <c r="F62" s="91">
        <v>55044.5</v>
      </c>
      <c r="G62" s="88">
        <v>60.935345349999999</v>
      </c>
      <c r="H62" s="88">
        <v>63.542034405471156</v>
      </c>
      <c r="I62" s="88">
        <v>4.1023076923076989</v>
      </c>
      <c r="J62" s="88">
        <v>31.887399501909734</v>
      </c>
      <c r="K62" s="88">
        <v>641.86358054486777</v>
      </c>
      <c r="L62" s="90"/>
      <c r="M62" s="88">
        <v>1.4219616723962991</v>
      </c>
      <c r="N62" s="90"/>
      <c r="O62" s="94">
        <v>1.1717242266620076</v>
      </c>
      <c r="P62" s="88">
        <v>-9.0590316844973984E-2</v>
      </c>
      <c r="Q62" s="88">
        <v>-4.5710589556657855E-2</v>
      </c>
      <c r="R62" s="89">
        <v>-4.489949728598841E-2</v>
      </c>
      <c r="S62" s="88">
        <v>0.51253011613394683</v>
      </c>
      <c r="T62" s="87">
        <v>-0.17039206428853815</v>
      </c>
      <c r="V62" s="34"/>
      <c r="W62" s="34"/>
      <c r="X62" s="34"/>
      <c r="Y62" s="34"/>
      <c r="AK62" s="80"/>
      <c r="AL62" s="93"/>
      <c r="AM62" s="92"/>
      <c r="AN62" s="92"/>
      <c r="AO62" s="92"/>
      <c r="AP62" s="80"/>
    </row>
    <row r="63" spans="1:42" x14ac:dyDescent="0.25">
      <c r="A63" s="23"/>
      <c r="B63" s="47">
        <v>2024</v>
      </c>
      <c r="C63" s="90"/>
      <c r="D63" s="91">
        <v>2789982.5497284625</v>
      </c>
      <c r="E63" s="90"/>
      <c r="F63" s="91">
        <v>55690</v>
      </c>
      <c r="G63" s="88">
        <v>60.901095024999996</v>
      </c>
      <c r="H63" s="88">
        <v>63.529506069237748</v>
      </c>
      <c r="I63" s="88">
        <v>4.1373076923076981</v>
      </c>
      <c r="J63" s="88">
        <v>31.942845376066725</v>
      </c>
      <c r="K63" s="88">
        <v>643.81697965393312</v>
      </c>
      <c r="L63" s="90"/>
      <c r="M63" s="88">
        <v>1.6015758506390032</v>
      </c>
      <c r="N63" s="90"/>
      <c r="O63" s="94">
        <v>1.1726875527981795</v>
      </c>
      <c r="P63" s="88">
        <v>-5.6207648948691791E-2</v>
      </c>
      <c r="Q63" s="88">
        <v>-1.9716611768305636E-2</v>
      </c>
      <c r="R63" s="89">
        <v>-3.6497228617027311E-2</v>
      </c>
      <c r="S63" s="88">
        <v>0.17388020040225438</v>
      </c>
      <c r="T63" s="87">
        <v>0.30433244201317766</v>
      </c>
      <c r="V63" s="34"/>
      <c r="W63" s="34"/>
      <c r="X63" s="34"/>
      <c r="Y63" s="34"/>
      <c r="AK63" s="80"/>
      <c r="AL63" s="93"/>
      <c r="AM63" s="92"/>
      <c r="AN63" s="92"/>
      <c r="AO63" s="92"/>
      <c r="AP63" s="80"/>
    </row>
    <row r="64" spans="1:42" x14ac:dyDescent="0.25">
      <c r="A64" s="23"/>
      <c r="B64" s="47">
        <v>2025</v>
      </c>
      <c r="C64" s="90"/>
      <c r="D64" s="91">
        <v>2838487.022372405</v>
      </c>
      <c r="E64" s="90"/>
      <c r="F64" s="214">
        <v>56278.5</v>
      </c>
      <c r="G64" s="88">
        <v>60.885074499999995</v>
      </c>
      <c r="H64" s="88">
        <v>63.514578021835362</v>
      </c>
      <c r="I64" s="88">
        <v>4.1400000000000059</v>
      </c>
      <c r="J64" s="88">
        <v>31.952712057157115</v>
      </c>
      <c r="K64" s="88">
        <v>648.1364088849582</v>
      </c>
      <c r="L64" s="90"/>
      <c r="M64" s="88">
        <v>1.7385224380225273</v>
      </c>
      <c r="N64" s="90"/>
      <c r="O64" s="94">
        <v>1.0567426827078563</v>
      </c>
      <c r="P64" s="88">
        <v>-2.6305807791182634E-2</v>
      </c>
      <c r="Q64" s="88">
        <v>-2.3497817511941577E-2</v>
      </c>
      <c r="R64" s="89">
        <v>-2.8085041505643282E-3</v>
      </c>
      <c r="S64" s="88">
        <v>3.0888547886798179E-2</v>
      </c>
      <c r="T64" s="87">
        <v>0.6709094925310799</v>
      </c>
      <c r="V64" s="96"/>
      <c r="W64" s="34"/>
      <c r="X64" s="34"/>
      <c r="Y64" s="34"/>
      <c r="AK64" s="80"/>
      <c r="AL64" s="93"/>
      <c r="AM64" s="92"/>
      <c r="AN64" s="92"/>
      <c r="AO64" s="92"/>
      <c r="AP64" s="80"/>
    </row>
    <row r="65" spans="1:46" x14ac:dyDescent="0.25">
      <c r="A65" s="23"/>
      <c r="B65" s="47">
        <v>2026</v>
      </c>
      <c r="C65" s="90"/>
      <c r="D65" s="91">
        <v>2883721.6768854256</v>
      </c>
      <c r="E65" s="90"/>
      <c r="F65" s="214">
        <v>56772.566675000002</v>
      </c>
      <c r="G65" s="88">
        <v>60.826533374999997</v>
      </c>
      <c r="H65" s="88">
        <v>63.453508645856715</v>
      </c>
      <c r="I65" s="88">
        <v>4.1400000000000023</v>
      </c>
      <c r="J65" s="88">
        <v>31.936204727737316</v>
      </c>
      <c r="K65" s="88">
        <v>653.69854685501048</v>
      </c>
      <c r="L65" s="90"/>
      <c r="M65" s="88">
        <v>1.5936185072008335</v>
      </c>
      <c r="N65" s="90"/>
      <c r="O65" s="94">
        <v>0.87789595493839023</v>
      </c>
      <c r="P65" s="88">
        <v>-9.6150206730871712E-2</v>
      </c>
      <c r="Q65" s="88">
        <v>-9.6150171945807994E-2</v>
      </c>
      <c r="R65" s="89">
        <v>0</v>
      </c>
      <c r="S65" s="88">
        <v>-5.1661747491948962E-2</v>
      </c>
      <c r="T65" s="87">
        <v>0.85817397291740871</v>
      </c>
      <c r="V65" s="96"/>
      <c r="W65" s="34"/>
      <c r="X65" s="34"/>
      <c r="Y65" s="34"/>
      <c r="AK65" s="80"/>
      <c r="AL65" s="93"/>
      <c r="AM65" s="92"/>
      <c r="AN65" s="92"/>
      <c r="AO65" s="92"/>
      <c r="AP65" s="80"/>
    </row>
    <row r="66" spans="1:46" x14ac:dyDescent="0.25">
      <c r="A66" s="23"/>
      <c r="B66" s="320">
        <v>2027</v>
      </c>
      <c r="C66" s="90"/>
      <c r="D66" s="214">
        <v>2911848.8111715298</v>
      </c>
      <c r="E66" s="90"/>
      <c r="F66" s="214">
        <v>57081.701474999994</v>
      </c>
      <c r="G66" s="88">
        <v>60.764146775</v>
      </c>
      <c r="H66" s="88">
        <v>63.388427663206954</v>
      </c>
      <c r="I66" s="88">
        <v>4.1400000000000006</v>
      </c>
      <c r="J66" s="88">
        <v>31.89627968440638</v>
      </c>
      <c r="K66" s="88">
        <v>657.99744649540469</v>
      </c>
      <c r="L66" s="90"/>
      <c r="M66" s="88">
        <v>0.97537617834475565</v>
      </c>
      <c r="N66" s="90"/>
      <c r="O66" s="94">
        <v>0.54451439859970474</v>
      </c>
      <c r="P66" s="88">
        <v>-0.10256477977361733</v>
      </c>
      <c r="Q66" s="88">
        <v>-0.10256482901991326</v>
      </c>
      <c r="R66" s="89">
        <v>0</v>
      </c>
      <c r="S66" s="88">
        <v>-0.12501499057669951</v>
      </c>
      <c r="T66" s="87">
        <v>0.65762722910682747</v>
      </c>
      <c r="V66" s="34"/>
      <c r="W66" s="34"/>
      <c r="X66" s="34"/>
      <c r="Y66" s="34"/>
      <c r="AK66" s="80"/>
      <c r="AL66" s="93"/>
      <c r="AM66" s="92"/>
      <c r="AN66" s="92"/>
      <c r="AO66" s="92"/>
      <c r="AP66" s="80"/>
    </row>
    <row r="67" spans="1:46" x14ac:dyDescent="0.25">
      <c r="A67" s="23"/>
      <c r="B67" s="320">
        <v>2028</v>
      </c>
      <c r="C67" s="90"/>
      <c r="D67" s="214">
        <v>2949679.8152256501</v>
      </c>
      <c r="E67" s="90"/>
      <c r="F67" s="214">
        <v>57397.534325000001</v>
      </c>
      <c r="G67" s="88">
        <v>60.715489850000004</v>
      </c>
      <c r="H67" s="88">
        <v>63.337669343424238</v>
      </c>
      <c r="I67" s="88">
        <v>4.1400000000000006</v>
      </c>
      <c r="J67" s="88">
        <v>31.840388485158659</v>
      </c>
      <c r="K67" s="88">
        <v>664.57351168837647</v>
      </c>
      <c r="L67" s="90"/>
      <c r="M67" s="88">
        <v>1.2992090766862141</v>
      </c>
      <c r="N67" s="90"/>
      <c r="O67" s="94">
        <v>0.55329964215997673</v>
      </c>
      <c r="P67" s="88">
        <v>-8.0075056727391125E-2</v>
      </c>
      <c r="Q67" s="88">
        <v>-8.0075057315509568E-2</v>
      </c>
      <c r="R67" s="89">
        <v>0</v>
      </c>
      <c r="S67" s="88">
        <v>-0.17522795699288496</v>
      </c>
      <c r="T67" s="87">
        <v>0.99940588341138614</v>
      </c>
      <c r="V67" s="34"/>
      <c r="W67" s="34"/>
      <c r="X67" s="34"/>
      <c r="Y67" s="34"/>
      <c r="AK67" s="80"/>
      <c r="AL67" s="93"/>
      <c r="AM67" s="92"/>
      <c r="AN67" s="92"/>
      <c r="AO67" s="92"/>
      <c r="AP67" s="80"/>
    </row>
    <row r="68" spans="1:46" x14ac:dyDescent="0.25">
      <c r="A68" s="23"/>
      <c r="B68" s="320">
        <v>2029</v>
      </c>
      <c r="C68" s="90"/>
      <c r="D68" s="214">
        <v>2992484.0580780539</v>
      </c>
      <c r="E68" s="90"/>
      <c r="F68" s="214">
        <v>57720.355800000005</v>
      </c>
      <c r="G68" s="88">
        <v>60.686795699999998</v>
      </c>
      <c r="H68" s="88">
        <v>63.307735965734068</v>
      </c>
      <c r="I68" s="88">
        <v>4.1400000000000006</v>
      </c>
      <c r="J68" s="88">
        <v>31.786241330205119</v>
      </c>
      <c r="K68" s="88">
        <v>671.90597694802636</v>
      </c>
      <c r="L68" s="90"/>
      <c r="M68" s="88">
        <v>1.4511487867753248</v>
      </c>
      <c r="N68" s="90"/>
      <c r="O68" s="94">
        <v>0.56243091065917294</v>
      </c>
      <c r="P68" s="88">
        <v>-4.7260015641636954E-2</v>
      </c>
      <c r="Q68" s="88">
        <v>-4.7259992355996872E-2</v>
      </c>
      <c r="R68" s="89">
        <v>0</v>
      </c>
      <c r="S68" s="88">
        <v>-0.17005808512285947</v>
      </c>
      <c r="T68" s="87">
        <v>1.10333396241169</v>
      </c>
      <c r="V68" s="34"/>
      <c r="W68" s="34"/>
      <c r="X68" s="34"/>
      <c r="Y68" s="34"/>
      <c r="AK68" s="80"/>
      <c r="AL68" s="93"/>
      <c r="AM68" s="92"/>
      <c r="AN68" s="92"/>
      <c r="AO68" s="92"/>
      <c r="AP68" s="80"/>
    </row>
    <row r="69" spans="1:46" x14ac:dyDescent="0.25">
      <c r="A69" s="23"/>
      <c r="B69" s="320">
        <v>2030</v>
      </c>
      <c r="C69" s="90"/>
      <c r="D69" s="214">
        <v>3036522.3931096727</v>
      </c>
      <c r="E69" s="90"/>
      <c r="F69" s="214">
        <v>58047.952274999996</v>
      </c>
      <c r="G69" s="88">
        <v>60.668500250000008</v>
      </c>
      <c r="H69" s="88">
        <v>63.288650370098161</v>
      </c>
      <c r="I69" s="88">
        <v>4.1400000000000006</v>
      </c>
      <c r="J69" s="88">
        <v>31.73476057102183</v>
      </c>
      <c r="K69" s="88">
        <v>679.25069910187858</v>
      </c>
      <c r="L69" s="90"/>
      <c r="M69" s="88">
        <v>1.4716313997643393</v>
      </c>
      <c r="N69" s="90"/>
      <c r="O69" s="94">
        <v>0.5675579619347948</v>
      </c>
      <c r="P69" s="88">
        <v>-3.0147332362762125E-2</v>
      </c>
      <c r="Q69" s="88">
        <v>-3.0147335621411031E-2</v>
      </c>
      <c r="R69" s="89">
        <v>0</v>
      </c>
      <c r="S69" s="88">
        <v>-0.16195925352887608</v>
      </c>
      <c r="T69" s="87">
        <v>1.0931175500497714</v>
      </c>
      <c r="V69" s="34"/>
      <c r="W69" s="34"/>
      <c r="X69" s="34"/>
      <c r="Y69" s="34"/>
      <c r="AK69" s="80"/>
      <c r="AL69" s="93"/>
      <c r="AM69" s="92"/>
      <c r="AN69" s="92"/>
      <c r="AO69" s="92"/>
      <c r="AP69" s="80"/>
    </row>
    <row r="70" spans="1:46" x14ac:dyDescent="0.25">
      <c r="A70" s="23"/>
      <c r="B70" s="320">
        <v>2031</v>
      </c>
      <c r="C70" s="90"/>
      <c r="D70" s="214">
        <v>3081197.7695975322</v>
      </c>
      <c r="E70" s="90"/>
      <c r="F70" s="214">
        <v>58372.274274999996</v>
      </c>
      <c r="G70" s="88">
        <v>60.629225625000004</v>
      </c>
      <c r="H70" s="88">
        <v>63.247679552651491</v>
      </c>
      <c r="I70" s="88">
        <v>4.1400000000000006</v>
      </c>
      <c r="J70" s="88">
        <v>31.6950531414615</v>
      </c>
      <c r="K70" s="88">
        <v>686.71793291980862</v>
      </c>
      <c r="L70" s="90"/>
      <c r="M70" s="88">
        <v>1.4712678091633569</v>
      </c>
      <c r="N70" s="90"/>
      <c r="O70" s="94">
        <v>0.55871393785527079</v>
      </c>
      <c r="P70" s="88">
        <v>-6.473643626950798E-2</v>
      </c>
      <c r="Q70" s="88">
        <v>-6.4736437271262215E-2</v>
      </c>
      <c r="R70" s="89">
        <v>0</v>
      </c>
      <c r="S70" s="88">
        <v>-0.1251228269753768</v>
      </c>
      <c r="T70" s="87">
        <v>1.0993339907935828</v>
      </c>
      <c r="V70" s="34"/>
      <c r="W70" s="34"/>
      <c r="X70" s="34"/>
      <c r="Y70" s="34"/>
      <c r="AK70" s="80"/>
      <c r="AL70" s="93"/>
      <c r="AM70" s="92"/>
      <c r="AN70" s="92"/>
      <c r="AO70" s="92"/>
      <c r="AP70" s="80"/>
    </row>
    <row r="71" spans="1:46" x14ac:dyDescent="0.25">
      <c r="A71" s="7"/>
      <c r="B71" s="379" t="s">
        <v>147</v>
      </c>
      <c r="C71" s="434"/>
      <c r="D71" s="435">
        <v>2645517.7155277664</v>
      </c>
      <c r="E71" s="434"/>
      <c r="F71" s="435">
        <v>53451.5</v>
      </c>
      <c r="G71" s="384">
        <v>61.220533075000006</v>
      </c>
      <c r="H71" s="384">
        <v>63.763638526090602</v>
      </c>
      <c r="I71" s="384">
        <v>3.9883333333333386</v>
      </c>
      <c r="J71" s="384">
        <v>31.585428496700349</v>
      </c>
      <c r="K71" s="384">
        <v>639.88563660166278</v>
      </c>
      <c r="L71" s="434"/>
      <c r="M71" s="384">
        <v>0.28479056299774985</v>
      </c>
      <c r="N71" s="434"/>
      <c r="O71" s="384">
        <v>0.50675040427212714</v>
      </c>
      <c r="P71" s="384">
        <v>4.1841335076786557E-2</v>
      </c>
      <c r="Q71" s="384">
        <v>1.2941460203164112E-2</v>
      </c>
      <c r="R71" s="436">
        <v>2.8911093612027372E-2</v>
      </c>
      <c r="S71" s="384">
        <v>-0.83856121377968718</v>
      </c>
      <c r="T71" s="437">
        <v>0.57953224973050776</v>
      </c>
      <c r="V71" s="35"/>
      <c r="W71" s="34"/>
      <c r="X71" s="34"/>
      <c r="Y71" s="34"/>
      <c r="Z71" s="34"/>
      <c r="AA71" s="34"/>
      <c r="AB71" s="34"/>
      <c r="AC71" s="34"/>
      <c r="AD71" s="34"/>
      <c r="AE71" s="34"/>
      <c r="AF71" s="34"/>
      <c r="AG71" s="34"/>
      <c r="AH71" s="34"/>
      <c r="AK71" s="80"/>
      <c r="AL71" s="93"/>
      <c r="AM71" s="92"/>
      <c r="AN71" s="92"/>
      <c r="AO71" s="92"/>
      <c r="AP71" s="80"/>
      <c r="AT71" s="2"/>
    </row>
    <row r="72" spans="1:46" x14ac:dyDescent="0.25">
      <c r="A72" s="7"/>
      <c r="B72" s="47" t="s">
        <v>148</v>
      </c>
      <c r="C72" s="90"/>
      <c r="D72" s="91">
        <v>2372503.3733560545</v>
      </c>
      <c r="E72" s="90"/>
      <c r="F72" s="91">
        <v>53658</v>
      </c>
      <c r="G72" s="88">
        <v>60.820908525</v>
      </c>
      <c r="H72" s="88">
        <v>63.686815202457815</v>
      </c>
      <c r="I72" s="88">
        <v>4.5</v>
      </c>
      <c r="J72" s="88">
        <v>29.596556968405849</v>
      </c>
      <c r="K72" s="88">
        <v>613.94935568480423</v>
      </c>
      <c r="L72" s="90"/>
      <c r="M72" s="88">
        <v>-10.319883347190018</v>
      </c>
      <c r="N72" s="90"/>
      <c r="O72" s="88">
        <v>0.38633153419453947</v>
      </c>
      <c r="P72" s="88">
        <v>-0.65276228403701175</v>
      </c>
      <c r="Q72" s="88">
        <v>-0.12048139881690734</v>
      </c>
      <c r="R72" s="89">
        <v>-0.53292134636414579</v>
      </c>
      <c r="S72" s="88">
        <v>-6.2968008444218899</v>
      </c>
      <c r="T72" s="87">
        <v>-4.0532681831400801</v>
      </c>
      <c r="V72" s="35"/>
      <c r="W72" s="34"/>
      <c r="X72" s="34"/>
      <c r="Y72" s="34"/>
      <c r="Z72" s="34"/>
      <c r="AA72" s="34"/>
      <c r="AB72" s="34"/>
      <c r="AC72" s="34"/>
      <c r="AD72" s="34"/>
      <c r="AE72" s="34"/>
      <c r="AF72" s="34"/>
      <c r="AG72" s="34"/>
      <c r="AH72" s="34"/>
      <c r="AK72" s="80"/>
      <c r="AL72" s="93"/>
      <c r="AM72" s="92"/>
      <c r="AN72" s="92"/>
      <c r="AO72" s="92"/>
      <c r="AP72" s="80"/>
      <c r="AT72" s="2"/>
    </row>
    <row r="73" spans="1:46" x14ac:dyDescent="0.25">
      <c r="A73" s="7"/>
      <c r="B73" s="47" t="s">
        <v>149</v>
      </c>
      <c r="C73" s="90"/>
      <c r="D73" s="91">
        <v>2633164.9598317477</v>
      </c>
      <c r="E73" s="90"/>
      <c r="F73" s="91">
        <v>54015.5</v>
      </c>
      <c r="G73" s="88">
        <v>60.990322825</v>
      </c>
      <c r="H73" s="88">
        <v>63.610352921104067</v>
      </c>
      <c r="I73" s="88">
        <v>4.1188461538461567</v>
      </c>
      <c r="J73" s="88">
        <v>31.454625</v>
      </c>
      <c r="K73" s="88">
        <v>635.228654879445</v>
      </c>
      <c r="L73" s="90"/>
      <c r="M73" s="88">
        <v>10.986774113917107</v>
      </c>
      <c r="N73" s="90"/>
      <c r="O73" s="88">
        <v>0.6662566625666333</v>
      </c>
      <c r="P73" s="88">
        <v>0.27854615149387474</v>
      </c>
      <c r="Q73" s="88">
        <v>-0.12005982888401157</v>
      </c>
      <c r="R73" s="89">
        <v>0.39911397503018531</v>
      </c>
      <c r="S73" s="88">
        <v>6.2779871103845863</v>
      </c>
      <c r="T73" s="87">
        <v>3.4659697901149533</v>
      </c>
      <c r="V73" s="35"/>
      <c r="W73" s="34"/>
      <c r="X73" s="34"/>
      <c r="Y73" s="34"/>
      <c r="Z73" s="34"/>
      <c r="AA73" s="34"/>
      <c r="AB73" s="34"/>
      <c r="AC73" s="34"/>
      <c r="AD73" s="34"/>
      <c r="AE73" s="34"/>
      <c r="AF73" s="34"/>
      <c r="AG73" s="34"/>
      <c r="AH73" s="34"/>
      <c r="AK73" s="80"/>
      <c r="AL73" s="93"/>
      <c r="AM73" s="92"/>
      <c r="AN73" s="92"/>
      <c r="AO73" s="92"/>
      <c r="AP73" s="80"/>
      <c r="AT73" s="2"/>
    </row>
    <row r="74" spans="1:46" x14ac:dyDescent="0.25">
      <c r="A74" s="7"/>
      <c r="B74" s="47" t="s">
        <v>150</v>
      </c>
      <c r="C74" s="90"/>
      <c r="D74" s="91">
        <v>2723437.4629550963</v>
      </c>
      <c r="E74" s="90"/>
      <c r="F74" s="91">
        <v>54557.25</v>
      </c>
      <c r="G74" s="88">
        <v>60.975748824999997</v>
      </c>
      <c r="H74" s="88">
        <v>63.562751862859045</v>
      </c>
      <c r="I74" s="88">
        <v>4.0700000000000065</v>
      </c>
      <c r="J74" s="88">
        <v>31.782942928977171</v>
      </c>
      <c r="K74" s="88">
        <v>643.94758984250768</v>
      </c>
      <c r="L74" s="90"/>
      <c r="M74" s="88">
        <v>3.4282889412715178</v>
      </c>
      <c r="N74" s="90"/>
      <c r="O74" s="88">
        <v>1.0029528561246392</v>
      </c>
      <c r="P74" s="88">
        <v>-2.3895594128631181E-2</v>
      </c>
      <c r="Q74" s="88">
        <v>-7.4832249876144452E-2</v>
      </c>
      <c r="R74" s="89">
        <v>5.0944478541148364E-2</v>
      </c>
      <c r="S74" s="88">
        <v>1.0437826837139896</v>
      </c>
      <c r="T74" s="87">
        <v>1.3725663815838729</v>
      </c>
      <c r="V74" s="33"/>
      <c r="W74" s="34"/>
      <c r="X74" s="34"/>
      <c r="Y74" s="34"/>
      <c r="Z74" s="34"/>
      <c r="AA74" s="34"/>
      <c r="AB74" s="34"/>
      <c r="AC74" s="34"/>
      <c r="AD74" s="34"/>
      <c r="AE74" s="34"/>
      <c r="AF74" s="34"/>
      <c r="AG74" s="34"/>
      <c r="AH74" s="34"/>
      <c r="AK74" s="80"/>
      <c r="AL74" s="93"/>
      <c r="AM74" s="92"/>
      <c r="AN74" s="92"/>
      <c r="AO74" s="92"/>
      <c r="AP74" s="80"/>
      <c r="AT74" s="2"/>
    </row>
    <row r="75" spans="1:46" x14ac:dyDescent="0.25">
      <c r="A75" s="7"/>
      <c r="B75" s="47" t="s">
        <v>151</v>
      </c>
      <c r="C75" s="90"/>
      <c r="D75" s="91">
        <v>2753328.2347522425</v>
      </c>
      <c r="E75" s="90"/>
      <c r="F75" s="91">
        <v>55208.25</v>
      </c>
      <c r="G75" s="88">
        <v>60.924019975</v>
      </c>
      <c r="H75" s="88">
        <v>63.537360093361052</v>
      </c>
      <c r="I75" s="88">
        <v>4.1130769230769291</v>
      </c>
      <c r="J75" s="88">
        <v>31.907252513521087</v>
      </c>
      <c r="K75" s="88">
        <v>641.38353028528581</v>
      </c>
      <c r="L75" s="90"/>
      <c r="M75" s="88">
        <v>1.0975383941701722</v>
      </c>
      <c r="N75" s="90"/>
      <c r="O75" s="88">
        <v>1.1932419614258505</v>
      </c>
      <c r="P75" s="88">
        <v>-8.4835120513993001E-2</v>
      </c>
      <c r="Q75" s="88">
        <v>-3.994756166753044E-2</v>
      </c>
      <c r="R75" s="89">
        <v>-4.4904537763912344E-2</v>
      </c>
      <c r="S75" s="88">
        <v>0.39112043469888835</v>
      </c>
      <c r="T75" s="87">
        <v>-0.39817829861727994</v>
      </c>
      <c r="V75" s="33"/>
      <c r="W75" s="34"/>
      <c r="X75" s="34"/>
      <c r="Y75" s="34"/>
      <c r="Z75" s="34"/>
      <c r="AA75" s="34"/>
      <c r="AB75" s="34"/>
      <c r="AC75" s="34"/>
      <c r="AD75" s="34"/>
      <c r="AE75" s="34"/>
      <c r="AF75" s="34"/>
      <c r="AG75" s="34"/>
      <c r="AH75" s="34"/>
      <c r="AK75" s="80"/>
      <c r="AL75" s="93"/>
      <c r="AM75" s="92"/>
      <c r="AN75" s="92"/>
      <c r="AO75" s="92"/>
      <c r="AP75" s="80"/>
      <c r="AT75" s="2"/>
    </row>
    <row r="76" spans="1:46" x14ac:dyDescent="0.25">
      <c r="A76" s="7"/>
      <c r="B76" s="47" t="s">
        <v>152</v>
      </c>
      <c r="C76" s="90"/>
      <c r="D76" s="91">
        <v>2805192.1838923451</v>
      </c>
      <c r="E76" s="90"/>
      <c r="F76" s="91">
        <v>55842.75</v>
      </c>
      <c r="G76" s="88">
        <v>60.8968749</v>
      </c>
      <c r="H76" s="88">
        <v>63.526888061196637</v>
      </c>
      <c r="I76" s="88">
        <v>4.1400000000000059</v>
      </c>
      <c r="J76" s="88">
        <v>31.949099401382131</v>
      </c>
      <c r="K76" s="88">
        <v>645.47383267960276</v>
      </c>
      <c r="L76" s="90"/>
      <c r="M76" s="88">
        <v>1.8836820283713696</v>
      </c>
      <c r="N76" s="90"/>
      <c r="O76" s="88">
        <v>1.1492847536373585</v>
      </c>
      <c r="P76" s="88">
        <v>-4.4555620281028219E-2</v>
      </c>
      <c r="Q76" s="88">
        <v>-1.6481692265823966E-2</v>
      </c>
      <c r="R76" s="89">
        <v>-2.8077944373572361E-2</v>
      </c>
      <c r="S76" s="88">
        <v>0.13115164912211874</v>
      </c>
      <c r="T76" s="87">
        <v>0.637731123606744</v>
      </c>
      <c r="V76" s="33"/>
      <c r="W76" s="34"/>
      <c r="X76" s="34"/>
      <c r="Y76" s="34"/>
      <c r="Z76" s="34"/>
      <c r="AA76" s="34"/>
      <c r="AB76" s="34"/>
      <c r="AC76" s="34"/>
      <c r="AD76" s="34"/>
      <c r="AE76" s="34"/>
      <c r="AF76" s="34"/>
      <c r="AG76" s="34"/>
      <c r="AH76" s="34"/>
      <c r="AK76" s="80"/>
      <c r="AL76" s="93"/>
      <c r="AM76" s="92"/>
      <c r="AN76" s="92"/>
      <c r="AO76" s="92"/>
      <c r="AP76" s="80"/>
      <c r="AT76" s="2"/>
    </row>
    <row r="77" spans="1:46" x14ac:dyDescent="0.25">
      <c r="A77" s="7"/>
      <c r="B77" s="47" t="s">
        <v>153</v>
      </c>
      <c r="C77" s="90"/>
      <c r="D77" s="91">
        <v>2848007.1373821045</v>
      </c>
      <c r="E77" s="90"/>
      <c r="F77" s="91">
        <v>56416.75</v>
      </c>
      <c r="G77" s="88">
        <v>60.875668425000001</v>
      </c>
      <c r="H77" s="88">
        <v>63.504765730673455</v>
      </c>
      <c r="I77" s="88">
        <v>4.1400000000000059</v>
      </c>
      <c r="J77" s="88">
        <v>31.950063510606466</v>
      </c>
      <c r="K77" s="88">
        <v>648.8681906043887</v>
      </c>
      <c r="L77" s="90"/>
      <c r="M77" s="88">
        <v>1.5262752311804739</v>
      </c>
      <c r="N77" s="90"/>
      <c r="O77" s="88">
        <v>1.0278863415573269</v>
      </c>
      <c r="P77" s="88">
        <v>-3.4823585011256597E-2</v>
      </c>
      <c r="Q77" s="88">
        <v>-3.4823570299669093E-2</v>
      </c>
      <c r="R77" s="89">
        <v>0</v>
      </c>
      <c r="S77" s="88">
        <v>3.0176413182259054E-3</v>
      </c>
      <c r="T77" s="87">
        <v>0.52587072518410771</v>
      </c>
      <c r="V77" s="33"/>
      <c r="W77" s="34"/>
      <c r="X77" s="34"/>
      <c r="Y77" s="34"/>
      <c r="Z77" s="34"/>
      <c r="AA77" s="34"/>
      <c r="AB77" s="34"/>
      <c r="AC77" s="34"/>
      <c r="AD77" s="34"/>
      <c r="AE77" s="34"/>
      <c r="AF77" s="34"/>
      <c r="AG77" s="34"/>
      <c r="AH77" s="34"/>
      <c r="AK77" s="80"/>
      <c r="AL77" s="93"/>
      <c r="AM77" s="92"/>
      <c r="AN77" s="92"/>
      <c r="AO77" s="92"/>
      <c r="AP77" s="80"/>
      <c r="AT77" s="2"/>
    </row>
    <row r="78" spans="1:46" x14ac:dyDescent="0.25">
      <c r="A78" s="7"/>
      <c r="B78" s="47" t="s">
        <v>154</v>
      </c>
      <c r="C78" s="90"/>
      <c r="D78" s="91">
        <v>2892362.1169583462</v>
      </c>
      <c r="E78" s="90"/>
      <c r="F78" s="91">
        <v>56860.133350000004</v>
      </c>
      <c r="G78" s="88">
        <v>60.808681125000007</v>
      </c>
      <c r="H78" s="88">
        <v>63.434885381971696</v>
      </c>
      <c r="I78" s="88">
        <v>4.1400000000000006</v>
      </c>
      <c r="J78" s="88">
        <v>31.928802574916226</v>
      </c>
      <c r="K78" s="88">
        <v>654.99248213923283</v>
      </c>
      <c r="L78" s="90"/>
      <c r="M78" s="88">
        <v>1.5574040877233575</v>
      </c>
      <c r="N78" s="90"/>
      <c r="O78" s="88">
        <v>0.78590728817240496</v>
      </c>
      <c r="P78" s="88">
        <v>-0.1100395309540203</v>
      </c>
      <c r="Q78" s="88">
        <v>-0.11003953466756089</v>
      </c>
      <c r="R78" s="89">
        <v>0</v>
      </c>
      <c r="S78" s="88">
        <v>-6.6544267378942923E-2</v>
      </c>
      <c r="T78" s="87">
        <v>0.94384215831873064</v>
      </c>
      <c r="V78" s="33"/>
      <c r="W78" s="34"/>
      <c r="X78" s="34"/>
      <c r="Y78" s="34"/>
      <c r="Z78" s="34"/>
      <c r="AA78" s="34"/>
      <c r="AB78" s="34"/>
      <c r="AC78" s="34"/>
      <c r="AD78" s="34"/>
      <c r="AE78" s="34"/>
      <c r="AF78" s="34"/>
      <c r="AG78" s="34"/>
      <c r="AH78" s="34"/>
      <c r="AK78" s="80"/>
      <c r="AL78" s="93"/>
      <c r="AM78" s="92"/>
      <c r="AN78" s="92"/>
      <c r="AO78" s="92"/>
      <c r="AP78" s="80"/>
      <c r="AT78" s="2"/>
    </row>
    <row r="79" spans="1:46" x14ac:dyDescent="0.25">
      <c r="A79" s="7"/>
      <c r="B79" s="318" t="s">
        <v>155</v>
      </c>
      <c r="C79" s="90"/>
      <c r="D79" s="91">
        <v>2919815.5572078768</v>
      </c>
      <c r="E79" s="90"/>
      <c r="F79" s="91">
        <v>57159.091824999996</v>
      </c>
      <c r="G79" s="88">
        <v>60.751130399999994</v>
      </c>
      <c r="H79" s="88">
        <v>63.374849137445175</v>
      </c>
      <c r="I79" s="88">
        <v>4.1400000000000006</v>
      </c>
      <c r="J79" s="88">
        <v>31.883017535400644</v>
      </c>
      <c r="K79" s="88">
        <v>659.31940831184443</v>
      </c>
      <c r="L79" s="90"/>
      <c r="M79" s="88">
        <v>0.94917023316571925</v>
      </c>
      <c r="N79" s="90"/>
      <c r="O79" s="88">
        <v>0.52577870888863565</v>
      </c>
      <c r="P79" s="88">
        <v>-9.4642284514789843E-2</v>
      </c>
      <c r="Q79" s="88">
        <v>-9.4642315762083484E-2</v>
      </c>
      <c r="R79" s="89">
        <v>0</v>
      </c>
      <c r="S79" s="88">
        <v>-0.14339729593101369</v>
      </c>
      <c r="T79" s="87">
        <v>0.66060699788181854</v>
      </c>
      <c r="V79" s="33"/>
      <c r="W79" s="34"/>
      <c r="X79" s="34"/>
      <c r="Y79" s="34"/>
      <c r="Z79" s="34"/>
      <c r="AA79" s="34"/>
      <c r="AB79" s="34"/>
      <c r="AC79" s="34"/>
      <c r="AD79" s="34"/>
      <c r="AE79" s="34"/>
      <c r="AF79" s="34"/>
      <c r="AG79" s="34"/>
      <c r="AH79" s="34"/>
      <c r="AK79" s="80"/>
      <c r="AL79" s="93"/>
      <c r="AM79" s="92"/>
      <c r="AN79" s="92"/>
      <c r="AO79" s="92"/>
      <c r="AP79" s="80"/>
      <c r="AT79" s="2"/>
    </row>
    <row r="80" spans="1:46" x14ac:dyDescent="0.25">
      <c r="A80" s="7"/>
      <c r="B80" s="318" t="s">
        <v>156</v>
      </c>
      <c r="C80" s="319"/>
      <c r="D80" s="214">
        <v>2960323.8963320237</v>
      </c>
      <c r="E80" s="319"/>
      <c r="F80" s="91">
        <v>57477.661800000002</v>
      </c>
      <c r="G80" s="88">
        <v>60.705962925000001</v>
      </c>
      <c r="H80" s="88">
        <v>63.327730984168731</v>
      </c>
      <c r="I80" s="88">
        <v>4.1400000000000006</v>
      </c>
      <c r="J80" s="88">
        <v>31.826371332122577</v>
      </c>
      <c r="K80" s="88">
        <v>666.43966404977164</v>
      </c>
      <c r="L80" s="90"/>
      <c r="M80" s="88">
        <v>1.3873595208487632</v>
      </c>
      <c r="N80" s="90"/>
      <c r="O80" s="88">
        <v>0.55733911234165934</v>
      </c>
      <c r="P80" s="88">
        <v>-7.4348369656007662E-2</v>
      </c>
      <c r="Q80" s="88">
        <v>-7.4348347834729545E-2</v>
      </c>
      <c r="R80" s="89">
        <v>0</v>
      </c>
      <c r="S80" s="88">
        <v>-0.1776688897629275</v>
      </c>
      <c r="T80" s="87">
        <v>1.0799402608453912</v>
      </c>
      <c r="V80" s="33"/>
      <c r="W80" s="34"/>
      <c r="X80" s="34"/>
      <c r="Y80" s="34"/>
      <c r="Z80" s="34"/>
      <c r="AA80" s="34"/>
      <c r="AB80" s="34"/>
      <c r="AC80" s="34"/>
      <c r="AD80" s="34"/>
      <c r="AE80" s="34"/>
      <c r="AF80" s="34"/>
      <c r="AG80" s="34"/>
      <c r="AH80" s="34"/>
      <c r="AK80" s="80"/>
      <c r="AL80" s="93"/>
      <c r="AM80" s="92"/>
      <c r="AN80" s="92"/>
      <c r="AO80" s="92"/>
      <c r="AP80" s="80"/>
      <c r="AT80" s="2"/>
    </row>
    <row r="81" spans="1:46" x14ac:dyDescent="0.25">
      <c r="A81" s="7"/>
      <c r="B81" s="318" t="s">
        <v>157</v>
      </c>
      <c r="C81" s="433"/>
      <c r="D81" s="214">
        <v>3003413.2069930923</v>
      </c>
      <c r="E81" s="319"/>
      <c r="F81" s="91">
        <v>57802.148199999996</v>
      </c>
      <c r="G81" s="88">
        <v>60.683184249999996</v>
      </c>
      <c r="H81" s="88">
        <v>63.303968549824447</v>
      </c>
      <c r="I81" s="88">
        <v>4.1400000000000006</v>
      </c>
      <c r="J81" s="88">
        <v>31.77272934716251</v>
      </c>
      <c r="K81" s="88">
        <v>673.73208616990394</v>
      </c>
      <c r="L81" s="90"/>
      <c r="M81" s="88">
        <v>1.4555606808585475</v>
      </c>
      <c r="N81" s="90"/>
      <c r="O81" s="88">
        <v>0.56454349366032996</v>
      </c>
      <c r="P81" s="88">
        <v>-3.7522961340963334E-2</v>
      </c>
      <c r="Q81" s="88">
        <v>-3.7522952385937725E-2</v>
      </c>
      <c r="R81" s="89">
        <v>0</v>
      </c>
      <c r="S81" s="88">
        <v>-0.16854571449659295</v>
      </c>
      <c r="T81" s="87">
        <v>1.0942359096423271</v>
      </c>
      <c r="V81" s="33"/>
      <c r="W81" s="34"/>
      <c r="X81" s="34"/>
      <c r="Y81" s="34"/>
      <c r="Z81" s="34"/>
      <c r="AA81" s="34"/>
      <c r="AB81" s="34"/>
      <c r="AC81" s="34"/>
      <c r="AD81" s="34"/>
      <c r="AE81" s="34"/>
      <c r="AF81" s="34"/>
      <c r="AG81" s="34"/>
      <c r="AH81" s="34"/>
      <c r="AK81" s="80"/>
      <c r="AL81" s="93"/>
      <c r="AM81" s="92"/>
      <c r="AN81" s="92"/>
      <c r="AO81" s="92"/>
      <c r="AP81" s="80"/>
      <c r="AT81" s="2"/>
    </row>
    <row r="82" spans="1:46" x14ac:dyDescent="0.25">
      <c r="A82" s="7"/>
      <c r="B82" s="318" t="s">
        <v>158</v>
      </c>
      <c r="C82" s="438"/>
      <c r="D82" s="214">
        <v>3047613.6213987013</v>
      </c>
      <c r="E82" s="319"/>
      <c r="F82" s="91">
        <v>58129.277199999997</v>
      </c>
      <c r="G82" s="88">
        <v>60.660053250000004</v>
      </c>
      <c r="H82" s="88">
        <v>63.279838544891447</v>
      </c>
      <c r="I82" s="88">
        <v>4.1400000000000006</v>
      </c>
      <c r="J82" s="88">
        <v>31.723771427290146</v>
      </c>
      <c r="K82" s="88">
        <v>681.10863260769383</v>
      </c>
      <c r="L82" s="90"/>
      <c r="M82" s="88">
        <v>1.4716727722543732</v>
      </c>
      <c r="N82" s="90"/>
      <c r="O82" s="88">
        <v>0.5659460940242278</v>
      </c>
      <c r="P82" s="88">
        <v>-3.8117643768820209E-2</v>
      </c>
      <c r="Q82" s="88">
        <v>-3.8117681222482602E-2</v>
      </c>
      <c r="R82" s="89">
        <v>0</v>
      </c>
      <c r="S82" s="88">
        <v>-0.15408786364378146</v>
      </c>
      <c r="T82" s="87">
        <v>1.0948783038855714</v>
      </c>
      <c r="V82" s="33"/>
      <c r="W82" s="34"/>
      <c r="X82" s="34"/>
      <c r="Y82" s="34"/>
      <c r="Z82" s="34"/>
      <c r="AA82" s="34"/>
      <c r="AB82" s="34"/>
      <c r="AC82" s="34"/>
      <c r="AD82" s="34"/>
      <c r="AE82" s="34"/>
      <c r="AF82" s="34"/>
      <c r="AG82" s="34"/>
      <c r="AH82" s="34"/>
      <c r="AK82" s="80"/>
      <c r="AL82" s="93"/>
      <c r="AM82" s="92"/>
      <c r="AN82" s="92"/>
      <c r="AO82" s="92"/>
      <c r="AP82" s="80"/>
      <c r="AT82" s="2"/>
    </row>
    <row r="83" spans="1:46" ht="16.5" thickBot="1" x14ac:dyDescent="0.3">
      <c r="A83" s="7"/>
      <c r="B83" s="318" t="s">
        <v>649</v>
      </c>
      <c r="C83" s="438"/>
      <c r="D83" s="214">
        <v>3092526.0656775264</v>
      </c>
      <c r="E83" s="319"/>
      <c r="F83" s="91">
        <v>58453.231224999996</v>
      </c>
      <c r="G83" s="88">
        <v>60.618101750000001</v>
      </c>
      <c r="H83" s="88">
        <v>63.236075266061206</v>
      </c>
      <c r="I83" s="88">
        <v>4.1400000000000006</v>
      </c>
      <c r="J83" s="88">
        <v>31.68671860050922</v>
      </c>
      <c r="K83" s="88">
        <v>688.59546361514049</v>
      </c>
      <c r="L83" s="90"/>
      <c r="M83" s="88">
        <v>1.473692201776311</v>
      </c>
      <c r="N83" s="90"/>
      <c r="O83" s="88">
        <v>0.55729924851017909</v>
      </c>
      <c r="P83" s="88">
        <v>-6.9158363292409764E-2</v>
      </c>
      <c r="Q83" s="88">
        <v>-6.9158328839913352E-2</v>
      </c>
      <c r="R83" s="89">
        <v>0</v>
      </c>
      <c r="S83" s="88">
        <v>-0.11679830333493069</v>
      </c>
      <c r="T83" s="87">
        <v>1.0992124675887061</v>
      </c>
      <c r="V83" s="33"/>
      <c r="W83" s="34"/>
      <c r="X83" s="34"/>
      <c r="Y83" s="34"/>
      <c r="Z83" s="34"/>
      <c r="AA83" s="34"/>
      <c r="AB83" s="34"/>
      <c r="AC83" s="34"/>
      <c r="AD83" s="34"/>
      <c r="AE83" s="34"/>
      <c r="AF83" s="34"/>
      <c r="AG83" s="34"/>
      <c r="AH83" s="34"/>
      <c r="AK83" s="80"/>
      <c r="AL83" s="93"/>
      <c r="AM83" s="92"/>
      <c r="AN83" s="92"/>
      <c r="AO83" s="92"/>
      <c r="AP83" s="80"/>
      <c r="AT83" s="2"/>
    </row>
    <row r="84" spans="1:46" x14ac:dyDescent="0.25">
      <c r="A84" s="7"/>
      <c r="B84" s="387" t="s">
        <v>159</v>
      </c>
      <c r="C84" s="388"/>
      <c r="D84" s="388"/>
      <c r="E84" s="388"/>
      <c r="F84" s="388"/>
      <c r="G84" s="388"/>
      <c r="H84" s="388"/>
      <c r="I84" s="388"/>
      <c r="J84" s="388"/>
      <c r="K84" s="388"/>
      <c r="L84" s="388"/>
      <c r="M84" s="388"/>
      <c r="N84" s="388"/>
      <c r="O84" s="388"/>
      <c r="P84" s="388"/>
      <c r="Q84" s="388"/>
      <c r="R84" s="439"/>
      <c r="S84" s="388"/>
      <c r="T84" s="389"/>
      <c r="V84" s="33"/>
      <c r="W84" s="34"/>
      <c r="X84" s="34"/>
      <c r="Y84" s="34"/>
      <c r="Z84" s="34"/>
      <c r="AA84" s="34"/>
      <c r="AB84" s="34"/>
      <c r="AC84" s="34"/>
      <c r="AD84" s="34"/>
      <c r="AE84" s="34"/>
      <c r="AF84" s="34"/>
      <c r="AG84" s="34"/>
      <c r="AH84" s="34"/>
      <c r="AK84" s="80"/>
      <c r="AL84" s="93"/>
      <c r="AM84" s="92"/>
      <c r="AN84" s="92"/>
      <c r="AO84" s="92"/>
      <c r="AP84" s="80"/>
      <c r="AT84" s="2"/>
    </row>
    <row r="85" spans="1:46" x14ac:dyDescent="0.25">
      <c r="A85" s="7"/>
      <c r="B85" s="364" t="s">
        <v>596</v>
      </c>
      <c r="C85" s="162"/>
      <c r="D85" s="162"/>
      <c r="E85" s="162"/>
      <c r="F85" s="162"/>
      <c r="G85" s="162"/>
      <c r="H85" s="162"/>
      <c r="I85" s="162"/>
      <c r="J85" s="162"/>
      <c r="K85" s="162"/>
      <c r="L85" s="162"/>
      <c r="M85" s="162"/>
      <c r="N85" s="162"/>
      <c r="O85" s="162"/>
      <c r="P85" s="162"/>
      <c r="Q85" s="162"/>
      <c r="R85" s="440"/>
      <c r="S85" s="162"/>
      <c r="T85" s="278"/>
      <c r="V85" s="33"/>
      <c r="W85" s="34"/>
      <c r="X85" s="34"/>
      <c r="Y85" s="34"/>
      <c r="Z85" s="34"/>
      <c r="AA85" s="34"/>
      <c r="AB85" s="34"/>
      <c r="AC85" s="34"/>
      <c r="AD85" s="34"/>
      <c r="AE85" s="34"/>
      <c r="AF85" s="34"/>
      <c r="AG85" s="34"/>
      <c r="AH85" s="34"/>
      <c r="AK85" s="80"/>
      <c r="AL85" s="93"/>
      <c r="AM85" s="92"/>
      <c r="AN85" s="92"/>
      <c r="AO85" s="92"/>
      <c r="AP85" s="80"/>
      <c r="AT85" s="2"/>
    </row>
    <row r="86" spans="1:46" x14ac:dyDescent="0.25">
      <c r="A86" s="7"/>
      <c r="B86" s="61" t="s">
        <v>597</v>
      </c>
      <c r="C86" s="2"/>
      <c r="E86" s="2"/>
      <c r="L86" s="2"/>
      <c r="M86" s="2"/>
      <c r="N86" s="2"/>
      <c r="O86" s="2"/>
      <c r="P86" s="2"/>
      <c r="Q86" s="2"/>
      <c r="R86" s="441"/>
      <c r="S86" s="2"/>
      <c r="T86" s="55"/>
      <c r="V86" s="33"/>
      <c r="W86" s="34"/>
      <c r="X86" s="34"/>
      <c r="Y86" s="34"/>
      <c r="Z86" s="34"/>
      <c r="AA86" s="34"/>
      <c r="AB86" s="34"/>
      <c r="AC86" s="34"/>
      <c r="AD86" s="34"/>
      <c r="AE86" s="34"/>
      <c r="AF86" s="34"/>
      <c r="AG86" s="34"/>
      <c r="AH86" s="34"/>
      <c r="AK86" s="80"/>
      <c r="AL86" s="80"/>
      <c r="AM86" s="80"/>
      <c r="AN86" s="80"/>
      <c r="AO86" s="80"/>
      <c r="AP86" s="80"/>
      <c r="AT86" s="2"/>
    </row>
    <row r="87" spans="1:46" x14ac:dyDescent="0.25">
      <c r="A87" s="7"/>
      <c r="B87" s="61" t="s">
        <v>598</v>
      </c>
      <c r="C87" s="2"/>
      <c r="E87" s="2"/>
      <c r="L87" s="2"/>
      <c r="M87" s="2"/>
      <c r="N87" s="2"/>
      <c r="O87" s="2"/>
      <c r="P87" s="2"/>
      <c r="Q87" s="2"/>
      <c r="R87" s="441"/>
      <c r="S87" s="2"/>
      <c r="T87" s="55"/>
      <c r="V87" s="33"/>
      <c r="W87" s="34"/>
      <c r="X87" s="34"/>
      <c r="Y87" s="34"/>
      <c r="Z87" s="34"/>
      <c r="AA87" s="34"/>
      <c r="AB87" s="34"/>
      <c r="AC87" s="34"/>
      <c r="AD87" s="34"/>
      <c r="AE87" s="34"/>
      <c r="AF87" s="34"/>
      <c r="AG87" s="34"/>
      <c r="AH87" s="34"/>
      <c r="AT87" s="2"/>
    </row>
    <row r="88" spans="1:46" x14ac:dyDescent="0.25">
      <c r="A88" s="7"/>
      <c r="B88" s="61" t="s">
        <v>599</v>
      </c>
      <c r="C88" s="86"/>
      <c r="D88" s="86"/>
      <c r="E88" s="86"/>
      <c r="F88" s="86"/>
      <c r="G88" s="86"/>
      <c r="H88" s="86"/>
      <c r="I88" s="86"/>
      <c r="J88" s="86"/>
      <c r="L88" s="2"/>
      <c r="M88" s="2"/>
      <c r="N88" s="2"/>
      <c r="O88" s="2"/>
      <c r="P88" s="2"/>
      <c r="Q88" s="2"/>
      <c r="R88" s="441"/>
      <c r="S88" s="2"/>
      <c r="T88" s="55"/>
      <c r="V88" s="33"/>
      <c r="W88" s="34"/>
      <c r="X88" s="34"/>
      <c r="Y88" s="34"/>
      <c r="Z88" s="34"/>
      <c r="AA88" s="34"/>
      <c r="AB88" s="34"/>
      <c r="AC88" s="34"/>
      <c r="AD88" s="34"/>
      <c r="AE88" s="34"/>
      <c r="AF88" s="34"/>
      <c r="AG88" s="34"/>
      <c r="AH88" s="34"/>
      <c r="AT88" s="2"/>
    </row>
    <row r="89" spans="1:46" x14ac:dyDescent="0.25">
      <c r="A89" s="7"/>
      <c r="B89" s="276" t="s">
        <v>600</v>
      </c>
      <c r="C89" s="277"/>
      <c r="D89" s="277"/>
      <c r="E89" s="277"/>
      <c r="F89" s="277"/>
      <c r="G89" s="277"/>
      <c r="H89" s="277"/>
      <c r="I89" s="277"/>
      <c r="J89" s="277"/>
      <c r="K89" s="277"/>
      <c r="L89" s="277"/>
      <c r="M89" s="277"/>
      <c r="N89" s="277"/>
      <c r="O89" s="277"/>
      <c r="P89" s="277"/>
      <c r="Q89" s="277"/>
      <c r="R89" s="442"/>
      <c r="S89" s="277"/>
      <c r="T89" s="278"/>
      <c r="V89" s="33"/>
      <c r="W89" s="34"/>
      <c r="X89" s="34"/>
      <c r="Y89" s="34"/>
      <c r="Z89" s="34"/>
      <c r="AA89" s="34"/>
      <c r="AB89" s="34"/>
      <c r="AC89" s="34"/>
      <c r="AD89" s="34"/>
      <c r="AE89" s="34"/>
      <c r="AF89" s="34"/>
      <c r="AG89" s="34"/>
      <c r="AH89" s="34"/>
      <c r="AT89" s="2"/>
    </row>
    <row r="90" spans="1:46" x14ac:dyDescent="0.25">
      <c r="A90" s="7"/>
      <c r="B90" s="276" t="s">
        <v>601</v>
      </c>
      <c r="C90" s="277"/>
      <c r="D90" s="277"/>
      <c r="E90" s="277"/>
      <c r="F90" s="277"/>
      <c r="G90" s="277"/>
      <c r="H90" s="277"/>
      <c r="I90" s="277"/>
      <c r="J90" s="277"/>
      <c r="K90" s="277"/>
      <c r="L90" s="277"/>
      <c r="M90" s="277"/>
      <c r="N90" s="277"/>
      <c r="O90" s="277"/>
      <c r="P90" s="277"/>
      <c r="Q90" s="277"/>
      <c r="R90" s="442"/>
      <c r="S90" s="277"/>
      <c r="T90" s="278"/>
      <c r="V90" s="33"/>
      <c r="W90" s="34"/>
      <c r="X90" s="34"/>
      <c r="Y90" s="34"/>
      <c r="Z90" s="34"/>
      <c r="AA90" s="34"/>
      <c r="AB90" s="34"/>
      <c r="AC90" s="34"/>
      <c r="AD90" s="34"/>
      <c r="AE90" s="34"/>
      <c r="AF90" s="34"/>
      <c r="AG90" s="34"/>
      <c r="AH90" s="34"/>
      <c r="AT90" s="2"/>
    </row>
    <row r="91" spans="1:46" x14ac:dyDescent="0.25">
      <c r="A91" s="7"/>
      <c r="B91" s="61" t="s">
        <v>289</v>
      </c>
      <c r="C91" s="86"/>
      <c r="D91" s="86"/>
      <c r="E91" s="86"/>
      <c r="F91" s="86"/>
      <c r="G91" s="86"/>
      <c r="H91" s="86"/>
      <c r="I91" s="86"/>
      <c r="J91" s="86"/>
      <c r="K91" s="86"/>
      <c r="L91" s="86"/>
      <c r="M91" s="86"/>
      <c r="N91" s="86"/>
      <c r="O91" s="86"/>
      <c r="P91" s="86"/>
      <c r="Q91" s="86"/>
      <c r="R91" s="443"/>
      <c r="S91" s="86"/>
      <c r="T91" s="62"/>
      <c r="V91" s="33"/>
      <c r="W91" s="34"/>
      <c r="X91" s="34"/>
      <c r="Y91" s="34"/>
      <c r="Z91" s="34"/>
      <c r="AA91" s="34"/>
      <c r="AB91" s="34"/>
      <c r="AC91" s="34"/>
      <c r="AD91" s="34"/>
      <c r="AE91" s="34"/>
      <c r="AF91" s="34"/>
      <c r="AG91" s="34"/>
      <c r="AH91" s="34"/>
      <c r="AT91" s="2"/>
    </row>
    <row r="92" spans="1:46" x14ac:dyDescent="0.25">
      <c r="A92" s="7"/>
      <c r="B92" s="59" t="s">
        <v>602</v>
      </c>
      <c r="C92" s="85"/>
      <c r="D92" s="85"/>
      <c r="E92" s="85"/>
      <c r="F92" s="85"/>
      <c r="G92" s="85"/>
      <c r="H92" s="85"/>
      <c r="I92" s="85"/>
      <c r="J92" s="85"/>
      <c r="K92" s="85"/>
      <c r="L92" s="85"/>
      <c r="M92" s="85"/>
      <c r="N92" s="85"/>
      <c r="O92" s="85"/>
      <c r="P92" s="85"/>
      <c r="Q92" s="85"/>
      <c r="R92" s="444"/>
      <c r="S92" s="85"/>
      <c r="T92" s="60"/>
      <c r="V92" s="33"/>
      <c r="W92" s="34"/>
      <c r="X92" s="34"/>
      <c r="Y92" s="34"/>
      <c r="Z92" s="34"/>
      <c r="AA92" s="34"/>
      <c r="AB92" s="34"/>
      <c r="AC92" s="34"/>
      <c r="AD92" s="34"/>
      <c r="AE92" s="34"/>
      <c r="AF92" s="34"/>
      <c r="AG92" s="34"/>
      <c r="AH92" s="34"/>
      <c r="AT92" s="2"/>
    </row>
    <row r="93" spans="1:46" x14ac:dyDescent="0.25">
      <c r="A93" s="7"/>
      <c r="B93" s="59" t="s">
        <v>603</v>
      </c>
      <c r="C93" s="85"/>
      <c r="D93" s="85"/>
      <c r="E93" s="85"/>
      <c r="F93" s="85"/>
      <c r="G93" s="85"/>
      <c r="H93" s="85"/>
      <c r="I93" s="85"/>
      <c r="J93" s="85"/>
      <c r="K93" s="85"/>
      <c r="L93" s="85"/>
      <c r="M93" s="85"/>
      <c r="N93" s="85"/>
      <c r="O93" s="85"/>
      <c r="P93" s="85"/>
      <c r="Q93" s="85"/>
      <c r="R93" s="444"/>
      <c r="S93" s="85"/>
      <c r="T93" s="60"/>
      <c r="V93" s="33"/>
      <c r="W93" s="34"/>
      <c r="X93" s="34"/>
      <c r="Y93" s="34"/>
      <c r="Z93" s="34"/>
      <c r="AA93" s="34"/>
      <c r="AB93" s="34"/>
      <c r="AC93" s="34"/>
      <c r="AD93" s="34"/>
      <c r="AE93" s="34"/>
      <c r="AF93" s="34"/>
      <c r="AG93" s="34"/>
      <c r="AH93" s="34"/>
      <c r="AT93" s="2"/>
    </row>
    <row r="94" spans="1:46" ht="16.5" thickBot="1" x14ac:dyDescent="0.3">
      <c r="A94" s="7"/>
      <c r="B94" s="56" t="s">
        <v>604</v>
      </c>
      <c r="C94" s="57"/>
      <c r="D94" s="57"/>
      <c r="E94" s="57"/>
      <c r="F94" s="57"/>
      <c r="G94" s="57"/>
      <c r="H94" s="57"/>
      <c r="I94" s="57"/>
      <c r="J94" s="57"/>
      <c r="K94" s="57"/>
      <c r="L94" s="57"/>
      <c r="M94" s="57"/>
      <c r="N94" s="57"/>
      <c r="O94" s="57"/>
      <c r="P94" s="57"/>
      <c r="Q94" s="57"/>
      <c r="R94" s="63"/>
      <c r="S94" s="57"/>
      <c r="T94" s="58"/>
      <c r="V94" s="34"/>
      <c r="W94" s="34"/>
      <c r="X94" s="34"/>
      <c r="Y94" s="34"/>
      <c r="Z94" s="34"/>
      <c r="AA94" s="34"/>
      <c r="AB94" s="34"/>
      <c r="AC94" s="34"/>
      <c r="AD94" s="34"/>
      <c r="AE94" s="34"/>
      <c r="AF94" s="34"/>
      <c r="AG94" s="34"/>
      <c r="AH94" s="34"/>
      <c r="AT94" s="2"/>
    </row>
    <row r="95" spans="1:46" x14ac:dyDescent="0.25">
      <c r="A95" s="7"/>
      <c r="B95" s="277"/>
      <c r="C95" s="277"/>
      <c r="D95" s="277"/>
      <c r="E95" s="277"/>
      <c r="F95" s="277"/>
      <c r="G95" s="277"/>
      <c r="H95" s="277"/>
      <c r="I95" s="277"/>
      <c r="J95" s="277"/>
      <c r="K95" s="277"/>
      <c r="L95" s="277"/>
      <c r="M95" s="277"/>
      <c r="N95" s="277"/>
      <c r="O95" s="277"/>
      <c r="P95" s="277"/>
      <c r="Q95" s="277"/>
      <c r="R95" s="277"/>
      <c r="S95" s="277"/>
      <c r="T95" s="277"/>
      <c r="U95" s="277"/>
      <c r="V95" s="34"/>
      <c r="W95" s="34"/>
      <c r="X95" s="34"/>
      <c r="Y95" s="34"/>
      <c r="Z95" s="34"/>
      <c r="AA95" s="34"/>
      <c r="AB95" s="34"/>
      <c r="AC95" s="34"/>
      <c r="AD95" s="34"/>
      <c r="AE95" s="34"/>
      <c r="AF95" s="34"/>
      <c r="AG95" s="34"/>
      <c r="AH95" s="34"/>
      <c r="AT95" s="2"/>
    </row>
    <row r="96" spans="1:46" x14ac:dyDescent="0.25">
      <c r="A96" s="7"/>
      <c r="B96" s="86"/>
      <c r="C96" s="86"/>
      <c r="D96" s="86"/>
      <c r="E96" s="86"/>
      <c r="F96" s="86"/>
      <c r="G96" s="86"/>
      <c r="H96" s="86"/>
      <c r="I96" s="86"/>
      <c r="J96" s="86"/>
      <c r="K96" s="86"/>
      <c r="L96" s="86"/>
      <c r="M96" s="86"/>
      <c r="N96" s="86"/>
      <c r="O96" s="86"/>
      <c r="P96" s="86"/>
      <c r="Q96" s="86"/>
      <c r="R96" s="86"/>
      <c r="S96" s="86"/>
      <c r="T96" s="86"/>
      <c r="U96" s="2"/>
      <c r="V96" s="34"/>
      <c r="W96" s="34"/>
      <c r="X96" s="34"/>
      <c r="Y96" s="34"/>
      <c r="Z96" s="34"/>
      <c r="AA96" s="34"/>
      <c r="AB96" s="34"/>
      <c r="AC96" s="34"/>
      <c r="AD96" s="34"/>
      <c r="AE96" s="34"/>
      <c r="AF96" s="34"/>
      <c r="AG96" s="34"/>
      <c r="AH96" s="34"/>
      <c r="AT96" s="2"/>
    </row>
    <row r="97" spans="1:46" x14ac:dyDescent="0.25">
      <c r="A97" s="7"/>
      <c r="B97" s="85"/>
      <c r="C97" s="85"/>
      <c r="D97" s="85"/>
      <c r="E97" s="85"/>
      <c r="F97" s="85"/>
      <c r="G97" s="85"/>
      <c r="H97" s="85"/>
      <c r="I97" s="85"/>
      <c r="J97" s="85"/>
      <c r="K97" s="85"/>
      <c r="L97" s="85"/>
      <c r="M97" s="85"/>
      <c r="N97" s="85"/>
      <c r="O97" s="85"/>
      <c r="P97" s="85"/>
      <c r="Q97" s="85"/>
      <c r="R97" s="85"/>
      <c r="S97" s="85"/>
      <c r="T97" s="85"/>
      <c r="U97" s="2"/>
      <c r="V97" s="34"/>
      <c r="W97" s="34"/>
      <c r="X97" s="34"/>
      <c r="Y97" s="34"/>
      <c r="Z97" s="34"/>
      <c r="AA97" s="34"/>
      <c r="AB97" s="34"/>
      <c r="AC97" s="34"/>
      <c r="AD97" s="34"/>
      <c r="AE97" s="34"/>
      <c r="AF97" s="34"/>
      <c r="AG97" s="34"/>
      <c r="AH97" s="34"/>
      <c r="AT97" s="2"/>
    </row>
    <row r="98" spans="1:46" x14ac:dyDescent="0.25">
      <c r="A98" s="7"/>
      <c r="B98" s="85"/>
      <c r="C98" s="85"/>
      <c r="D98" s="85"/>
      <c r="E98" s="85"/>
      <c r="F98" s="85"/>
      <c r="G98" s="85"/>
      <c r="H98" s="85"/>
      <c r="I98" s="85"/>
      <c r="J98" s="85"/>
      <c r="K98" s="85"/>
      <c r="L98" s="85"/>
      <c r="M98" s="85"/>
      <c r="N98" s="85"/>
      <c r="O98" s="85"/>
      <c r="P98" s="85"/>
      <c r="Q98" s="85"/>
      <c r="R98" s="85"/>
      <c r="S98" s="85"/>
      <c r="T98" s="85"/>
      <c r="U98" s="2"/>
      <c r="V98" s="34"/>
      <c r="W98" s="34"/>
      <c r="X98" s="34"/>
      <c r="Y98" s="34"/>
      <c r="Z98" s="34"/>
      <c r="AA98" s="34"/>
      <c r="AB98" s="34"/>
      <c r="AC98" s="34"/>
      <c r="AD98" s="34"/>
      <c r="AE98" s="34"/>
      <c r="AF98" s="34"/>
      <c r="AG98" s="34"/>
      <c r="AH98" s="34"/>
      <c r="AT98" s="2"/>
    </row>
    <row r="99" spans="1:46" x14ac:dyDescent="0.25">
      <c r="A99" s="7"/>
      <c r="B99" s="86"/>
      <c r="C99" s="86"/>
      <c r="D99" s="86"/>
      <c r="E99" s="86"/>
      <c r="F99" s="86"/>
      <c r="G99" s="86"/>
      <c r="H99" s="86"/>
      <c r="I99" s="86"/>
      <c r="J99" s="86"/>
      <c r="K99" s="86"/>
      <c r="L99" s="86"/>
      <c r="M99" s="86"/>
      <c r="N99" s="86"/>
      <c r="O99" s="86"/>
      <c r="P99" s="86"/>
      <c r="Q99" s="86"/>
      <c r="R99" s="86"/>
      <c r="S99" s="86"/>
      <c r="T99" s="86"/>
      <c r="U99" s="277"/>
      <c r="V99" s="34"/>
      <c r="W99" s="34"/>
      <c r="X99" s="34"/>
      <c r="Y99" s="34"/>
      <c r="Z99" s="34"/>
      <c r="AA99" s="34"/>
      <c r="AB99" s="34"/>
      <c r="AC99" s="34"/>
      <c r="AD99" s="34"/>
      <c r="AE99" s="34"/>
      <c r="AF99" s="34"/>
      <c r="AG99" s="34"/>
      <c r="AH99" s="34"/>
      <c r="AT99" s="2"/>
    </row>
    <row r="100" spans="1:46" ht="18.75" x14ac:dyDescent="0.25">
      <c r="A100" s="7"/>
      <c r="B100" s="84"/>
      <c r="C100" s="82"/>
      <c r="D100" s="28"/>
      <c r="E100" s="82"/>
      <c r="F100" s="28"/>
      <c r="G100" s="28"/>
      <c r="H100" s="28"/>
      <c r="I100" s="28"/>
      <c r="J100" s="28"/>
      <c r="K100" s="28"/>
      <c r="L100" s="82"/>
      <c r="M100" s="82"/>
      <c r="N100" s="82"/>
      <c r="O100" s="82"/>
      <c r="P100" s="82"/>
      <c r="Q100" s="82"/>
      <c r="R100" s="82"/>
      <c r="S100" s="82"/>
      <c r="U100" s="277"/>
      <c r="V100" s="34"/>
      <c r="W100" s="34"/>
      <c r="X100" s="34"/>
      <c r="Y100" s="34"/>
      <c r="Z100" s="34"/>
      <c r="AA100" s="34"/>
      <c r="AB100" s="34"/>
      <c r="AC100" s="34"/>
      <c r="AD100" s="34"/>
      <c r="AE100" s="34"/>
      <c r="AF100" s="34"/>
      <c r="AG100" s="34"/>
      <c r="AH100" s="34"/>
      <c r="AT100" s="2"/>
    </row>
    <row r="101" spans="1:46" x14ac:dyDescent="0.25">
      <c r="A101" s="7"/>
      <c r="C101" s="83"/>
      <c r="E101" s="83"/>
      <c r="L101" s="83"/>
      <c r="M101" s="83"/>
      <c r="N101" s="83"/>
      <c r="O101" s="83"/>
      <c r="P101" s="83"/>
      <c r="Q101" s="83"/>
      <c r="R101" s="83"/>
      <c r="S101" s="83"/>
      <c r="U101" s="34"/>
      <c r="V101" s="34"/>
      <c r="W101" s="34"/>
      <c r="X101" s="34"/>
      <c r="Y101" s="34"/>
      <c r="Z101" s="34"/>
      <c r="AA101" s="34"/>
      <c r="AB101" s="34"/>
      <c r="AC101" s="34"/>
      <c r="AD101" s="34"/>
      <c r="AE101" s="34"/>
      <c r="AF101" s="34"/>
      <c r="AG101" s="34"/>
      <c r="AH101" s="34"/>
      <c r="AT101" s="2"/>
    </row>
    <row r="102" spans="1:46" x14ac:dyDescent="0.25">
      <c r="A102" s="7"/>
      <c r="C102" s="82"/>
      <c r="E102" s="82"/>
      <c r="L102" s="82"/>
      <c r="M102" s="82"/>
      <c r="N102" s="82"/>
      <c r="O102" s="82"/>
      <c r="P102" s="82"/>
      <c r="Q102" s="82"/>
      <c r="R102" s="82"/>
      <c r="S102" s="82"/>
      <c r="U102" s="34"/>
      <c r="V102" s="34"/>
      <c r="W102" s="34"/>
      <c r="X102" s="34"/>
      <c r="Y102" s="34"/>
      <c r="Z102" s="34"/>
      <c r="AA102" s="34"/>
      <c r="AB102" s="34"/>
      <c r="AC102" s="34"/>
      <c r="AD102" s="34"/>
      <c r="AE102" s="34"/>
      <c r="AF102" s="34"/>
      <c r="AG102" s="34"/>
      <c r="AH102" s="34"/>
      <c r="AT102" s="2"/>
    </row>
    <row r="103" spans="1:46" x14ac:dyDescent="0.25">
      <c r="A103" s="7"/>
      <c r="U103" s="34"/>
      <c r="V103" s="34"/>
      <c r="W103" s="34"/>
      <c r="X103" s="34"/>
      <c r="Y103" s="34"/>
      <c r="Z103" s="34"/>
      <c r="AA103" s="34"/>
      <c r="AB103" s="34"/>
      <c r="AC103" s="34"/>
      <c r="AD103" s="34"/>
      <c r="AE103" s="34"/>
      <c r="AF103" s="34"/>
      <c r="AG103" s="34"/>
      <c r="AH103" s="34"/>
      <c r="AT103" s="2"/>
    </row>
    <row r="104" spans="1:46" x14ac:dyDescent="0.25">
      <c r="A104" s="7"/>
      <c r="U104" s="34"/>
      <c r="V104" s="34"/>
      <c r="W104" s="34"/>
      <c r="X104" s="34"/>
      <c r="Y104" s="34"/>
      <c r="Z104" s="34"/>
      <c r="AA104" s="34"/>
      <c r="AB104" s="34"/>
      <c r="AC104" s="34"/>
      <c r="AD104" s="34"/>
      <c r="AE104" s="34"/>
      <c r="AF104" s="34"/>
      <c r="AG104" s="34"/>
      <c r="AH104" s="34"/>
      <c r="AT104" s="2"/>
    </row>
    <row r="105" spans="1:46" x14ac:dyDescent="0.25">
      <c r="A105" s="7"/>
      <c r="U105" s="34"/>
      <c r="V105" s="34"/>
      <c r="W105" s="34"/>
      <c r="X105" s="34"/>
      <c r="Y105" s="34"/>
      <c r="Z105" s="34"/>
      <c r="AA105" s="34"/>
      <c r="AB105" s="34"/>
      <c r="AC105" s="34"/>
      <c r="AD105" s="34"/>
      <c r="AE105" s="34"/>
      <c r="AF105" s="34"/>
      <c r="AG105" s="34"/>
      <c r="AH105" s="34"/>
      <c r="AT105" s="2"/>
    </row>
    <row r="106" spans="1:46" x14ac:dyDescent="0.25">
      <c r="A106" s="7"/>
      <c r="U106" s="34"/>
      <c r="V106" s="34"/>
      <c r="W106" s="34"/>
      <c r="X106" s="34"/>
      <c r="Y106" s="34"/>
      <c r="Z106" s="34"/>
      <c r="AA106" s="34"/>
      <c r="AB106" s="34"/>
      <c r="AC106" s="34"/>
      <c r="AD106" s="34"/>
      <c r="AE106" s="34"/>
      <c r="AF106" s="34"/>
      <c r="AG106" s="34"/>
      <c r="AH106" s="34"/>
      <c r="AT106" s="2"/>
    </row>
    <row r="107" spans="1:46" x14ac:dyDescent="0.25">
      <c r="A107" s="7"/>
      <c r="U107" s="34"/>
      <c r="V107" s="34"/>
      <c r="W107" s="34"/>
      <c r="X107" s="34"/>
      <c r="Y107" s="34"/>
      <c r="Z107" s="34"/>
      <c r="AA107" s="34"/>
      <c r="AB107" s="34"/>
      <c r="AC107" s="34"/>
      <c r="AD107" s="34"/>
      <c r="AE107" s="34"/>
      <c r="AF107" s="34"/>
      <c r="AG107" s="34"/>
      <c r="AH107" s="34"/>
      <c r="AT107" s="2"/>
    </row>
    <row r="108" spans="1:46" x14ac:dyDescent="0.25">
      <c r="A108" s="7"/>
      <c r="U108" s="34"/>
      <c r="V108" s="34"/>
      <c r="W108" s="34"/>
      <c r="X108" s="34"/>
      <c r="Y108" s="34"/>
      <c r="Z108" s="34"/>
      <c r="AA108" s="34"/>
      <c r="AB108" s="34"/>
      <c r="AC108" s="34"/>
      <c r="AD108" s="34"/>
      <c r="AE108" s="34"/>
      <c r="AF108" s="34"/>
      <c r="AG108" s="34"/>
      <c r="AH108" s="34"/>
      <c r="AT108" s="2"/>
    </row>
    <row r="109" spans="1:46" x14ac:dyDescent="0.25">
      <c r="A109" s="7"/>
      <c r="U109" s="34"/>
      <c r="V109" s="34"/>
      <c r="W109" s="34"/>
      <c r="X109" s="34"/>
      <c r="Y109" s="34"/>
      <c r="Z109" s="34"/>
      <c r="AA109" s="34"/>
      <c r="AB109" s="34"/>
      <c r="AC109" s="34"/>
      <c r="AD109" s="34"/>
      <c r="AE109" s="34"/>
      <c r="AF109" s="34"/>
      <c r="AG109" s="34"/>
      <c r="AH109" s="34"/>
      <c r="AT109" s="2"/>
    </row>
    <row r="110" spans="1:46" x14ac:dyDescent="0.25">
      <c r="A110" s="7"/>
      <c r="U110" s="34"/>
      <c r="V110" s="34"/>
      <c r="W110" s="34"/>
      <c r="X110" s="34"/>
      <c r="Y110" s="34"/>
      <c r="Z110" s="34"/>
      <c r="AA110" s="34"/>
      <c r="AB110" s="34"/>
      <c r="AC110" s="34"/>
      <c r="AD110" s="34"/>
      <c r="AE110" s="34"/>
      <c r="AF110" s="34"/>
      <c r="AG110" s="34"/>
      <c r="AH110" s="34"/>
      <c r="AT110" s="2"/>
    </row>
    <row r="111" spans="1:46" x14ac:dyDescent="0.25">
      <c r="A111" s="7"/>
      <c r="U111" s="34"/>
      <c r="V111" s="34"/>
      <c r="W111" s="34"/>
      <c r="X111" s="34"/>
      <c r="Y111" s="34"/>
      <c r="Z111" s="34"/>
      <c r="AA111" s="34"/>
      <c r="AB111" s="34"/>
      <c r="AC111" s="34"/>
      <c r="AD111" s="34"/>
      <c r="AE111" s="34"/>
      <c r="AF111" s="34"/>
      <c r="AG111" s="34"/>
      <c r="AH111" s="34"/>
      <c r="AT111" s="2"/>
    </row>
    <row r="112" spans="1:46" x14ac:dyDescent="0.25">
      <c r="A112" s="7"/>
      <c r="U112" s="34"/>
      <c r="V112" s="34"/>
      <c r="W112" s="34"/>
      <c r="X112" s="34"/>
      <c r="Y112" s="34"/>
      <c r="Z112" s="34"/>
      <c r="AA112" s="34"/>
      <c r="AB112" s="34"/>
      <c r="AC112" s="34"/>
      <c r="AD112" s="34"/>
      <c r="AE112" s="34"/>
      <c r="AF112" s="34"/>
      <c r="AG112" s="34"/>
      <c r="AH112" s="34"/>
      <c r="AT112" s="2"/>
    </row>
    <row r="113" spans="1:46" x14ac:dyDescent="0.25">
      <c r="A113" s="7"/>
      <c r="U113" s="34"/>
      <c r="V113" s="34"/>
      <c r="W113" s="34"/>
      <c r="X113" s="34"/>
      <c r="Y113" s="34"/>
      <c r="Z113" s="34"/>
      <c r="AA113" s="34"/>
      <c r="AB113" s="34"/>
      <c r="AC113" s="34"/>
      <c r="AD113" s="34"/>
      <c r="AE113" s="34"/>
      <c r="AF113" s="34"/>
      <c r="AG113" s="34"/>
      <c r="AH113" s="34"/>
      <c r="AT113" s="2"/>
    </row>
    <row r="114" spans="1:46" x14ac:dyDescent="0.25">
      <c r="A114" s="7"/>
      <c r="U114" s="34"/>
      <c r="V114" s="34"/>
      <c r="W114" s="34"/>
      <c r="X114" s="34"/>
      <c r="Y114" s="34"/>
      <c r="Z114" s="34"/>
      <c r="AA114" s="34"/>
    </row>
    <row r="115" spans="1:46" x14ac:dyDescent="0.25">
      <c r="A115" s="7"/>
      <c r="U115" s="34"/>
      <c r="V115" s="34"/>
      <c r="W115" s="34"/>
      <c r="X115" s="34"/>
      <c r="Y115" s="34"/>
      <c r="Z115" s="34"/>
      <c r="AA115" s="34"/>
    </row>
    <row r="116" spans="1:46" x14ac:dyDescent="0.25">
      <c r="A116" s="7"/>
      <c r="U116" s="34"/>
      <c r="V116" s="34"/>
      <c r="W116" s="34"/>
      <c r="X116" s="34"/>
      <c r="Y116" s="34"/>
      <c r="Z116" s="34"/>
      <c r="AA116" s="34"/>
    </row>
    <row r="117" spans="1:46" x14ac:dyDescent="0.25">
      <c r="A117" s="7"/>
      <c r="U117" s="34"/>
      <c r="V117" s="34"/>
      <c r="W117" s="34"/>
      <c r="X117" s="34"/>
      <c r="Y117" s="34"/>
      <c r="Z117" s="34"/>
      <c r="AA117" s="34"/>
    </row>
    <row r="118" spans="1:46" x14ac:dyDescent="0.25">
      <c r="A118" s="7"/>
      <c r="U118" s="34"/>
      <c r="V118" s="34"/>
      <c r="W118" s="34"/>
      <c r="X118" s="34"/>
      <c r="Y118" s="34"/>
      <c r="Z118" s="34"/>
      <c r="AA118" s="34"/>
    </row>
    <row r="119" spans="1:46" x14ac:dyDescent="0.25">
      <c r="A119" s="7"/>
      <c r="U119" s="34"/>
      <c r="V119" s="34"/>
      <c r="W119" s="34"/>
      <c r="X119" s="34"/>
      <c r="Y119" s="34"/>
      <c r="Z119" s="34"/>
      <c r="AA119" s="34"/>
    </row>
    <row r="120" spans="1:46" x14ac:dyDescent="0.25">
      <c r="A120" s="7"/>
      <c r="U120" s="34"/>
      <c r="V120" s="34"/>
      <c r="W120" s="34"/>
      <c r="X120" s="34"/>
      <c r="Y120" s="34"/>
      <c r="Z120" s="34"/>
      <c r="AA120" s="34"/>
    </row>
    <row r="121" spans="1:46" x14ac:dyDescent="0.25">
      <c r="A121" s="7"/>
      <c r="U121" s="34"/>
      <c r="V121" s="34"/>
      <c r="W121" s="34"/>
      <c r="X121" s="34"/>
      <c r="Y121" s="34"/>
      <c r="Z121" s="34"/>
      <c r="AA121" s="34"/>
    </row>
    <row r="122" spans="1:46" x14ac:dyDescent="0.25">
      <c r="A122" s="7"/>
      <c r="U122" s="34"/>
      <c r="V122" s="34"/>
      <c r="W122" s="34"/>
      <c r="X122" s="34"/>
      <c r="Y122" s="34"/>
      <c r="Z122" s="34"/>
      <c r="AA122" s="34"/>
    </row>
    <row r="123" spans="1:46" x14ac:dyDescent="0.25">
      <c r="A123" s="7"/>
      <c r="U123" s="34"/>
      <c r="V123" s="34"/>
      <c r="W123" s="34"/>
      <c r="X123" s="34"/>
      <c r="Y123" s="34"/>
      <c r="Z123" s="34"/>
      <c r="AA123" s="34"/>
    </row>
    <row r="124" spans="1:46" x14ac:dyDescent="0.25">
      <c r="A124" s="7"/>
      <c r="U124" s="34"/>
      <c r="V124" s="34"/>
      <c r="W124" s="34"/>
      <c r="X124" s="34"/>
      <c r="Y124" s="34"/>
      <c r="Z124" s="34"/>
      <c r="AA124" s="34"/>
    </row>
    <row r="125" spans="1:46" x14ac:dyDescent="0.25">
      <c r="A125" s="7"/>
      <c r="U125" s="34"/>
      <c r="V125" s="34"/>
      <c r="W125" s="34"/>
      <c r="X125" s="34"/>
      <c r="Y125" s="34"/>
      <c r="Z125" s="34"/>
      <c r="AA125" s="34"/>
    </row>
    <row r="126" spans="1:46" x14ac:dyDescent="0.25">
      <c r="A126" s="7"/>
      <c r="U126" s="34"/>
      <c r="V126" s="34"/>
      <c r="W126" s="34"/>
      <c r="X126" s="34"/>
      <c r="Y126" s="34"/>
      <c r="Z126" s="34"/>
      <c r="AA126" s="34"/>
    </row>
    <row r="127" spans="1:46" x14ac:dyDescent="0.25">
      <c r="A127" s="7"/>
      <c r="U127" s="34"/>
      <c r="V127" s="34"/>
      <c r="W127" s="34"/>
      <c r="X127" s="34"/>
      <c r="Y127" s="34"/>
      <c r="Z127" s="34"/>
      <c r="AA127" s="34"/>
    </row>
    <row r="128" spans="1:46" x14ac:dyDescent="0.25">
      <c r="A128" s="7"/>
      <c r="U128" s="36"/>
      <c r="V128" s="34"/>
      <c r="W128" s="34"/>
      <c r="X128" s="34"/>
      <c r="Y128" s="34"/>
      <c r="Z128" s="34"/>
      <c r="AA128" s="34"/>
    </row>
    <row r="129" spans="1:27" x14ac:dyDescent="0.25">
      <c r="A129" s="7"/>
      <c r="U129" s="36"/>
      <c r="V129" s="34"/>
      <c r="W129" s="34"/>
      <c r="X129" s="34"/>
      <c r="Y129" s="34"/>
      <c r="Z129" s="34"/>
      <c r="AA129" s="34"/>
    </row>
    <row r="130" spans="1:27" x14ac:dyDescent="0.25">
      <c r="A130" s="7"/>
      <c r="U130" s="36"/>
      <c r="V130" s="34"/>
      <c r="W130" s="34"/>
      <c r="X130" s="34"/>
      <c r="Y130" s="34"/>
      <c r="Z130" s="34"/>
      <c r="AA130" s="34"/>
    </row>
    <row r="131" spans="1:27" x14ac:dyDescent="0.25">
      <c r="A131" s="7"/>
      <c r="U131" s="36"/>
      <c r="V131" s="34"/>
      <c r="W131" s="34"/>
      <c r="X131" s="34"/>
      <c r="Y131" s="34"/>
      <c r="Z131" s="34"/>
      <c r="AA131" s="34"/>
    </row>
    <row r="132" spans="1:27" x14ac:dyDescent="0.25">
      <c r="A132" s="7"/>
      <c r="U132" s="36"/>
    </row>
    <row r="133" spans="1:27" x14ac:dyDescent="0.25">
      <c r="A133" s="7"/>
      <c r="U133" s="36"/>
    </row>
    <row r="134" spans="1:27" x14ac:dyDescent="0.25">
      <c r="A134" s="7"/>
      <c r="U134" s="36"/>
    </row>
    <row r="135" spans="1:27" x14ac:dyDescent="0.25">
      <c r="A135" s="7"/>
      <c r="U135" s="36"/>
    </row>
    <row r="136" spans="1:27" x14ac:dyDescent="0.25">
      <c r="A136" s="7"/>
      <c r="U136" s="36"/>
    </row>
    <row r="137" spans="1:27" x14ac:dyDescent="0.25">
      <c r="U137" s="36"/>
    </row>
    <row r="138" spans="1:27" x14ac:dyDescent="0.25">
      <c r="U138" s="36"/>
    </row>
    <row r="139" spans="1:27" x14ac:dyDescent="0.25">
      <c r="U139" s="36"/>
    </row>
    <row r="140" spans="1:27" x14ac:dyDescent="0.25">
      <c r="U140" s="36"/>
    </row>
    <row r="141" spans="1:27" x14ac:dyDescent="0.25">
      <c r="U141" s="36"/>
    </row>
    <row r="142" spans="1:27" x14ac:dyDescent="0.25">
      <c r="U142" s="36"/>
    </row>
    <row r="143" spans="1:27" x14ac:dyDescent="0.25">
      <c r="U143" s="36"/>
    </row>
    <row r="144" spans="1:27" x14ac:dyDescent="0.25">
      <c r="U144" s="36"/>
    </row>
    <row r="145" spans="21:21" x14ac:dyDescent="0.25">
      <c r="U145" s="36"/>
    </row>
    <row r="146" spans="21:21" x14ac:dyDescent="0.25">
      <c r="U146" s="36"/>
    </row>
    <row r="160" spans="21:21" ht="15.75" customHeight="1" x14ac:dyDescent="0.25"/>
    <row r="161" ht="16.5" customHeight="1" x14ac:dyDescent="0.25"/>
    <row r="162" ht="16.5" customHeight="1" x14ac:dyDescent="0.25"/>
    <row r="163" ht="15.75" customHeight="1" x14ac:dyDescent="0.25"/>
    <row r="164" ht="15.75" customHeight="1" x14ac:dyDescent="0.25"/>
    <row r="165" ht="16.5" customHeight="1" x14ac:dyDescent="0.25"/>
  </sheetData>
  <mergeCells count="3">
    <mergeCell ref="B2:T2"/>
    <mergeCell ref="C3:K3"/>
    <mergeCell ref="L3:T3"/>
  </mergeCells>
  <phoneticPr fontId="91" type="noConversion"/>
  <hyperlinks>
    <hyperlink ref="A1" location="Contents!A1" display="Back to contents" xr:uid="{D7B7DAAC-B95C-4C62-BCBE-7FFF2F620437}"/>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D99E5-D9C7-4091-9737-179CA893822D}">
  <sheetPr codeName="Sheet18">
    <tabColor theme="5"/>
  </sheetPr>
  <dimension ref="A1:V315"/>
  <sheetViews>
    <sheetView zoomScaleNormal="100" zoomScaleSheetLayoutView="100" workbookViewId="0"/>
  </sheetViews>
  <sheetFormatPr defaultColWidth="8.77734375" defaultRowHeight="15" x14ac:dyDescent="0.25"/>
  <cols>
    <col min="1" max="1" width="9.21875" style="17" customWidth="1"/>
    <col min="2" max="2" width="10.21875" style="17" customWidth="1"/>
    <col min="3" max="3" width="14.77734375" style="17" customWidth="1"/>
    <col min="4" max="4" width="13.77734375" style="17" customWidth="1"/>
    <col min="5" max="5" width="16.21875" style="17" customWidth="1"/>
    <col min="6" max="7" width="16.77734375" style="17" customWidth="1"/>
    <col min="8" max="8" width="16.21875" style="17" customWidth="1"/>
    <col min="9" max="9" width="15.21875" style="17" customWidth="1"/>
    <col min="10" max="10" width="12.21875" style="17" customWidth="1"/>
    <col min="11" max="16384" width="8.77734375" style="17"/>
  </cols>
  <sheetData>
    <row r="1" spans="1:12" ht="35.1" customHeight="1" thickBot="1" x14ac:dyDescent="0.35">
      <c r="A1" s="9" t="s">
        <v>22</v>
      </c>
      <c r="B1" s="277"/>
      <c r="C1" s="525"/>
      <c r="D1" s="277"/>
      <c r="E1" s="277"/>
      <c r="F1" s="277"/>
      <c r="G1" s="277"/>
      <c r="H1" s="277"/>
      <c r="L1" s="24"/>
    </row>
    <row r="2" spans="1:12" ht="19.5" customHeight="1" thickBot="1" x14ac:dyDescent="0.3">
      <c r="B2" s="554" t="s">
        <v>605</v>
      </c>
      <c r="C2" s="637"/>
      <c r="D2" s="637"/>
      <c r="E2" s="637"/>
      <c r="F2" s="637"/>
      <c r="G2" s="637"/>
      <c r="H2" s="637"/>
      <c r="I2" s="637"/>
      <c r="J2" s="555"/>
    </row>
    <row r="3" spans="1:12" ht="63" x14ac:dyDescent="0.25">
      <c r="B3" s="174"/>
      <c r="C3" s="98" t="s">
        <v>606</v>
      </c>
      <c r="D3" s="98" t="s">
        <v>607</v>
      </c>
      <c r="E3" s="98" t="s">
        <v>608</v>
      </c>
      <c r="F3" s="98" t="s">
        <v>609</v>
      </c>
      <c r="G3" s="98" t="s">
        <v>610</v>
      </c>
      <c r="H3" s="98" t="s">
        <v>611</v>
      </c>
      <c r="I3" s="98" t="s">
        <v>612</v>
      </c>
      <c r="J3" s="197" t="s">
        <v>613</v>
      </c>
    </row>
    <row r="4" spans="1:12" x14ac:dyDescent="0.25">
      <c r="B4" s="182" t="s">
        <v>43</v>
      </c>
      <c r="C4" s="147">
        <v>65.7</v>
      </c>
      <c r="D4" s="147">
        <v>3.7914691943128132</v>
      </c>
      <c r="E4" s="157">
        <v>294.88</v>
      </c>
      <c r="F4" s="198">
        <v>37646.062000000005</v>
      </c>
      <c r="G4" s="198">
        <v>43816.48000000001</v>
      </c>
      <c r="H4" s="198">
        <v>27047.075499999999</v>
      </c>
      <c r="I4" s="201">
        <v>68.734999999999999</v>
      </c>
      <c r="J4" s="200">
        <f>(E4/H4)*100</f>
        <v>1.090247261667902</v>
      </c>
    </row>
    <row r="5" spans="1:12" x14ac:dyDescent="0.25">
      <c r="B5" s="182" t="s">
        <v>44</v>
      </c>
      <c r="C5" s="147">
        <v>64.2</v>
      </c>
      <c r="D5" s="147">
        <v>-0.61919504643961343</v>
      </c>
      <c r="E5" s="157">
        <v>259.33000000000004</v>
      </c>
      <c r="F5" s="198">
        <v>32515.886000000002</v>
      </c>
      <c r="G5" s="198">
        <v>40202.701000000001</v>
      </c>
      <c r="H5" s="175">
        <v>27101.587100000001</v>
      </c>
      <c r="I5" s="199">
        <v>54.511625000000002</v>
      </c>
      <c r="J5" s="200">
        <f t="shared" ref="J5:J68" si="0">(E5/H5)*100</f>
        <v>0.95688123002951375</v>
      </c>
    </row>
    <row r="6" spans="1:12" x14ac:dyDescent="0.25">
      <c r="B6" s="182" t="s">
        <v>45</v>
      </c>
      <c r="C6" s="147">
        <v>61</v>
      </c>
      <c r="D6" s="147">
        <v>-7.1537290715372954</v>
      </c>
      <c r="E6" s="157">
        <v>187.81</v>
      </c>
      <c r="F6" s="198">
        <v>20509.624000000003</v>
      </c>
      <c r="G6" s="198">
        <v>38358.193000000007</v>
      </c>
      <c r="H6" s="175">
        <v>27156.0988</v>
      </c>
      <c r="I6" s="199">
        <v>54.511625000000002</v>
      </c>
      <c r="J6" s="200">
        <f t="shared" si="0"/>
        <v>0.69159418436053122</v>
      </c>
    </row>
    <row r="7" spans="1:12" x14ac:dyDescent="0.25">
      <c r="B7" s="182" t="s">
        <v>46</v>
      </c>
      <c r="C7" s="147">
        <v>57.6</v>
      </c>
      <c r="D7" s="147">
        <v>-13.383458646616543</v>
      </c>
      <c r="E7" s="157">
        <v>174.9</v>
      </c>
      <c r="F7" s="198">
        <v>18415.7624</v>
      </c>
      <c r="G7" s="198">
        <v>33689.067999999999</v>
      </c>
      <c r="H7" s="175">
        <v>27210.610400000001</v>
      </c>
      <c r="I7" s="199">
        <v>54.511625000000002</v>
      </c>
      <c r="J7" s="200">
        <f>(E7/H7)*100</f>
        <v>0.64276397121910944</v>
      </c>
    </row>
    <row r="8" spans="1:12" x14ac:dyDescent="0.25">
      <c r="B8" s="182" t="s">
        <v>47</v>
      </c>
      <c r="C8" s="147">
        <v>55.4</v>
      </c>
      <c r="D8" s="147">
        <v>-15.677321156773216</v>
      </c>
      <c r="E8" s="157">
        <v>170.84</v>
      </c>
      <c r="F8" s="198">
        <v>16897.559300000001</v>
      </c>
      <c r="G8" s="198">
        <v>32836.226999999999</v>
      </c>
      <c r="H8" s="175">
        <v>27265.121999999999</v>
      </c>
      <c r="I8" s="199">
        <v>54.511625000000002</v>
      </c>
      <c r="J8" s="200">
        <f t="shared" si="0"/>
        <v>0.62658806368077136</v>
      </c>
    </row>
    <row r="9" spans="1:12" x14ac:dyDescent="0.25">
      <c r="B9" s="182" t="s">
        <v>48</v>
      </c>
      <c r="C9" s="147">
        <v>55.4</v>
      </c>
      <c r="D9" s="147">
        <v>-13.707165109034269</v>
      </c>
      <c r="E9" s="157">
        <v>193.27</v>
      </c>
      <c r="F9" s="198">
        <v>19070.502899999999</v>
      </c>
      <c r="G9" s="198">
        <v>30586.398000000001</v>
      </c>
      <c r="H9" s="175">
        <v>27310.891100000001</v>
      </c>
      <c r="I9" s="199">
        <v>45.769125000000003</v>
      </c>
      <c r="J9" s="200">
        <f t="shared" si="0"/>
        <v>0.70766640052986041</v>
      </c>
    </row>
    <row r="10" spans="1:12" x14ac:dyDescent="0.25">
      <c r="B10" s="182" t="s">
        <v>49</v>
      </c>
      <c r="C10" s="147">
        <v>56.8</v>
      </c>
      <c r="D10" s="147">
        <v>-6.8852459016393475</v>
      </c>
      <c r="E10" s="157">
        <v>223.68</v>
      </c>
      <c r="F10" s="198">
        <v>24742.768999999997</v>
      </c>
      <c r="G10" s="198">
        <v>28973.124</v>
      </c>
      <c r="H10" s="175">
        <v>27356.6603</v>
      </c>
      <c r="I10" s="199">
        <v>45.769125000000003</v>
      </c>
      <c r="J10" s="200">
        <f t="shared" si="0"/>
        <v>0.81764366537095179</v>
      </c>
    </row>
    <row r="11" spans="1:12" x14ac:dyDescent="0.25">
      <c r="B11" s="182" t="s">
        <v>50</v>
      </c>
      <c r="C11" s="147">
        <v>58.7</v>
      </c>
      <c r="D11" s="147">
        <v>1.9097222222222321</v>
      </c>
      <c r="E11" s="157">
        <v>259.75</v>
      </c>
      <c r="F11" s="198">
        <v>25176.526999999995</v>
      </c>
      <c r="G11" s="198">
        <v>29457.13</v>
      </c>
      <c r="H11" s="175">
        <v>27402.429400000001</v>
      </c>
      <c r="I11" s="199">
        <v>45.769125000000003</v>
      </c>
      <c r="J11" s="200">
        <f t="shared" si="0"/>
        <v>0.9479086551355187</v>
      </c>
    </row>
    <row r="12" spans="1:12" x14ac:dyDescent="0.25">
      <c r="B12" s="182" t="s">
        <v>51</v>
      </c>
      <c r="C12" s="147">
        <v>59.7</v>
      </c>
      <c r="D12" s="147">
        <v>7.7617328519855588</v>
      </c>
      <c r="E12" s="157">
        <v>216.23</v>
      </c>
      <c r="F12" s="198">
        <v>26952.171999999999</v>
      </c>
      <c r="G12" s="198">
        <v>27180.543000000001</v>
      </c>
      <c r="H12" s="175">
        <v>27448.198499999999</v>
      </c>
      <c r="I12" s="199">
        <v>45.769125000000003</v>
      </c>
      <c r="J12" s="200">
        <f t="shared" si="0"/>
        <v>0.78777483338296328</v>
      </c>
    </row>
    <row r="13" spans="1:12" x14ac:dyDescent="0.25">
      <c r="B13" s="182" t="s">
        <v>52</v>
      </c>
      <c r="C13" s="147">
        <v>60</v>
      </c>
      <c r="D13" s="147">
        <v>8.303249097472932</v>
      </c>
      <c r="E13" s="157">
        <v>229.88</v>
      </c>
      <c r="F13" s="198">
        <v>28636.523000000001</v>
      </c>
      <c r="G13" s="198">
        <v>26610.126</v>
      </c>
      <c r="H13" s="175">
        <v>27489.533500000001</v>
      </c>
      <c r="I13" s="199">
        <v>41.335000000000001</v>
      </c>
      <c r="J13" s="200">
        <f t="shared" si="0"/>
        <v>0.83624554778275884</v>
      </c>
    </row>
    <row r="14" spans="1:12" x14ac:dyDescent="0.25">
      <c r="B14" s="182" t="s">
        <v>53</v>
      </c>
      <c r="C14" s="147">
        <v>60</v>
      </c>
      <c r="D14" s="147">
        <v>5.6338028169014231</v>
      </c>
      <c r="E14" s="157">
        <v>227.02</v>
      </c>
      <c r="F14" s="198">
        <v>26514.000000000004</v>
      </c>
      <c r="G14" s="198">
        <v>27180.727999999999</v>
      </c>
      <c r="H14" s="175">
        <v>27530.8685</v>
      </c>
      <c r="I14" s="199">
        <v>41.335000000000001</v>
      </c>
      <c r="J14" s="200">
        <f t="shared" si="0"/>
        <v>0.82460166485485187</v>
      </c>
    </row>
    <row r="15" spans="1:12" x14ac:dyDescent="0.25">
      <c r="B15" s="182" t="s">
        <v>54</v>
      </c>
      <c r="C15" s="147">
        <v>59.5</v>
      </c>
      <c r="D15" s="147">
        <v>1.3628620102214661</v>
      </c>
      <c r="E15" s="157">
        <v>210.92</v>
      </c>
      <c r="F15" s="198">
        <v>23507.069</v>
      </c>
      <c r="G15" s="198">
        <v>24621.632000000001</v>
      </c>
      <c r="H15" s="175">
        <v>27572.2035</v>
      </c>
      <c r="I15" s="199">
        <v>41.335000000000001</v>
      </c>
      <c r="J15" s="200">
        <f t="shared" si="0"/>
        <v>0.76497331814629899</v>
      </c>
    </row>
    <row r="16" spans="1:12" x14ac:dyDescent="0.25">
      <c r="B16" s="182" t="s">
        <v>55</v>
      </c>
      <c r="C16" s="147">
        <v>59.2</v>
      </c>
      <c r="D16" s="147">
        <v>-0.83752093802345051</v>
      </c>
      <c r="E16" s="157">
        <v>208.41</v>
      </c>
      <c r="F16" s="198">
        <v>25973.195</v>
      </c>
      <c r="G16" s="198">
        <v>25663.488000000001</v>
      </c>
      <c r="H16" s="175">
        <v>27613.538499999999</v>
      </c>
      <c r="I16" s="199">
        <v>41.335000000000001</v>
      </c>
      <c r="J16" s="200">
        <f t="shared" si="0"/>
        <v>0.75473847728714671</v>
      </c>
    </row>
    <row r="17" spans="2:10" x14ac:dyDescent="0.25">
      <c r="B17" s="182" t="s">
        <v>56</v>
      </c>
      <c r="C17" s="147">
        <v>58.9</v>
      </c>
      <c r="D17" s="147">
        <v>-1.8333333333333313</v>
      </c>
      <c r="E17" s="157">
        <v>216.68</v>
      </c>
      <c r="F17" s="198">
        <v>26362.513599999995</v>
      </c>
      <c r="G17" s="198">
        <v>27173.225999999999</v>
      </c>
      <c r="H17" s="175">
        <v>27654.003000000001</v>
      </c>
      <c r="I17" s="199">
        <v>40.464500000000001</v>
      </c>
      <c r="J17" s="200">
        <f t="shared" si="0"/>
        <v>0.78353936679619218</v>
      </c>
    </row>
    <row r="18" spans="2:10" x14ac:dyDescent="0.25">
      <c r="B18" s="182" t="s">
        <v>57</v>
      </c>
      <c r="C18" s="147">
        <v>58.8</v>
      </c>
      <c r="D18" s="147">
        <v>-2.0000000000000018</v>
      </c>
      <c r="E18" s="157">
        <v>227.62</v>
      </c>
      <c r="F18" s="198">
        <v>27010.386999999992</v>
      </c>
      <c r="G18" s="198">
        <v>25766.5268</v>
      </c>
      <c r="H18" s="175">
        <v>27694.467499999999</v>
      </c>
      <c r="I18" s="199">
        <v>40.464500000000001</v>
      </c>
      <c r="J18" s="200">
        <f t="shared" si="0"/>
        <v>0.82189700885203876</v>
      </c>
    </row>
    <row r="19" spans="2:10" x14ac:dyDescent="0.25">
      <c r="B19" s="182" t="s">
        <v>58</v>
      </c>
      <c r="C19" s="147">
        <v>58.8</v>
      </c>
      <c r="D19" s="147">
        <v>-1.176470588235301</v>
      </c>
      <c r="E19" s="157">
        <v>229.96</v>
      </c>
      <c r="F19" s="198">
        <v>28297.733100000001</v>
      </c>
      <c r="G19" s="198">
        <v>26800.11</v>
      </c>
      <c r="H19" s="175">
        <v>27734.932000000001</v>
      </c>
      <c r="I19" s="199">
        <v>40.464500000000001</v>
      </c>
      <c r="J19" s="200">
        <f t="shared" si="0"/>
        <v>0.82913489746432401</v>
      </c>
    </row>
    <row r="20" spans="2:10" x14ac:dyDescent="0.25">
      <c r="B20" s="182" t="s">
        <v>59</v>
      </c>
      <c r="C20" s="147">
        <v>59</v>
      </c>
      <c r="D20" s="147">
        <v>-0.33783783783783994</v>
      </c>
      <c r="E20" s="157">
        <v>241.68</v>
      </c>
      <c r="F20" s="198">
        <v>25329.462</v>
      </c>
      <c r="G20" s="198">
        <v>29333.616000000002</v>
      </c>
      <c r="H20" s="175">
        <v>27775.396499999999</v>
      </c>
      <c r="I20" s="199">
        <v>40.464500000000001</v>
      </c>
      <c r="J20" s="200">
        <f t="shared" si="0"/>
        <v>0.87012259212933296</v>
      </c>
    </row>
    <row r="21" spans="2:10" x14ac:dyDescent="0.25">
      <c r="B21" s="182" t="s">
        <v>60</v>
      </c>
      <c r="C21" s="147">
        <v>59.3</v>
      </c>
      <c r="D21" s="147">
        <v>0.67911714770798604</v>
      </c>
      <c r="E21" s="157">
        <v>225.8</v>
      </c>
      <c r="F21" s="198">
        <v>23323.4427</v>
      </c>
      <c r="G21" s="198">
        <v>26558.473000000005</v>
      </c>
      <c r="H21" s="175">
        <v>27814.276900000001</v>
      </c>
      <c r="I21" s="199">
        <v>38.880375000000001</v>
      </c>
      <c r="J21" s="200">
        <f t="shared" si="0"/>
        <v>0.81181330297319365</v>
      </c>
    </row>
    <row r="22" spans="2:10" x14ac:dyDescent="0.25">
      <c r="B22" s="182" t="s">
        <v>61</v>
      </c>
      <c r="C22" s="147">
        <v>59.2</v>
      </c>
      <c r="D22" s="147">
        <v>0.68027210884353817</v>
      </c>
      <c r="E22" s="157">
        <v>228.53000000000003</v>
      </c>
      <c r="F22" s="198">
        <v>25015.455699999999</v>
      </c>
      <c r="G22" s="198">
        <v>25922.662</v>
      </c>
      <c r="H22" s="175">
        <v>27853.157299999999</v>
      </c>
      <c r="I22" s="199">
        <v>38.880375000000001</v>
      </c>
      <c r="J22" s="200">
        <f t="shared" si="0"/>
        <v>0.82048148990276248</v>
      </c>
    </row>
    <row r="23" spans="2:10" x14ac:dyDescent="0.25">
      <c r="B23" s="182" t="s">
        <v>62</v>
      </c>
      <c r="C23" s="147">
        <v>59.3</v>
      </c>
      <c r="D23" s="147">
        <v>0.85034013605442826</v>
      </c>
      <c r="E23" s="157">
        <v>235.27</v>
      </c>
      <c r="F23" s="198">
        <v>25912.183000000001</v>
      </c>
      <c r="G23" s="198">
        <v>26173.495500000001</v>
      </c>
      <c r="H23" s="175">
        <v>27892.0376</v>
      </c>
      <c r="I23" s="199">
        <v>38.880375000000001</v>
      </c>
      <c r="J23" s="200">
        <f t="shared" si="0"/>
        <v>0.84350237646316673</v>
      </c>
    </row>
    <row r="24" spans="2:10" x14ac:dyDescent="0.25">
      <c r="B24" s="182" t="s">
        <v>63</v>
      </c>
      <c r="C24" s="147">
        <v>59.7</v>
      </c>
      <c r="D24" s="147">
        <v>1.1864406779661163</v>
      </c>
      <c r="E24" s="157">
        <v>239.66999999999996</v>
      </c>
      <c r="F24" s="198">
        <v>26747.879400000005</v>
      </c>
      <c r="G24" s="198">
        <v>24498.59</v>
      </c>
      <c r="H24" s="175">
        <v>27930.918000000001</v>
      </c>
      <c r="I24" s="199">
        <v>38.880375000000001</v>
      </c>
      <c r="J24" s="200">
        <f t="shared" si="0"/>
        <v>0.85808135629484128</v>
      </c>
    </row>
    <row r="25" spans="2:10" x14ac:dyDescent="0.25">
      <c r="B25" s="182" t="s">
        <v>64</v>
      </c>
      <c r="C25" s="147">
        <v>60.2</v>
      </c>
      <c r="D25" s="147">
        <v>1.5177065767285169</v>
      </c>
      <c r="E25" s="157">
        <v>259.08000000000004</v>
      </c>
      <c r="F25" s="198">
        <v>29836.133000000002</v>
      </c>
      <c r="G25" s="198">
        <v>27061.115000000005</v>
      </c>
      <c r="H25" s="175">
        <v>27972.756399999995</v>
      </c>
      <c r="I25" s="199">
        <v>41.838374999999999</v>
      </c>
      <c r="J25" s="200">
        <f t="shared" si="0"/>
        <v>0.92618688088957901</v>
      </c>
    </row>
    <row r="26" spans="2:10" x14ac:dyDescent="0.25">
      <c r="B26" s="182" t="s">
        <v>65</v>
      </c>
      <c r="C26" s="147">
        <v>60.9</v>
      </c>
      <c r="D26" s="147">
        <v>2.8716216216216228</v>
      </c>
      <c r="E26" s="157">
        <v>274.02</v>
      </c>
      <c r="F26" s="198">
        <v>31331.919999999998</v>
      </c>
      <c r="G26" s="198">
        <v>27483.591</v>
      </c>
      <c r="H26" s="175">
        <v>28014.594799999999</v>
      </c>
      <c r="I26" s="199">
        <v>41.838374999999999</v>
      </c>
      <c r="J26" s="200">
        <f t="shared" si="0"/>
        <v>0.97813301229686178</v>
      </c>
    </row>
    <row r="27" spans="2:10" x14ac:dyDescent="0.25">
      <c r="B27" s="182" t="s">
        <v>66</v>
      </c>
      <c r="C27" s="147">
        <v>62</v>
      </c>
      <c r="D27" s="147">
        <v>4.5531197301855064</v>
      </c>
      <c r="E27" s="157">
        <v>294.2</v>
      </c>
      <c r="F27" s="198">
        <v>30700.65</v>
      </c>
      <c r="G27" s="198">
        <v>27487.064999999999</v>
      </c>
      <c r="H27" s="175">
        <v>28056.433099999995</v>
      </c>
      <c r="I27" s="199">
        <v>41.838374999999999</v>
      </c>
      <c r="J27" s="200">
        <f t="shared" si="0"/>
        <v>1.0486008643771616</v>
      </c>
    </row>
    <row r="28" spans="2:10" x14ac:dyDescent="0.25">
      <c r="B28" s="182" t="s">
        <v>67</v>
      </c>
      <c r="C28" s="147">
        <v>63.5</v>
      </c>
      <c r="D28" s="147">
        <v>6.365159128978215</v>
      </c>
      <c r="E28" s="157">
        <v>311.08999999999997</v>
      </c>
      <c r="F28" s="198">
        <v>36181.521000000001</v>
      </c>
      <c r="G28" s="198">
        <v>28175.22</v>
      </c>
      <c r="H28" s="175">
        <v>28098.271499999999</v>
      </c>
      <c r="I28" s="199">
        <v>41.838374999999999</v>
      </c>
      <c r="J28" s="200">
        <f t="shared" si="0"/>
        <v>1.1071499540461056</v>
      </c>
    </row>
    <row r="29" spans="2:10" x14ac:dyDescent="0.25">
      <c r="B29" s="182" t="s">
        <v>68</v>
      </c>
      <c r="C29" s="147">
        <v>65.099999999999994</v>
      </c>
      <c r="D29" s="147">
        <v>8.1395348837209234</v>
      </c>
      <c r="E29" s="157">
        <v>311.32</v>
      </c>
      <c r="F29" s="198">
        <v>34042.949000000001</v>
      </c>
      <c r="G29" s="198">
        <v>29005.135999999999</v>
      </c>
      <c r="H29" s="175">
        <v>28149.389200000001</v>
      </c>
      <c r="I29" s="199">
        <v>51.117750000000001</v>
      </c>
      <c r="J29" s="200">
        <f t="shared" si="0"/>
        <v>1.105956501535742</v>
      </c>
    </row>
    <row r="30" spans="2:10" x14ac:dyDescent="0.25">
      <c r="B30" s="182" t="s">
        <v>69</v>
      </c>
      <c r="C30" s="147">
        <v>66.3</v>
      </c>
      <c r="D30" s="147">
        <v>8.8669950738916157</v>
      </c>
      <c r="E30" s="157">
        <v>304.2999999999999</v>
      </c>
      <c r="F30" s="198">
        <v>33012.195999999989</v>
      </c>
      <c r="G30" s="198">
        <v>28801.294999999998</v>
      </c>
      <c r="H30" s="175">
        <v>28200.507000000001</v>
      </c>
      <c r="I30" s="199">
        <v>51.117750000000001</v>
      </c>
      <c r="J30" s="200">
        <f t="shared" si="0"/>
        <v>1.0790586140880372</v>
      </c>
    </row>
    <row r="31" spans="2:10" x14ac:dyDescent="0.25">
      <c r="B31" s="182" t="s">
        <v>70</v>
      </c>
      <c r="C31" s="147">
        <v>67.3</v>
      </c>
      <c r="D31" s="147">
        <v>8.5483870967741904</v>
      </c>
      <c r="E31" s="157">
        <v>296.19</v>
      </c>
      <c r="F31" s="198">
        <v>31770.329000000002</v>
      </c>
      <c r="G31" s="198">
        <v>28886.480000000007</v>
      </c>
      <c r="H31" s="175">
        <v>28251.6247</v>
      </c>
      <c r="I31" s="199">
        <v>51.117750000000001</v>
      </c>
      <c r="J31" s="200">
        <f t="shared" si="0"/>
        <v>1.0483998819367015</v>
      </c>
    </row>
    <row r="32" spans="2:10" x14ac:dyDescent="0.25">
      <c r="B32" s="182" t="s">
        <v>71</v>
      </c>
      <c r="C32" s="147">
        <v>67.8</v>
      </c>
      <c r="D32" s="147">
        <v>6.7716535433070879</v>
      </c>
      <c r="E32" s="157">
        <v>287.65999999999991</v>
      </c>
      <c r="F32" s="198">
        <v>38969.543000000005</v>
      </c>
      <c r="G32" s="198">
        <v>32199.545999999998</v>
      </c>
      <c r="H32" s="175">
        <v>28302.7425</v>
      </c>
      <c r="I32" s="199">
        <v>51.117750000000001</v>
      </c>
      <c r="J32" s="200">
        <f t="shared" si="0"/>
        <v>1.0163679367820977</v>
      </c>
    </row>
    <row r="33" spans="2:10" x14ac:dyDescent="0.25">
      <c r="B33" s="182" t="s">
        <v>72</v>
      </c>
      <c r="C33" s="147">
        <v>68.5</v>
      </c>
      <c r="D33" s="147">
        <v>5.2227342549923339</v>
      </c>
      <c r="E33" s="157">
        <v>304.12</v>
      </c>
      <c r="F33" s="198">
        <v>35618.32</v>
      </c>
      <c r="G33" s="198">
        <v>33308.085000000006</v>
      </c>
      <c r="H33" s="175">
        <v>28359.662499999999</v>
      </c>
      <c r="I33" s="199">
        <v>56.92</v>
      </c>
      <c r="J33" s="200">
        <f t="shared" si="0"/>
        <v>1.0723681919698447</v>
      </c>
    </row>
    <row r="34" spans="2:10" x14ac:dyDescent="0.25">
      <c r="B34" s="182" t="s">
        <v>73</v>
      </c>
      <c r="C34" s="147">
        <v>70</v>
      </c>
      <c r="D34" s="147">
        <v>5.580693815987936</v>
      </c>
      <c r="E34" s="157">
        <v>314.90999999999991</v>
      </c>
      <c r="F34" s="198">
        <v>35329.82</v>
      </c>
      <c r="G34" s="198">
        <v>34142.020000000011</v>
      </c>
      <c r="H34" s="175">
        <v>28416.5825</v>
      </c>
      <c r="I34" s="199">
        <v>56.92</v>
      </c>
      <c r="J34" s="200">
        <f t="shared" si="0"/>
        <v>1.1081909656096045</v>
      </c>
    </row>
    <row r="35" spans="2:10" x14ac:dyDescent="0.25">
      <c r="B35" s="182" t="s">
        <v>74</v>
      </c>
      <c r="C35" s="147">
        <v>71.599999999999994</v>
      </c>
      <c r="D35" s="147">
        <v>6.3893016344725106</v>
      </c>
      <c r="E35" s="157">
        <v>319.45</v>
      </c>
      <c r="F35" s="198">
        <v>36146.557000000001</v>
      </c>
      <c r="G35" s="198">
        <v>34423.512000000002</v>
      </c>
      <c r="H35" s="175">
        <v>28473.502499999999</v>
      </c>
      <c r="I35" s="199">
        <v>56.92</v>
      </c>
      <c r="J35" s="200">
        <f t="shared" si="0"/>
        <v>1.1219202836040281</v>
      </c>
    </row>
    <row r="36" spans="2:10" x14ac:dyDescent="0.25">
      <c r="B36" s="182" t="s">
        <v>75</v>
      </c>
      <c r="C36" s="147">
        <v>73.2</v>
      </c>
      <c r="D36" s="147">
        <v>7.9646017699115168</v>
      </c>
      <c r="E36" s="157">
        <v>387.05999999999995</v>
      </c>
      <c r="F36" s="198">
        <v>35401.853999999999</v>
      </c>
      <c r="G36" s="198">
        <v>33637.396999999997</v>
      </c>
      <c r="H36" s="175">
        <v>28530.422500000001</v>
      </c>
      <c r="I36" s="199">
        <v>56.92</v>
      </c>
      <c r="J36" s="200">
        <f t="shared" si="0"/>
        <v>1.356657091215526</v>
      </c>
    </row>
    <row r="37" spans="2:10" x14ac:dyDescent="0.25">
      <c r="B37" s="182" t="s">
        <v>76</v>
      </c>
      <c r="C37" s="147">
        <v>74</v>
      </c>
      <c r="D37" s="147">
        <v>8.0291970802919721</v>
      </c>
      <c r="E37" s="157">
        <v>264.42999999999995</v>
      </c>
      <c r="F37" s="198">
        <v>37768.025999999998</v>
      </c>
      <c r="G37" s="198">
        <v>34125.205999999998</v>
      </c>
      <c r="H37" s="175">
        <v>28594.923900000002</v>
      </c>
      <c r="I37" s="199">
        <v>64.501374999999996</v>
      </c>
      <c r="J37" s="200">
        <f t="shared" si="0"/>
        <v>0.92474454880434198</v>
      </c>
    </row>
    <row r="38" spans="2:10" x14ac:dyDescent="0.25">
      <c r="B38" s="182" t="s">
        <v>77</v>
      </c>
      <c r="C38" s="147">
        <v>74.7</v>
      </c>
      <c r="D38" s="147">
        <v>6.7142857142857171</v>
      </c>
      <c r="E38" s="157">
        <v>290.24</v>
      </c>
      <c r="F38" s="198">
        <v>40335.682000000001</v>
      </c>
      <c r="G38" s="198">
        <v>37820.669000000002</v>
      </c>
      <c r="H38" s="175">
        <v>28659.425299999999</v>
      </c>
      <c r="I38" s="199">
        <v>64.501374999999996</v>
      </c>
      <c r="J38" s="200">
        <f t="shared" si="0"/>
        <v>1.0127209354752833</v>
      </c>
    </row>
    <row r="39" spans="2:10" x14ac:dyDescent="0.25">
      <c r="B39" s="182" t="s">
        <v>78</v>
      </c>
      <c r="C39" s="147">
        <v>75.5</v>
      </c>
      <c r="D39" s="147">
        <v>5.4469273743016799</v>
      </c>
      <c r="E39" s="157">
        <v>290.76</v>
      </c>
      <c r="F39" s="198">
        <v>39922.870999999999</v>
      </c>
      <c r="G39" s="198">
        <v>33761.404999999999</v>
      </c>
      <c r="H39" s="175">
        <v>28723.926599999999</v>
      </c>
      <c r="I39" s="199">
        <v>64.501374999999996</v>
      </c>
      <c r="J39" s="200">
        <f t="shared" si="0"/>
        <v>1.0122571473219124</v>
      </c>
    </row>
    <row r="40" spans="2:10" x14ac:dyDescent="0.25">
      <c r="B40" s="182" t="s">
        <v>79</v>
      </c>
      <c r="C40" s="147">
        <v>76.400000000000006</v>
      </c>
      <c r="D40" s="147">
        <v>4.3715846994535568</v>
      </c>
      <c r="E40" s="157">
        <v>306.72000000000003</v>
      </c>
      <c r="F40" s="198">
        <v>40326.513000000006</v>
      </c>
      <c r="G40" s="198">
        <v>40141.006999999998</v>
      </c>
      <c r="H40" s="175">
        <v>28788.428</v>
      </c>
      <c r="I40" s="199">
        <v>64.501374999999996</v>
      </c>
      <c r="J40" s="200">
        <f t="shared" si="0"/>
        <v>1.0654280949275869</v>
      </c>
    </row>
    <row r="41" spans="2:10" x14ac:dyDescent="0.25">
      <c r="B41" s="182" t="s">
        <v>80</v>
      </c>
      <c r="C41" s="147">
        <v>77.3</v>
      </c>
      <c r="D41" s="147">
        <v>4.4594594594594472</v>
      </c>
      <c r="E41" s="157">
        <v>308.69</v>
      </c>
      <c r="F41" s="198">
        <v>41539.596000000005</v>
      </c>
      <c r="G41" s="198">
        <v>39394.906999999999</v>
      </c>
      <c r="H41" s="175">
        <v>28854.424299999999</v>
      </c>
      <c r="I41" s="199">
        <v>65.996250000000003</v>
      </c>
      <c r="J41" s="200">
        <f t="shared" si="0"/>
        <v>1.0698186066391213</v>
      </c>
    </row>
    <row r="42" spans="2:10" x14ac:dyDescent="0.25">
      <c r="B42" s="182" t="s">
        <v>81</v>
      </c>
      <c r="C42" s="147">
        <v>78.2</v>
      </c>
      <c r="D42" s="147">
        <v>4.6854082998661228</v>
      </c>
      <c r="E42" s="157">
        <v>307.06</v>
      </c>
      <c r="F42" s="198">
        <v>37527.538999999997</v>
      </c>
      <c r="G42" s="198">
        <v>38868.682999999997</v>
      </c>
      <c r="H42" s="175">
        <v>28920.4205</v>
      </c>
      <c r="I42" s="199">
        <v>65.996250000000003</v>
      </c>
      <c r="J42" s="200">
        <f t="shared" si="0"/>
        <v>1.0617411320143151</v>
      </c>
    </row>
    <row r="43" spans="2:10" x14ac:dyDescent="0.25">
      <c r="B43" s="182" t="s">
        <v>82</v>
      </c>
      <c r="C43" s="147">
        <v>79</v>
      </c>
      <c r="D43" s="147">
        <v>4.635761589403975</v>
      </c>
      <c r="E43" s="157">
        <v>300.95999999999998</v>
      </c>
      <c r="F43" s="198">
        <v>41377.895999999993</v>
      </c>
      <c r="G43" s="198">
        <v>39698.046000000002</v>
      </c>
      <c r="H43" s="175">
        <v>28986.416700000002</v>
      </c>
      <c r="I43" s="199">
        <v>65.996250000000003</v>
      </c>
      <c r="J43" s="200">
        <f t="shared" si="0"/>
        <v>1.0382794227890886</v>
      </c>
    </row>
    <row r="44" spans="2:10" x14ac:dyDescent="0.25">
      <c r="B44" s="182" t="s">
        <v>83</v>
      </c>
      <c r="C44" s="147">
        <v>79.599999999999994</v>
      </c>
      <c r="D44" s="147">
        <v>4.1884816753926524</v>
      </c>
      <c r="E44" s="157">
        <v>290.78999999999991</v>
      </c>
      <c r="F44" s="198">
        <v>40672.969999999994</v>
      </c>
      <c r="G44" s="198">
        <v>37856.14</v>
      </c>
      <c r="H44" s="175">
        <v>29052.413</v>
      </c>
      <c r="I44" s="199">
        <v>65.996250000000003</v>
      </c>
      <c r="J44" s="200">
        <f t="shared" si="0"/>
        <v>1.0009151391314721</v>
      </c>
    </row>
    <row r="45" spans="2:10" x14ac:dyDescent="0.25">
      <c r="B45" s="182" t="s">
        <v>84</v>
      </c>
      <c r="C45" s="147">
        <v>80.3</v>
      </c>
      <c r="D45" s="147">
        <v>3.8809831824062169</v>
      </c>
      <c r="E45" s="157">
        <v>300.36</v>
      </c>
      <c r="F45" s="198">
        <v>40219.260999999999</v>
      </c>
      <c r="G45" s="198">
        <v>40439.392</v>
      </c>
      <c r="H45" s="175">
        <v>29123.795300000002</v>
      </c>
      <c r="I45" s="199">
        <v>71.382249999999999</v>
      </c>
      <c r="J45" s="200">
        <f t="shared" si="0"/>
        <v>1.0313216286065574</v>
      </c>
    </row>
    <row r="46" spans="2:10" x14ac:dyDescent="0.25">
      <c r="B46" s="182" t="s">
        <v>85</v>
      </c>
      <c r="C46" s="147">
        <v>80.400000000000006</v>
      </c>
      <c r="D46" s="147">
        <v>2.8132992327365658</v>
      </c>
      <c r="E46" s="157">
        <v>299.33</v>
      </c>
      <c r="F46" s="198">
        <v>43623.974000000002</v>
      </c>
      <c r="G46" s="198">
        <v>40426.517</v>
      </c>
      <c r="H46" s="175">
        <v>29195.177500000002</v>
      </c>
      <c r="I46" s="199">
        <v>71.382249999999999</v>
      </c>
      <c r="J46" s="200">
        <f t="shared" si="0"/>
        <v>1.0252720676214417</v>
      </c>
    </row>
    <row r="47" spans="2:10" x14ac:dyDescent="0.25">
      <c r="B47" s="182" t="s">
        <v>86</v>
      </c>
      <c r="C47" s="147">
        <v>80.599999999999994</v>
      </c>
      <c r="D47" s="147">
        <v>2.0253164556961911</v>
      </c>
      <c r="E47" s="157">
        <v>298.88</v>
      </c>
      <c r="F47" s="198">
        <v>41721.232000000011</v>
      </c>
      <c r="G47" s="198">
        <v>42224.406999999999</v>
      </c>
      <c r="H47" s="175">
        <v>29266.559799999999</v>
      </c>
      <c r="I47" s="199">
        <v>71.382249999999999</v>
      </c>
      <c r="J47" s="200">
        <f t="shared" si="0"/>
        <v>1.0212337973525676</v>
      </c>
    </row>
    <row r="48" spans="2:10" x14ac:dyDescent="0.25">
      <c r="B48" s="182" t="s">
        <v>87</v>
      </c>
      <c r="C48" s="147">
        <v>80.8</v>
      </c>
      <c r="D48" s="147">
        <v>1.5075376884422065</v>
      </c>
      <c r="E48" s="157">
        <v>291.86</v>
      </c>
      <c r="F48" s="198">
        <v>38577.565999999999</v>
      </c>
      <c r="G48" s="198">
        <v>42218.409</v>
      </c>
      <c r="H48" s="175">
        <v>29337.941999999999</v>
      </c>
      <c r="I48" s="199">
        <v>71.382249999999999</v>
      </c>
      <c r="J48" s="200">
        <f t="shared" si="0"/>
        <v>0.99482097278670756</v>
      </c>
    </row>
    <row r="49" spans="2:10" x14ac:dyDescent="0.25">
      <c r="B49" s="182" t="s">
        <v>88</v>
      </c>
      <c r="C49" s="147">
        <v>81.099999999999994</v>
      </c>
      <c r="D49" s="147">
        <v>0.99626400996264408</v>
      </c>
      <c r="E49" s="157">
        <v>295.26</v>
      </c>
      <c r="F49" s="198">
        <v>37473.682000000001</v>
      </c>
      <c r="G49" s="198">
        <v>42936.151999999995</v>
      </c>
      <c r="H49" s="175">
        <v>29409.2425</v>
      </c>
      <c r="I49" s="199">
        <v>71.3005</v>
      </c>
      <c r="J49" s="200">
        <f t="shared" si="0"/>
        <v>1.0039700954555357</v>
      </c>
    </row>
    <row r="50" spans="2:10" x14ac:dyDescent="0.25">
      <c r="B50" s="182" t="s">
        <v>89</v>
      </c>
      <c r="C50" s="147">
        <v>81</v>
      </c>
      <c r="D50" s="147">
        <v>0.74626865671640896</v>
      </c>
      <c r="E50" s="157">
        <v>294.65999999999991</v>
      </c>
      <c r="F50" s="198">
        <v>40887.072</v>
      </c>
      <c r="G50" s="198">
        <v>44754.511999999995</v>
      </c>
      <c r="H50" s="175">
        <v>29480.543000000001</v>
      </c>
      <c r="I50" s="199">
        <v>71.3005</v>
      </c>
      <c r="J50" s="200">
        <f t="shared" si="0"/>
        <v>0.99950669158298711</v>
      </c>
    </row>
    <row r="51" spans="2:10" x14ac:dyDescent="0.25">
      <c r="B51" s="182" t="s">
        <v>90</v>
      </c>
      <c r="C51" s="147">
        <v>81.2</v>
      </c>
      <c r="D51" s="147">
        <v>0.74441687344914964</v>
      </c>
      <c r="E51" s="157">
        <v>294.82</v>
      </c>
      <c r="F51" s="198">
        <v>35409.099000000002</v>
      </c>
      <c r="G51" s="198">
        <v>42231.052000000011</v>
      </c>
      <c r="H51" s="175">
        <v>29551.843499999999</v>
      </c>
      <c r="I51" s="199">
        <v>71.3005</v>
      </c>
      <c r="J51" s="200">
        <f t="shared" si="0"/>
        <v>0.99763657722402332</v>
      </c>
    </row>
    <row r="52" spans="2:10" x14ac:dyDescent="0.25">
      <c r="B52" s="152" t="s">
        <v>91</v>
      </c>
      <c r="C52" s="147">
        <v>82.2</v>
      </c>
      <c r="D52" s="147">
        <v>1.7326732673267342</v>
      </c>
      <c r="E52" s="157">
        <v>285.16000000000003</v>
      </c>
      <c r="F52" s="198">
        <v>33695.440999999999</v>
      </c>
      <c r="G52" s="198">
        <v>38883.561000000002</v>
      </c>
      <c r="H52" s="175">
        <v>29623.144</v>
      </c>
      <c r="I52" s="199">
        <v>71.3005</v>
      </c>
      <c r="J52" s="200">
        <f t="shared" si="0"/>
        <v>0.96262570914147416</v>
      </c>
    </row>
    <row r="53" spans="2:10" x14ac:dyDescent="0.25">
      <c r="B53" s="152" t="s">
        <v>92</v>
      </c>
      <c r="C53" s="147">
        <v>82.1</v>
      </c>
      <c r="D53" s="147">
        <v>1.2330456226880449</v>
      </c>
      <c r="E53" s="157">
        <v>154.82</v>
      </c>
      <c r="F53" s="198">
        <v>15791.8485</v>
      </c>
      <c r="G53" s="198">
        <v>16106.779700000001</v>
      </c>
      <c r="H53" s="175">
        <v>29685.6973</v>
      </c>
      <c r="I53" s="199">
        <v>62.553249999999998</v>
      </c>
      <c r="J53" s="200">
        <f t="shared" si="0"/>
        <v>0.52153061602497708</v>
      </c>
    </row>
    <row r="54" spans="2:10" x14ac:dyDescent="0.25">
      <c r="B54" s="152" t="s">
        <v>93</v>
      </c>
      <c r="C54" s="147">
        <v>83</v>
      </c>
      <c r="D54" s="147">
        <v>2.4691358024691468</v>
      </c>
      <c r="E54" s="157">
        <v>249.3</v>
      </c>
      <c r="F54" s="198">
        <v>35547.8122</v>
      </c>
      <c r="G54" s="198">
        <v>42186.534099999997</v>
      </c>
      <c r="H54" s="175">
        <v>29748.250499999998</v>
      </c>
      <c r="I54" s="199">
        <v>62.553249999999998</v>
      </c>
      <c r="J54" s="200">
        <f t="shared" si="0"/>
        <v>0.83803247522068569</v>
      </c>
    </row>
    <row r="55" spans="2:10" x14ac:dyDescent="0.25">
      <c r="B55" s="152" t="s">
        <v>94</v>
      </c>
      <c r="C55" s="147">
        <v>86</v>
      </c>
      <c r="D55" s="147">
        <v>5.9113300492610765</v>
      </c>
      <c r="E55" s="157">
        <v>348.11</v>
      </c>
      <c r="F55" s="198">
        <v>41501.907800000001</v>
      </c>
      <c r="G55" s="198">
        <v>44152.309200000011</v>
      </c>
      <c r="H55" s="175">
        <v>29810.803800000002</v>
      </c>
      <c r="I55" s="199">
        <v>62.553249999999998</v>
      </c>
      <c r="J55" s="200">
        <f t="shared" si="0"/>
        <v>1.1677310089840651</v>
      </c>
    </row>
    <row r="56" spans="2:10" x14ac:dyDescent="0.25">
      <c r="B56" s="152" t="s">
        <v>95</v>
      </c>
      <c r="C56" s="147">
        <v>88.5</v>
      </c>
      <c r="D56" s="147">
        <v>7.6642335766423431</v>
      </c>
      <c r="E56" s="157">
        <v>437.09</v>
      </c>
      <c r="F56" s="198">
        <v>43592.181299999989</v>
      </c>
      <c r="G56" s="198">
        <v>47258.3315</v>
      </c>
      <c r="H56" s="175">
        <v>29873.357</v>
      </c>
      <c r="I56" s="199">
        <v>62.553249999999998</v>
      </c>
      <c r="J56" s="200">
        <f t="shared" si="0"/>
        <v>1.4631432282618924</v>
      </c>
    </row>
    <row r="57" spans="2:10" x14ac:dyDescent="0.25">
      <c r="B57" s="152" t="s">
        <v>96</v>
      </c>
      <c r="C57" s="147">
        <v>89.9</v>
      </c>
      <c r="D57" s="147">
        <v>9.500609013398309</v>
      </c>
      <c r="E57" s="157">
        <v>442.47</v>
      </c>
      <c r="F57" s="198">
        <v>43066.417000000001</v>
      </c>
      <c r="G57" s="198">
        <v>41265.547999999995</v>
      </c>
      <c r="H57" s="175">
        <v>29940.947499999998</v>
      </c>
      <c r="I57" s="199">
        <v>67.590500000000006</v>
      </c>
      <c r="J57" s="200">
        <f t="shared" si="0"/>
        <v>1.4778089437550368</v>
      </c>
    </row>
    <row r="58" spans="2:10" x14ac:dyDescent="0.25">
      <c r="B58" s="152" t="s">
        <v>97</v>
      </c>
      <c r="C58" s="147">
        <v>89.9</v>
      </c>
      <c r="D58" s="147">
        <v>8.3132530120481931</v>
      </c>
      <c r="E58" s="157">
        <v>334.36</v>
      </c>
      <c r="F58" s="198">
        <v>42571.495999999999</v>
      </c>
      <c r="G58" s="198">
        <v>41132.180000000008</v>
      </c>
      <c r="H58" s="175">
        <v>30008.538</v>
      </c>
      <c r="I58" s="199">
        <v>67.590500000000006</v>
      </c>
      <c r="J58" s="200">
        <f t="shared" si="0"/>
        <v>1.1142162273950167</v>
      </c>
    </row>
    <row r="59" spans="2:10" x14ac:dyDescent="0.25">
      <c r="B59" s="152" t="s">
        <v>98</v>
      </c>
      <c r="C59" s="147">
        <v>92.2</v>
      </c>
      <c r="D59" s="147">
        <v>7.2093023255813904</v>
      </c>
      <c r="E59" s="157">
        <v>268.48</v>
      </c>
      <c r="F59" s="198">
        <v>40518.660000000011</v>
      </c>
      <c r="G59" s="198">
        <v>39405.084999999999</v>
      </c>
      <c r="H59" s="175">
        <v>30076.128499999999</v>
      </c>
      <c r="I59" s="199">
        <v>67.590500000000006</v>
      </c>
      <c r="J59" s="200">
        <f t="shared" si="0"/>
        <v>0.89266808392576191</v>
      </c>
    </row>
    <row r="60" spans="2:10" x14ac:dyDescent="0.25">
      <c r="B60" s="152" t="s">
        <v>99</v>
      </c>
      <c r="C60" s="147">
        <v>95.7</v>
      </c>
      <c r="D60" s="147">
        <v>8.135593220338988</v>
      </c>
      <c r="E60" s="157">
        <v>330.17</v>
      </c>
      <c r="F60" s="198">
        <v>40853.567999999999</v>
      </c>
      <c r="G60" s="198">
        <v>43869.93</v>
      </c>
      <c r="H60" s="175">
        <v>30143.719000000001</v>
      </c>
      <c r="I60" s="199">
        <v>67.590500000000006</v>
      </c>
      <c r="J60" s="200">
        <f t="shared" si="0"/>
        <v>1.0953193930715717</v>
      </c>
    </row>
    <row r="61" spans="2:10" x14ac:dyDescent="0.25">
      <c r="B61" s="152" t="s">
        <v>100</v>
      </c>
      <c r="C61" s="147">
        <v>97.9</v>
      </c>
      <c r="D61" s="147">
        <v>8.8987764182424822</v>
      </c>
      <c r="E61" s="157">
        <v>318.27</v>
      </c>
      <c r="F61" s="198">
        <v>50881.885300000002</v>
      </c>
      <c r="G61" s="198">
        <v>43290.938000000002</v>
      </c>
      <c r="H61" s="175">
        <v>30211.157500000001</v>
      </c>
      <c r="I61" s="199">
        <v>67.438500000000005</v>
      </c>
      <c r="J61" s="200">
        <f t="shared" si="0"/>
        <v>1.0534849583303783</v>
      </c>
    </row>
    <row r="62" spans="2:10" x14ac:dyDescent="0.25">
      <c r="B62" s="152" t="s">
        <v>101</v>
      </c>
      <c r="C62" s="147">
        <v>99.8</v>
      </c>
      <c r="D62" s="147">
        <v>11.012235817575068</v>
      </c>
      <c r="E62" s="157">
        <v>309.7000000000001</v>
      </c>
      <c r="F62" s="198">
        <v>40546.660799999998</v>
      </c>
      <c r="G62" s="198">
        <v>41870.061000000002</v>
      </c>
      <c r="H62" s="175">
        <v>30278.596000000001</v>
      </c>
      <c r="I62" s="199">
        <v>67.438500000000005</v>
      </c>
      <c r="J62" s="200">
        <f t="shared" si="0"/>
        <v>1.0228347443851098</v>
      </c>
    </row>
    <row r="63" spans="2:10" x14ac:dyDescent="0.25">
      <c r="B63" s="152" t="s">
        <v>102</v>
      </c>
      <c r="C63" s="147">
        <v>100.5</v>
      </c>
      <c r="D63" s="147">
        <v>9.0021691973969595</v>
      </c>
      <c r="E63" s="157">
        <v>306.6699999999999</v>
      </c>
      <c r="F63" s="198">
        <v>35347.21560000001</v>
      </c>
      <c r="G63" s="198">
        <v>43355.80599999999</v>
      </c>
      <c r="H63" s="175">
        <v>30346.034500000002</v>
      </c>
      <c r="I63" s="199">
        <v>67.438500000000005</v>
      </c>
      <c r="J63" s="200">
        <f t="shared" si="0"/>
        <v>1.0105768514828517</v>
      </c>
    </row>
    <row r="64" spans="2:10" x14ac:dyDescent="0.25">
      <c r="B64" s="47" t="s">
        <v>103</v>
      </c>
      <c r="C64" s="147">
        <v>99.6</v>
      </c>
      <c r="D64" s="147">
        <v>4.0752351097178563</v>
      </c>
      <c r="E64" s="157">
        <v>273.45</v>
      </c>
      <c r="F64" s="198">
        <v>32220.407600000002</v>
      </c>
      <c r="G64" s="198">
        <v>37710.803</v>
      </c>
      <c r="H64" s="175">
        <v>30413.473000000002</v>
      </c>
      <c r="I64" s="199">
        <v>67.438500000000005</v>
      </c>
      <c r="J64" s="200">
        <f t="shared" si="0"/>
        <v>0.89910810251759132</v>
      </c>
    </row>
    <row r="65" spans="1:22" x14ac:dyDescent="0.25">
      <c r="B65" s="47" t="s">
        <v>104</v>
      </c>
      <c r="C65" s="147">
        <v>98.9</v>
      </c>
      <c r="D65" s="147">
        <v>1.0214504596527174</v>
      </c>
      <c r="E65" s="157">
        <v>246.24</v>
      </c>
      <c r="F65" s="198">
        <v>55918.142200000002</v>
      </c>
      <c r="G65" s="198">
        <v>36005.108500000002</v>
      </c>
      <c r="H65" s="175">
        <v>30476.9643</v>
      </c>
      <c r="I65" s="199">
        <v>63.491250000000001</v>
      </c>
      <c r="J65" s="200">
        <f t="shared" si="0"/>
        <v>0.80795448515192192</v>
      </c>
    </row>
    <row r="66" spans="1:22" x14ac:dyDescent="0.25">
      <c r="B66" s="47" t="s">
        <v>105</v>
      </c>
      <c r="C66" s="147">
        <v>98.8</v>
      </c>
      <c r="D66" s="147">
        <v>-1.0020040080160331</v>
      </c>
      <c r="E66" s="157">
        <v>258.83</v>
      </c>
      <c r="F66" s="198">
        <v>22673.270999999997</v>
      </c>
      <c r="G66" s="198">
        <v>40038.301700000011</v>
      </c>
      <c r="H66" s="175">
        <v>30540.4555</v>
      </c>
      <c r="I66" s="199">
        <v>63.491250000000001</v>
      </c>
      <c r="J66" s="200">
        <f t="shared" si="0"/>
        <v>0.84749882004870547</v>
      </c>
    </row>
    <row r="67" spans="1:22" x14ac:dyDescent="0.25">
      <c r="B67" s="47" t="s">
        <v>106</v>
      </c>
      <c r="C67" s="147">
        <v>98</v>
      </c>
      <c r="D67" s="147">
        <v>-2.4875621890547261</v>
      </c>
      <c r="E67" s="157">
        <v>244.64</v>
      </c>
      <c r="F67" s="198">
        <v>21300.736999999997</v>
      </c>
      <c r="G67" s="198">
        <v>35456.798999999999</v>
      </c>
      <c r="H67" s="175">
        <v>30603.946800000002</v>
      </c>
      <c r="I67" s="199">
        <v>63.491250000000001</v>
      </c>
      <c r="J67" s="200">
        <f t="shared" si="0"/>
        <v>0.7993740206083485</v>
      </c>
    </row>
    <row r="68" spans="1:22" x14ac:dyDescent="0.25">
      <c r="B68" s="47" t="s">
        <v>107</v>
      </c>
      <c r="C68" s="147">
        <v>98.3</v>
      </c>
      <c r="D68" s="147">
        <v>-1.3052208835341306</v>
      </c>
      <c r="E68" s="157">
        <v>250.92</v>
      </c>
      <c r="F68" s="198">
        <v>21128.696499999995</v>
      </c>
      <c r="G68" s="198">
        <v>33995.382099999995</v>
      </c>
      <c r="H68" s="175">
        <v>30667.437999999998</v>
      </c>
      <c r="I68" s="147">
        <v>63.491250000000001</v>
      </c>
      <c r="J68" s="200">
        <f t="shared" si="0"/>
        <v>0.81819681187584037</v>
      </c>
    </row>
    <row r="69" spans="1:22" x14ac:dyDescent="0.25">
      <c r="B69" s="47" t="s">
        <v>108</v>
      </c>
      <c r="C69" s="147">
        <v>99.3</v>
      </c>
      <c r="D69" s="147">
        <v>0.40444893832152218</v>
      </c>
      <c r="E69" s="157">
        <v>275.51</v>
      </c>
      <c r="F69" s="198">
        <v>22069.171300000005</v>
      </c>
      <c r="G69" s="198">
        <v>39314.406999999999</v>
      </c>
      <c r="H69" s="175">
        <v>30727.140200000002</v>
      </c>
      <c r="I69" s="147">
        <v>59.702249999999999</v>
      </c>
      <c r="J69" s="200">
        <f t="shared" ref="J69:J91" si="1">(E69/H69)*100</f>
        <v>0.89663404471334429</v>
      </c>
    </row>
    <row r="70" spans="1:22" x14ac:dyDescent="0.25">
      <c r="B70" s="47" t="s">
        <v>109</v>
      </c>
      <c r="C70" s="147">
        <v>99.8</v>
      </c>
      <c r="D70" s="147">
        <v>1.0121457489878471</v>
      </c>
      <c r="E70" s="157">
        <v>279.32</v>
      </c>
      <c r="F70" s="198">
        <v>26565.633699999998</v>
      </c>
      <c r="G70" s="198">
        <v>33571.0173</v>
      </c>
      <c r="H70" s="175">
        <v>30786.842499999999</v>
      </c>
      <c r="I70" s="147">
        <v>59.702249999999999</v>
      </c>
      <c r="J70" s="200">
        <f t="shared" si="1"/>
        <v>0.90727069526535564</v>
      </c>
    </row>
    <row r="71" spans="1:22" x14ac:dyDescent="0.25">
      <c r="B71" s="47" t="s">
        <v>110</v>
      </c>
      <c r="C71" s="147">
        <v>100.7</v>
      </c>
      <c r="D71" s="147">
        <v>2.7551020408163263</v>
      </c>
      <c r="E71" s="157">
        <v>289.02999999999997</v>
      </c>
      <c r="F71" s="198">
        <v>27216.568299999999</v>
      </c>
      <c r="G71" s="198">
        <v>32330.9139</v>
      </c>
      <c r="H71" s="175">
        <v>30846.544699999999</v>
      </c>
      <c r="I71" s="147">
        <v>59.702249999999999</v>
      </c>
      <c r="J71" s="200">
        <f t="shared" si="1"/>
        <v>0.93699311482365144</v>
      </c>
    </row>
    <row r="72" spans="1:22" x14ac:dyDescent="0.25">
      <c r="B72" s="47" t="s">
        <v>111</v>
      </c>
      <c r="C72" s="147">
        <v>102.3</v>
      </c>
      <c r="D72" s="147">
        <v>4.069175991861651</v>
      </c>
      <c r="E72" s="157">
        <v>377.16</v>
      </c>
      <c r="F72" s="175">
        <v>26415.541399999995</v>
      </c>
      <c r="G72" s="175">
        <v>32354.061099999995</v>
      </c>
      <c r="H72" s="175">
        <v>30906.246999999999</v>
      </c>
      <c r="I72" s="147">
        <v>59.702249999999999</v>
      </c>
      <c r="J72" s="200">
        <f t="shared" si="1"/>
        <v>1.2203358110740525</v>
      </c>
    </row>
    <row r="73" spans="1:22" x14ac:dyDescent="0.25">
      <c r="B73" s="47" t="s">
        <v>112</v>
      </c>
      <c r="C73" s="147">
        <v>101.3</v>
      </c>
      <c r="D73" s="147">
        <v>2.0140986908358416</v>
      </c>
      <c r="E73" s="157">
        <v>245.08</v>
      </c>
      <c r="F73" s="175">
        <v>27528.4054</v>
      </c>
      <c r="G73" s="175">
        <v>32591.993899999998</v>
      </c>
      <c r="H73" s="175">
        <v>30964.141100000001</v>
      </c>
      <c r="I73" s="147">
        <v>57.894063199999998</v>
      </c>
      <c r="J73" s="200">
        <f t="shared" si="1"/>
        <v>0.79149619945376104</v>
      </c>
    </row>
    <row r="74" spans="1:22" x14ac:dyDescent="0.25">
      <c r="B74" s="47" t="s">
        <v>113</v>
      </c>
      <c r="C74" s="147">
        <v>102.1</v>
      </c>
      <c r="D74" s="147">
        <v>2.3046092184368705</v>
      </c>
      <c r="E74" s="157">
        <v>291.99</v>
      </c>
      <c r="F74" s="175">
        <v>27054.790500000003</v>
      </c>
      <c r="G74" s="175">
        <v>30055.248500000002</v>
      </c>
      <c r="H74" s="175">
        <v>31018.1139</v>
      </c>
      <c r="I74" s="147">
        <v>53.972838500000002</v>
      </c>
      <c r="J74" s="200">
        <f t="shared" si="1"/>
        <v>0.9413531749266032</v>
      </c>
    </row>
    <row r="75" spans="1:22" x14ac:dyDescent="0.25">
      <c r="B75" s="47" t="s">
        <v>114</v>
      </c>
      <c r="C75" s="147">
        <v>102.9</v>
      </c>
      <c r="D75" s="147">
        <v>2.1847070506454846</v>
      </c>
      <c r="E75" s="157">
        <v>300.80999999999995</v>
      </c>
      <c r="F75" s="175">
        <v>34015.413099999998</v>
      </c>
      <c r="G75" s="175">
        <v>32248.981999999996</v>
      </c>
      <c r="H75" s="175">
        <v>31076.5723</v>
      </c>
      <c r="I75" s="147">
        <v>58.458401500000001</v>
      </c>
      <c r="J75" s="200">
        <f t="shared" si="1"/>
        <v>0.9679638960697089</v>
      </c>
    </row>
    <row r="76" spans="1:22" x14ac:dyDescent="0.25">
      <c r="B76" s="47" t="s">
        <v>115</v>
      </c>
      <c r="C76" s="147">
        <v>103.4</v>
      </c>
      <c r="D76" s="147">
        <v>1.0752688172043001</v>
      </c>
      <c r="E76" s="157">
        <v>301.88</v>
      </c>
      <c r="F76" s="175">
        <v>31002.844899999993</v>
      </c>
      <c r="G76" s="175">
        <v>32064.557199999996</v>
      </c>
      <c r="H76" s="175">
        <v>31135.388599999998</v>
      </c>
      <c r="I76" s="147">
        <v>58.816312699999997</v>
      </c>
      <c r="J76" s="200">
        <f t="shared" si="1"/>
        <v>0.96957196802098056</v>
      </c>
    </row>
    <row r="77" spans="1:22" x14ac:dyDescent="0.25">
      <c r="B77" s="47" t="s">
        <v>116</v>
      </c>
      <c r="C77" s="147">
        <v>104.3</v>
      </c>
      <c r="D77" s="147">
        <v>2.9615004935834133</v>
      </c>
      <c r="E77" s="157">
        <v>297.08999999999997</v>
      </c>
      <c r="F77" s="175">
        <v>31198.833957131501</v>
      </c>
      <c r="G77" s="175">
        <v>29299.383804124107</v>
      </c>
      <c r="H77" s="175">
        <v>31190.050200000001</v>
      </c>
      <c r="I77" s="147">
        <v>54.661563399999999</v>
      </c>
      <c r="J77" s="200">
        <f t="shared" si="1"/>
        <v>0.95251529925399081</v>
      </c>
    </row>
    <row r="78" spans="1:22" x14ac:dyDescent="0.25">
      <c r="B78" s="47" t="s">
        <v>117</v>
      </c>
      <c r="C78" s="147">
        <v>104.5086</v>
      </c>
      <c r="D78" s="147">
        <v>2.3590597453477136</v>
      </c>
      <c r="E78" s="157">
        <v>292.27766719282874</v>
      </c>
      <c r="F78" s="175">
        <v>31214.31221128687</v>
      </c>
      <c r="G78" s="175">
        <v>29670.812750371468</v>
      </c>
      <c r="H78" s="175">
        <v>31245.186900000001</v>
      </c>
      <c r="I78" s="147">
        <v>55.136673399999999</v>
      </c>
      <c r="J78" s="200">
        <f t="shared" si="1"/>
        <v>0.93543260959923624</v>
      </c>
    </row>
    <row r="79" spans="1:22" x14ac:dyDescent="0.25">
      <c r="B79" s="47" t="s">
        <v>118</v>
      </c>
      <c r="C79" s="147">
        <v>104.9266344</v>
      </c>
      <c r="D79" s="147">
        <v>1.9695183673469341</v>
      </c>
      <c r="E79" s="157">
        <v>294.43137191486409</v>
      </c>
      <c r="F79" s="175">
        <v>31156.930793597123</v>
      </c>
      <c r="G79" s="175">
        <v>29978.87273548092</v>
      </c>
      <c r="H79" s="175">
        <v>31300.716899999999</v>
      </c>
      <c r="I79" s="147">
        <v>55.530011999999999</v>
      </c>
      <c r="J79" s="200">
        <f t="shared" si="1"/>
        <v>0.94065376475407203</v>
      </c>
    </row>
    <row r="80" spans="1:22" s="2" customFormat="1" ht="15.75" x14ac:dyDescent="0.25">
      <c r="A80" s="7"/>
      <c r="B80" s="47" t="s">
        <v>119</v>
      </c>
      <c r="C80" s="147">
        <v>105.6086575236</v>
      </c>
      <c r="D80" s="147">
        <v>2.1360324212766013</v>
      </c>
      <c r="E80" s="157">
        <v>296.24183852854981</v>
      </c>
      <c r="F80" s="175">
        <v>31020.726644508592</v>
      </c>
      <c r="G80" s="175">
        <v>30220.969121965943</v>
      </c>
      <c r="H80" s="175">
        <v>31356.5798</v>
      </c>
      <c r="I80" s="147">
        <v>55.862891300000001</v>
      </c>
      <c r="J80" s="200">
        <f t="shared" si="1"/>
        <v>0.94475175678614598</v>
      </c>
      <c r="K80" s="116"/>
      <c r="L80" s="17"/>
      <c r="M80" s="17"/>
      <c r="N80" s="17"/>
      <c r="O80" s="17"/>
      <c r="P80" s="17"/>
      <c r="Q80" s="17"/>
      <c r="R80" s="116"/>
      <c r="U80" s="27"/>
      <c r="V80" s="27"/>
    </row>
    <row r="81" spans="1:22" s="2" customFormat="1" ht="15.75" x14ac:dyDescent="0.25">
      <c r="A81" s="7"/>
      <c r="B81" s="47" t="s">
        <v>120</v>
      </c>
      <c r="C81" s="147">
        <v>106.55913544131238</v>
      </c>
      <c r="D81" s="147">
        <v>2.1659975467999804</v>
      </c>
      <c r="E81" s="157">
        <v>298.52710991924181</v>
      </c>
      <c r="F81" s="175">
        <v>30974.480684393235</v>
      </c>
      <c r="G81" s="175">
        <v>30393.692150849067</v>
      </c>
      <c r="H81" s="175">
        <v>31410.979200000002</v>
      </c>
      <c r="I81" s="147">
        <v>54.399462700000001</v>
      </c>
      <c r="J81" s="200">
        <f t="shared" si="1"/>
        <v>0.95039097004413609</v>
      </c>
      <c r="K81" s="116"/>
      <c r="L81" s="17"/>
      <c r="M81" s="17"/>
      <c r="N81" s="17"/>
      <c r="O81" s="17"/>
      <c r="P81" s="17"/>
      <c r="Q81" s="17"/>
      <c r="R81" s="116"/>
      <c r="U81" s="27"/>
      <c r="V81" s="27"/>
    </row>
    <row r="82" spans="1:22" s="2" customFormat="1" ht="15.75" x14ac:dyDescent="0.25">
      <c r="A82" s="7"/>
      <c r="B82" s="47" t="s">
        <v>121</v>
      </c>
      <c r="C82" s="147">
        <v>107.23045799459264</v>
      </c>
      <c r="D82" s="147">
        <v>2.60443446241998</v>
      </c>
      <c r="E82" s="157">
        <v>299.82350790524379</v>
      </c>
      <c r="F82" s="175">
        <v>30977.273298684711</v>
      </c>
      <c r="G82" s="175">
        <v>30520.058384145537</v>
      </c>
      <c r="H82" s="175">
        <v>31465.6073</v>
      </c>
      <c r="I82" s="147">
        <v>54.628091699999999</v>
      </c>
      <c r="J82" s="200">
        <f t="shared" si="1"/>
        <v>0.95286102393213234</v>
      </c>
      <c r="K82" s="116"/>
      <c r="L82" s="17"/>
      <c r="M82" s="17"/>
      <c r="N82" s="17"/>
      <c r="O82" s="17"/>
      <c r="P82" s="17"/>
      <c r="Q82" s="17"/>
      <c r="R82" s="116"/>
      <c r="U82" s="27"/>
      <c r="V82" s="27"/>
    </row>
    <row r="83" spans="1:22" s="2" customFormat="1" ht="15.75" x14ac:dyDescent="0.25">
      <c r="A83" s="7"/>
      <c r="B83" s="47" t="s">
        <v>122</v>
      </c>
      <c r="C83" s="147">
        <v>107.89528683415912</v>
      </c>
      <c r="D83" s="147">
        <v>2.8292648965009937</v>
      </c>
      <c r="E83" s="157">
        <v>302.07164073695157</v>
      </c>
      <c r="F83" s="175">
        <v>31553.184912124565</v>
      </c>
      <c r="G83" s="175">
        <v>30618.235442027944</v>
      </c>
      <c r="H83" s="175">
        <v>31520.417600000001</v>
      </c>
      <c r="I83" s="147">
        <v>54.8103196</v>
      </c>
      <c r="J83" s="200">
        <f t="shared" si="1"/>
        <v>0.95833641727180541</v>
      </c>
      <c r="K83" s="116"/>
      <c r="L83" s="17"/>
      <c r="M83" s="17"/>
      <c r="N83" s="17"/>
      <c r="O83" s="17"/>
      <c r="P83" s="17"/>
      <c r="Q83" s="17"/>
      <c r="R83" s="116"/>
      <c r="U83" s="27"/>
      <c r="V83" s="27"/>
    </row>
    <row r="84" spans="1:22" x14ac:dyDescent="0.25">
      <c r="B84" s="47" t="s">
        <v>123</v>
      </c>
      <c r="C84" s="147">
        <v>108.59660619858114</v>
      </c>
      <c r="D84" s="147">
        <v>2.8292648965009715</v>
      </c>
      <c r="E84" s="157">
        <v>303.53099393136222</v>
      </c>
      <c r="F84" s="175">
        <v>32158.929934584732</v>
      </c>
      <c r="G84" s="175">
        <v>30782.994978790666</v>
      </c>
      <c r="H84" s="175">
        <v>31575.518400000001</v>
      </c>
      <c r="I84" s="147">
        <v>55.100806900000002</v>
      </c>
      <c r="J84" s="200">
        <f t="shared" si="1"/>
        <v>0.96128586104658287</v>
      </c>
    </row>
    <row r="85" spans="1:22" x14ac:dyDescent="0.25">
      <c r="B85" s="47" t="s">
        <v>124</v>
      </c>
      <c r="C85" s="147">
        <v>109.43280006631022</v>
      </c>
      <c r="D85" s="147">
        <v>2.6967792231952892</v>
      </c>
      <c r="E85" s="157">
        <v>305.53493429826756</v>
      </c>
      <c r="F85" s="175">
        <v>33552.895976083433</v>
      </c>
      <c r="G85" s="175">
        <v>31025.5642078737</v>
      </c>
      <c r="H85" s="175">
        <v>31631.064900000001</v>
      </c>
      <c r="I85" s="147">
        <v>55.546478700000002</v>
      </c>
      <c r="J85" s="200">
        <f t="shared" si="1"/>
        <v>0.96593312701991119</v>
      </c>
    </row>
    <row r="86" spans="1:22" x14ac:dyDescent="0.25">
      <c r="B86" s="47" t="s">
        <v>125</v>
      </c>
      <c r="C86" s="147">
        <v>110.22071622678769</v>
      </c>
      <c r="D86" s="147">
        <v>2.7886276792232323</v>
      </c>
      <c r="E86" s="157">
        <v>307.36305637670199</v>
      </c>
      <c r="F86" s="175">
        <v>34958.383371910735</v>
      </c>
      <c r="G86" s="175">
        <v>31457.558256423388</v>
      </c>
      <c r="H86" s="175">
        <v>31687.309099999999</v>
      </c>
      <c r="I86" s="147">
        <v>56.2441873</v>
      </c>
      <c r="J86" s="200">
        <f t="shared" si="1"/>
        <v>0.96998787560885691</v>
      </c>
    </row>
    <row r="87" spans="1:22" x14ac:dyDescent="0.25">
      <c r="B87" s="47" t="s">
        <v>126</v>
      </c>
      <c r="C87" s="147">
        <v>110.91510673901644</v>
      </c>
      <c r="D87" s="147">
        <v>2.7988432057268087</v>
      </c>
      <c r="E87" s="157">
        <v>309.54467432282127</v>
      </c>
      <c r="F87" s="175">
        <v>36122.621457993926</v>
      </c>
      <c r="G87" s="175">
        <v>32072.256505495985</v>
      </c>
      <c r="H87" s="175">
        <v>31744.4833</v>
      </c>
      <c r="I87" s="147">
        <v>57.174240599999997</v>
      </c>
      <c r="J87" s="200">
        <f t="shared" si="1"/>
        <v>0.9751132862912949</v>
      </c>
    </row>
    <row r="88" spans="1:22" x14ac:dyDescent="0.25">
      <c r="B88" s="47" t="s">
        <v>127</v>
      </c>
      <c r="C88" s="147">
        <v>111.59168889012444</v>
      </c>
      <c r="D88" s="147">
        <v>2.7579892193559497</v>
      </c>
      <c r="E88" s="157">
        <v>312.21387749579657</v>
      </c>
      <c r="F88" s="175">
        <v>37050.876699862441</v>
      </c>
      <c r="G88" s="175">
        <v>32805.716944947359</v>
      </c>
      <c r="H88" s="175">
        <v>31802.7601</v>
      </c>
      <c r="I88" s="147">
        <v>58.276761999999998</v>
      </c>
      <c r="J88" s="200">
        <f t="shared" si="1"/>
        <v>0.98171943728807531</v>
      </c>
    </row>
    <row r="89" spans="1:22" x14ac:dyDescent="0.25">
      <c r="B89" s="47" t="s">
        <v>128</v>
      </c>
      <c r="C89" s="147">
        <v>112.43978572568938</v>
      </c>
      <c r="D89" s="147">
        <v>2.7477919394889749</v>
      </c>
      <c r="E89" s="157">
        <v>314.26618653244691</v>
      </c>
      <c r="F89" s="175">
        <v>37716.799708435341</v>
      </c>
      <c r="G89" s="175">
        <v>33593.875730867599</v>
      </c>
      <c r="H89" s="175">
        <v>31862.2585</v>
      </c>
      <c r="I89" s="147">
        <v>59.498439099999999</v>
      </c>
      <c r="J89" s="200">
        <f t="shared" si="1"/>
        <v>0.98632740215966463</v>
      </c>
    </row>
    <row r="90" spans="1:22" x14ac:dyDescent="0.25">
      <c r="B90" s="47" t="s">
        <v>129</v>
      </c>
      <c r="C90" s="147">
        <v>113.24935218291436</v>
      </c>
      <c r="D90" s="147">
        <v>2.7477919394889749</v>
      </c>
      <c r="E90" s="157">
        <v>316.33768936600177</v>
      </c>
      <c r="F90" s="175">
        <v>38173.473905686995</v>
      </c>
      <c r="G90" s="175">
        <v>34376.948504518383</v>
      </c>
      <c r="H90" s="175">
        <v>31922.958900000001</v>
      </c>
      <c r="I90" s="147">
        <v>60.700370999999997</v>
      </c>
      <c r="J90" s="200">
        <f t="shared" si="1"/>
        <v>0.99094100379899863</v>
      </c>
    </row>
    <row r="91" spans="1:22" x14ac:dyDescent="0.25">
      <c r="B91" s="47" t="s">
        <v>130</v>
      </c>
      <c r="C91" s="147">
        <v>113.96282310166671</v>
      </c>
      <c r="D91" s="147">
        <v>2.7477919394889749</v>
      </c>
      <c r="E91" s="157">
        <v>318.42872750636377</v>
      </c>
      <c r="F91" s="175">
        <v>38520.563774377151</v>
      </c>
      <c r="G91" s="175">
        <v>35112.276703210686</v>
      </c>
      <c r="H91" s="175">
        <v>31984.7732</v>
      </c>
      <c r="I91" s="147">
        <v>61.814281999999999</v>
      </c>
      <c r="J91" s="200">
        <f t="shared" si="1"/>
        <v>0.99556349990427251</v>
      </c>
    </row>
    <row r="92" spans="1:22" x14ac:dyDescent="0.25">
      <c r="B92" s="47" t="s">
        <v>131</v>
      </c>
      <c r="C92" s="147">
        <v>114.65799632258688</v>
      </c>
      <c r="D92" s="147">
        <v>2.7477919394889527</v>
      </c>
      <c r="E92" s="157">
        <v>320.53921674095091</v>
      </c>
      <c r="F92" s="175">
        <v>38659.214399874239</v>
      </c>
      <c r="G92" s="175">
        <v>35781.760332918711</v>
      </c>
      <c r="H92" s="175">
        <v>32047.618200000001</v>
      </c>
      <c r="I92" s="147">
        <v>62.845047999999998</v>
      </c>
      <c r="J92" s="200">
        <f t="shared" ref="J92:J96" si="2">(E92/H92)*100</f>
        <v>1.0001966908759257</v>
      </c>
    </row>
    <row r="93" spans="1:22" x14ac:dyDescent="0.25">
      <c r="B93" s="47" t="s">
        <v>132</v>
      </c>
      <c r="C93" s="147">
        <v>115.52939709463854</v>
      </c>
      <c r="D93" s="147">
        <v>2.7477919394889749</v>
      </c>
      <c r="E93" s="157">
        <v>322.66857687771414</v>
      </c>
      <c r="F93" s="175">
        <v>38791.111536992656</v>
      </c>
      <c r="G93" s="175">
        <v>36359.062417779067</v>
      </c>
      <c r="H93" s="175">
        <v>32111.4113</v>
      </c>
      <c r="I93" s="147">
        <v>63.793015500000003</v>
      </c>
      <c r="J93" s="200">
        <f t="shared" si="2"/>
        <v>1.0048408457142901</v>
      </c>
    </row>
    <row r="94" spans="1:22" x14ac:dyDescent="0.25">
      <c r="B94" s="47" t="s">
        <v>133</v>
      </c>
      <c r="C94" s="147">
        <v>116.36120875371996</v>
      </c>
      <c r="D94" s="147">
        <v>2.7477919394889749</v>
      </c>
      <c r="E94" s="157">
        <v>324.81621281455455</v>
      </c>
      <c r="F94" s="175">
        <v>38917.676227314369</v>
      </c>
      <c r="G94" s="175">
        <v>36851.869876237739</v>
      </c>
      <c r="H94" s="175">
        <v>32176.0213</v>
      </c>
      <c r="I94" s="147">
        <v>64.610068299999995</v>
      </c>
      <c r="J94" s="200">
        <f t="shared" si="2"/>
        <v>1.0094977554435998</v>
      </c>
    </row>
    <row r="95" spans="1:22" x14ac:dyDescent="0.25">
      <c r="B95" s="47" t="s">
        <v>134</v>
      </c>
      <c r="C95" s="147">
        <v>117.0942843688684</v>
      </c>
      <c r="D95" s="147">
        <v>2.7477919394889749</v>
      </c>
      <c r="E95" s="157">
        <v>326.98160859355312</v>
      </c>
      <c r="F95" s="175">
        <v>39040.313162235419</v>
      </c>
      <c r="G95" s="175">
        <v>37272.151285807173</v>
      </c>
      <c r="H95" s="175">
        <v>32241.323899999999</v>
      </c>
      <c r="I95" s="147">
        <v>65.302547500000003</v>
      </c>
      <c r="J95" s="200">
        <f t="shared" si="2"/>
        <v>1.0141692990266853</v>
      </c>
    </row>
    <row r="96" spans="1:22" x14ac:dyDescent="0.25">
      <c r="B96" s="47" t="s">
        <v>135</v>
      </c>
      <c r="C96" s="147">
        <v>117.8085595035185</v>
      </c>
      <c r="D96" s="147">
        <v>2.7477919394889749</v>
      </c>
      <c r="E96" s="157">
        <v>329.16434245461153</v>
      </c>
      <c r="F96" s="175">
        <v>39159.799688171901</v>
      </c>
      <c r="G96" s="175">
        <v>37632.333715594505</v>
      </c>
      <c r="H96" s="175">
        <v>32307.242699999999</v>
      </c>
      <c r="I96" s="147">
        <v>65.918784700000003</v>
      </c>
      <c r="J96" s="200">
        <f t="shared" si="2"/>
        <v>1.0188561911989211</v>
      </c>
    </row>
    <row r="97" spans="2:12" x14ac:dyDescent="0.25">
      <c r="B97" s="47" t="s">
        <v>645</v>
      </c>
      <c r="C97" s="147">
        <v>118.70390455574524</v>
      </c>
      <c r="D97" s="147">
        <v>2.7477919394889749</v>
      </c>
      <c r="E97" s="157">
        <v>331.36408345295894</v>
      </c>
      <c r="F97" s="175">
        <v>39276.766121626519</v>
      </c>
      <c r="G97" s="175">
        <v>37943.226551178654</v>
      </c>
      <c r="H97" s="175">
        <v>32373.754400000002</v>
      </c>
      <c r="I97" s="147">
        <v>66.511711700000021</v>
      </c>
      <c r="J97" s="200">
        <f t="shared" ref="J97:J104" si="3">(E97/H97)*100</f>
        <v>1.0235577849844901</v>
      </c>
    </row>
    <row r="98" spans="2:12" x14ac:dyDescent="0.25">
      <c r="B98" s="47" t="s">
        <v>646</v>
      </c>
      <c r="C98" s="147">
        <v>119.55857266854662</v>
      </c>
      <c r="D98" s="147">
        <v>2.7477919394889749</v>
      </c>
      <c r="E98" s="157">
        <v>332.91805207633041</v>
      </c>
      <c r="F98" s="175">
        <v>39372.335580085659</v>
      </c>
      <c r="G98" s="175">
        <v>38214.004931112489</v>
      </c>
      <c r="H98" s="175">
        <v>32440.787400000001</v>
      </c>
      <c r="I98" s="147">
        <v>67.033052999999995</v>
      </c>
      <c r="J98" s="200">
        <f t="shared" si="3"/>
        <v>1.0262329578237377</v>
      </c>
    </row>
    <row r="99" spans="2:12" x14ac:dyDescent="0.25">
      <c r="B99" s="47" t="s">
        <v>647</v>
      </c>
      <c r="C99" s="147">
        <v>120.31179167635844</v>
      </c>
      <c r="D99" s="147">
        <v>2.7477919394889527</v>
      </c>
      <c r="E99" s="157">
        <v>333.81540249498295</v>
      </c>
      <c r="F99" s="175">
        <v>39434.519929180693</v>
      </c>
      <c r="G99" s="175">
        <v>38449.325047366117</v>
      </c>
      <c r="H99" s="175">
        <v>32508.266500000002</v>
      </c>
      <c r="I99" s="147">
        <v>67.479117900000006</v>
      </c>
      <c r="J99" s="200">
        <f t="shared" si="3"/>
        <v>1.0268631287828986</v>
      </c>
    </row>
    <row r="100" spans="2:12" x14ac:dyDescent="0.25">
      <c r="B100" s="47" t="s">
        <v>648</v>
      </c>
      <c r="C100" s="147">
        <v>121.04569360558423</v>
      </c>
      <c r="D100" s="147">
        <v>2.7477919394889527</v>
      </c>
      <c r="E100" s="157">
        <v>334.04920688415547</v>
      </c>
      <c r="F100" s="175">
        <v>39454.240665735888</v>
      </c>
      <c r="G100" s="175">
        <v>38650.57006830936</v>
      </c>
      <c r="H100" s="175">
        <v>32576.150900000001</v>
      </c>
      <c r="I100" s="147">
        <v>67.884330000000006</v>
      </c>
      <c r="J100" s="200">
        <f t="shared" si="3"/>
        <v>1.0254409979545971</v>
      </c>
    </row>
    <row r="101" spans="2:12" x14ac:dyDescent="0.25">
      <c r="B101" s="379">
        <v>2008</v>
      </c>
      <c r="C101" s="330">
        <v>62.125</v>
      </c>
      <c r="D101" s="330">
        <v>-4.4598231449442638</v>
      </c>
      <c r="E101" s="445">
        <f>SUM(E4:E7)</f>
        <v>916.92</v>
      </c>
      <c r="F101" s="445">
        <v>109087.33440000002</v>
      </c>
      <c r="G101" s="445">
        <v>156066.44200000001</v>
      </c>
      <c r="H101" s="445">
        <v>27210.610400000001</v>
      </c>
      <c r="I101" s="330">
        <v>232.26987500000001</v>
      </c>
      <c r="J101" s="446">
        <f t="shared" si="3"/>
        <v>3.3697149256159276</v>
      </c>
      <c r="L101" s="203"/>
    </row>
    <row r="102" spans="2:12" x14ac:dyDescent="0.25">
      <c r="B102" s="47">
        <v>2009</v>
      </c>
      <c r="C102" s="70">
        <v>56.575000000000003</v>
      </c>
      <c r="D102" s="70">
        <v>-8.9336016096579485</v>
      </c>
      <c r="E102" s="175">
        <f>SUM(E8:E11)</f>
        <v>847.54</v>
      </c>
      <c r="F102" s="175">
        <v>85887.358199999988</v>
      </c>
      <c r="G102" s="175">
        <v>121852.879</v>
      </c>
      <c r="H102" s="175">
        <v>27402.429400000001</v>
      </c>
      <c r="I102" s="201">
        <v>191.81900000000002</v>
      </c>
      <c r="J102" s="200">
        <f t="shared" si="3"/>
        <v>3.0929374459039751</v>
      </c>
      <c r="L102" s="203"/>
    </row>
    <row r="103" spans="2:12" x14ac:dyDescent="0.25">
      <c r="B103" s="47">
        <v>2010</v>
      </c>
      <c r="C103" s="70">
        <v>59.8</v>
      </c>
      <c r="D103" s="70">
        <v>5.7003977021652608</v>
      </c>
      <c r="E103" s="175">
        <f>SUM(E12:E15)</f>
        <v>884.05</v>
      </c>
      <c r="F103" s="175">
        <v>105609.76400000001</v>
      </c>
      <c r="G103" s="175">
        <v>105593.02899999999</v>
      </c>
      <c r="H103" s="175">
        <v>27572.2035</v>
      </c>
      <c r="I103" s="201">
        <v>169.77412500000003</v>
      </c>
      <c r="J103" s="200">
        <f t="shared" si="3"/>
        <v>3.2063088465163836</v>
      </c>
      <c r="L103" s="203"/>
    </row>
    <row r="104" spans="2:12" x14ac:dyDescent="0.25">
      <c r="B104" s="47">
        <v>2011</v>
      </c>
      <c r="C104" s="70">
        <v>58.924999999999997</v>
      </c>
      <c r="D104" s="70">
        <v>-1.4632107023411334</v>
      </c>
      <c r="E104" s="175">
        <f>SUM(E16:E19)</f>
        <v>882.67000000000007</v>
      </c>
      <c r="F104" s="175">
        <v>107643.82869999998</v>
      </c>
      <c r="G104" s="175">
        <v>105403.3508</v>
      </c>
      <c r="H104" s="175">
        <v>27734.932000000001</v>
      </c>
      <c r="I104" s="201">
        <v>162.7285</v>
      </c>
      <c r="J104" s="200">
        <f t="shared" si="3"/>
        <v>3.1825208729554486</v>
      </c>
      <c r="L104" s="203"/>
    </row>
    <row r="105" spans="2:12" x14ac:dyDescent="0.25">
      <c r="B105" s="47">
        <v>2012</v>
      </c>
      <c r="C105" s="70">
        <v>59.2</v>
      </c>
      <c r="D105" s="70">
        <v>0.46669495120916782</v>
      </c>
      <c r="E105" s="175">
        <f>SUM(E20:E23)</f>
        <v>931.28</v>
      </c>
      <c r="F105" s="175">
        <v>99580.54340000001</v>
      </c>
      <c r="G105" s="175">
        <v>107988.24650000001</v>
      </c>
      <c r="H105" s="175">
        <v>27892.0376</v>
      </c>
      <c r="I105" s="201">
        <v>157.105625</v>
      </c>
      <c r="J105" s="200">
        <f t="shared" ref="J105:J122" si="4">(E105/H105)*100</f>
        <v>3.3388740304867506</v>
      </c>
      <c r="L105" s="203"/>
    </row>
    <row r="106" spans="2:12" x14ac:dyDescent="0.25">
      <c r="B106" s="47">
        <v>2013</v>
      </c>
      <c r="C106" s="70">
        <v>60.7</v>
      </c>
      <c r="D106" s="70">
        <v>2.533783783783794</v>
      </c>
      <c r="E106" s="175">
        <f>SUM(E24:E27)</f>
        <v>1066.97</v>
      </c>
      <c r="F106" s="175">
        <v>118616.58240000001</v>
      </c>
      <c r="G106" s="175">
        <v>106530.361</v>
      </c>
      <c r="H106" s="175">
        <v>28056.433099999995</v>
      </c>
      <c r="I106" s="201">
        <v>164.3955</v>
      </c>
      <c r="J106" s="200">
        <f t="shared" si="4"/>
        <v>3.8029424346176075</v>
      </c>
      <c r="L106" s="203"/>
    </row>
    <row r="107" spans="2:12" x14ac:dyDescent="0.25">
      <c r="B107" s="47">
        <v>2014</v>
      </c>
      <c r="C107" s="70">
        <v>65.55</v>
      </c>
      <c r="D107" s="70">
        <v>7.9901153212520448</v>
      </c>
      <c r="E107" s="175">
        <f>SUM(E28:E31)</f>
        <v>1222.8999999999999</v>
      </c>
      <c r="F107" s="175">
        <v>135006.995</v>
      </c>
      <c r="G107" s="175">
        <v>114868.13100000001</v>
      </c>
      <c r="H107" s="175">
        <v>28251.6247</v>
      </c>
      <c r="I107" s="201">
        <v>195.19162499999999</v>
      </c>
      <c r="J107" s="200">
        <f t="shared" si="4"/>
        <v>4.3286006131888053</v>
      </c>
      <c r="L107" s="203"/>
    </row>
    <row r="108" spans="2:12" x14ac:dyDescent="0.25">
      <c r="B108" s="47">
        <v>2015</v>
      </c>
      <c r="C108" s="70">
        <v>69.474999999999994</v>
      </c>
      <c r="D108" s="70">
        <v>5.9877955758962598</v>
      </c>
      <c r="E108" s="175">
        <f>SUM(E32:E35)</f>
        <v>1226.1399999999999</v>
      </c>
      <c r="F108" s="175">
        <v>146064.24000000002</v>
      </c>
      <c r="G108" s="175">
        <v>134073.163</v>
      </c>
      <c r="H108" s="175">
        <v>28473.502499999999</v>
      </c>
      <c r="I108" s="201">
        <v>221.87774999999999</v>
      </c>
      <c r="J108" s="200">
        <f t="shared" si="4"/>
        <v>4.3062492926537574</v>
      </c>
      <c r="L108" s="203"/>
    </row>
    <row r="109" spans="2:12" x14ac:dyDescent="0.25">
      <c r="B109" s="47">
        <v>2016</v>
      </c>
      <c r="C109" s="70">
        <v>74.349999999999994</v>
      </c>
      <c r="D109" s="70">
        <v>7.0169125584742753</v>
      </c>
      <c r="E109" s="175">
        <f>SUM(E36:E39)</f>
        <v>1232.4899999999998</v>
      </c>
      <c r="F109" s="175">
        <v>153428.43300000002</v>
      </c>
      <c r="G109" s="175">
        <v>139344.677</v>
      </c>
      <c r="H109" s="175">
        <v>28723.926599999999</v>
      </c>
      <c r="I109" s="201">
        <v>250.424125</v>
      </c>
      <c r="J109" s="200">
        <f t="shared" si="4"/>
        <v>4.2908130812449565</v>
      </c>
      <c r="L109" s="203"/>
    </row>
    <row r="110" spans="2:12" x14ac:dyDescent="0.25">
      <c r="B110" s="47">
        <v>2017</v>
      </c>
      <c r="C110" s="70">
        <v>77.724999999999994</v>
      </c>
      <c r="D110" s="70">
        <v>4.5393409549428387</v>
      </c>
      <c r="E110" s="175">
        <f>SUM(E40:E43)</f>
        <v>1223.43</v>
      </c>
      <c r="F110" s="175">
        <v>160771.54399999999</v>
      </c>
      <c r="G110" s="175">
        <v>158102.64299999998</v>
      </c>
      <c r="H110" s="175">
        <v>28986.416700000002</v>
      </c>
      <c r="I110" s="201">
        <v>262.49012500000003</v>
      </c>
      <c r="J110" s="200">
        <f t="shared" si="4"/>
        <v>4.2207010706501018</v>
      </c>
      <c r="L110" s="203"/>
    </row>
    <row r="111" spans="2:12" x14ac:dyDescent="0.25">
      <c r="B111" s="47">
        <v>2018</v>
      </c>
      <c r="C111" s="70">
        <v>80.224999999999994</v>
      </c>
      <c r="D111" s="70">
        <v>3.2164683177870801</v>
      </c>
      <c r="E111" s="175">
        <f>SUM(E44:E47)</f>
        <v>1189.3599999999997</v>
      </c>
      <c r="F111" s="175">
        <v>166237.43700000001</v>
      </c>
      <c r="G111" s="175">
        <v>160946.45600000001</v>
      </c>
      <c r="H111" s="175">
        <v>29266.559799999999</v>
      </c>
      <c r="I111" s="201">
        <v>280.14300000000003</v>
      </c>
      <c r="J111" s="200">
        <f t="shared" si="4"/>
        <v>4.0638872765633351</v>
      </c>
      <c r="L111" s="203"/>
    </row>
    <row r="112" spans="2:12" x14ac:dyDescent="0.25">
      <c r="B112" s="47">
        <v>2019</v>
      </c>
      <c r="C112" s="70">
        <v>81.024999999999991</v>
      </c>
      <c r="D112" s="70">
        <v>0.9971953879713169</v>
      </c>
      <c r="E112" s="175">
        <f>SUM(E48:E51)</f>
        <v>1176.5999999999999</v>
      </c>
      <c r="F112" s="175">
        <v>152347.41899999999</v>
      </c>
      <c r="G112" s="175">
        <v>172140.125</v>
      </c>
      <c r="H112" s="175">
        <v>29551.843499999999</v>
      </c>
      <c r="I112" s="201">
        <v>285.28375</v>
      </c>
      <c r="J112" s="200">
        <f t="shared" si="4"/>
        <v>3.9814775007183565</v>
      </c>
      <c r="L112" s="203"/>
    </row>
    <row r="113" spans="2:12" x14ac:dyDescent="0.25">
      <c r="B113" s="47">
        <v>2020</v>
      </c>
      <c r="C113" s="70">
        <v>83.325000000000003</v>
      </c>
      <c r="D113" s="70">
        <v>2.8386300524529506</v>
      </c>
      <c r="E113" s="175">
        <f>SUM(E52:E55)</f>
        <v>1037.3899999999999</v>
      </c>
      <c r="F113" s="175">
        <v>126537.0095</v>
      </c>
      <c r="G113" s="175">
        <v>141329.18400000001</v>
      </c>
      <c r="H113" s="175">
        <v>29810.803800000002</v>
      </c>
      <c r="I113" s="201">
        <v>258.96024999999997</v>
      </c>
      <c r="J113" s="200">
        <f t="shared" si="4"/>
        <v>3.4799128764183132</v>
      </c>
      <c r="L113" s="203"/>
    </row>
    <row r="114" spans="2:12" x14ac:dyDescent="0.25">
      <c r="B114" s="47">
        <v>2021</v>
      </c>
      <c r="C114" s="70">
        <v>90.125</v>
      </c>
      <c r="D114" s="70">
        <v>8.1608160816081465</v>
      </c>
      <c r="E114" s="175">
        <f>SUM(E56:E59)</f>
        <v>1482.4</v>
      </c>
      <c r="F114" s="175">
        <v>169748.7543</v>
      </c>
      <c r="G114" s="175">
        <v>169061.14449999999</v>
      </c>
      <c r="H114" s="175">
        <v>30076.128499999999</v>
      </c>
      <c r="I114" s="201">
        <v>265.32475000000005</v>
      </c>
      <c r="J114" s="200">
        <f t="shared" si="4"/>
        <v>4.9288258626771064</v>
      </c>
      <c r="L114" s="203"/>
    </row>
    <row r="115" spans="2:12" x14ac:dyDescent="0.25">
      <c r="B115" s="47">
        <v>2022</v>
      </c>
      <c r="C115" s="70">
        <v>98.475000000000009</v>
      </c>
      <c r="D115" s="70">
        <v>9.2649098474341329</v>
      </c>
      <c r="E115" s="175">
        <f>SUM(E60:E63)</f>
        <v>1264.81</v>
      </c>
      <c r="F115" s="175">
        <v>167629.3297</v>
      </c>
      <c r="G115" s="175">
        <v>172386.73499999999</v>
      </c>
      <c r="H115" s="175">
        <v>30346.034500000002</v>
      </c>
      <c r="I115" s="201">
        <v>269.90600000000001</v>
      </c>
      <c r="J115" s="200">
        <f t="shared" si="4"/>
        <v>4.1679580902077991</v>
      </c>
      <c r="L115" s="203"/>
    </row>
    <row r="116" spans="2:12" x14ac:dyDescent="0.25">
      <c r="B116" s="47">
        <v>2023</v>
      </c>
      <c r="C116" s="70">
        <v>98.825000000000003</v>
      </c>
      <c r="D116" s="70">
        <v>0.3554201574003546</v>
      </c>
      <c r="E116" s="175">
        <f>SUM(E64:E67)</f>
        <v>1023.16</v>
      </c>
      <c r="F116" s="175">
        <v>132112.55780000001</v>
      </c>
      <c r="G116" s="175">
        <v>149211.0122</v>
      </c>
      <c r="H116" s="175">
        <v>30603.946800000002</v>
      </c>
      <c r="I116" s="201">
        <v>257.91225000000003</v>
      </c>
      <c r="J116" s="200">
        <f t="shared" si="4"/>
        <v>3.3432289197418155</v>
      </c>
      <c r="L116" s="203"/>
    </row>
    <row r="117" spans="2:12" x14ac:dyDescent="0.25">
      <c r="B117" s="47">
        <v>2024</v>
      </c>
      <c r="C117" s="147">
        <v>99.524999999999991</v>
      </c>
      <c r="D117" s="147">
        <v>0.70832279281556332</v>
      </c>
      <c r="E117" s="175">
        <f>SUM(E68:E71)</f>
        <v>1094.78</v>
      </c>
      <c r="F117" s="175">
        <v>96980.069799999997</v>
      </c>
      <c r="G117" s="175">
        <v>139211.72029999999</v>
      </c>
      <c r="H117" s="175">
        <v>30846.544699999999</v>
      </c>
      <c r="I117" s="147">
        <v>242.59799999999998</v>
      </c>
      <c r="J117" s="200">
        <f t="shared" si="4"/>
        <v>3.5491171236433492</v>
      </c>
      <c r="L117" s="203"/>
    </row>
    <row r="118" spans="2:12" x14ac:dyDescent="0.25">
      <c r="B118" s="47">
        <v>2025</v>
      </c>
      <c r="C118" s="147">
        <v>102.15</v>
      </c>
      <c r="D118" s="147">
        <v>2.6375282592313587</v>
      </c>
      <c r="E118" s="175">
        <f>SUM(E72:E75)</f>
        <v>1215.04</v>
      </c>
      <c r="F118" s="175">
        <v>115014.15039999998</v>
      </c>
      <c r="G118" s="175">
        <v>127250.28550000001</v>
      </c>
      <c r="H118" s="175">
        <v>31076.5723</v>
      </c>
      <c r="I118" s="147">
        <v>230.0275532</v>
      </c>
      <c r="J118" s="200">
        <f t="shared" si="4"/>
        <v>3.909826309898405</v>
      </c>
      <c r="L118" s="203"/>
    </row>
    <row r="119" spans="2:12" x14ac:dyDescent="0.25">
      <c r="B119" s="47">
        <v>2026</v>
      </c>
      <c r="C119" s="147">
        <v>104.2838086</v>
      </c>
      <c r="D119" s="147">
        <v>2.0888973078805551</v>
      </c>
      <c r="E119" s="175">
        <f>SUM(E76:E79)</f>
        <v>1185.6790391076929</v>
      </c>
      <c r="F119" s="175">
        <v>124572.9218620155</v>
      </c>
      <c r="G119" s="175">
        <v>121013.62648997649</v>
      </c>
      <c r="H119" s="175">
        <v>31300.716899999999</v>
      </c>
      <c r="I119" s="147">
        <v>224.14456150000001</v>
      </c>
      <c r="J119" s="200">
        <f t="shared" si="4"/>
        <v>3.7880251845212305</v>
      </c>
      <c r="L119" s="203"/>
    </row>
    <row r="120" spans="2:12" x14ac:dyDescent="0.25">
      <c r="B120" s="47">
        <v>2027</v>
      </c>
      <c r="C120" s="147">
        <v>106.82338444841605</v>
      </c>
      <c r="D120" s="147">
        <v>2.4352542187608961</v>
      </c>
      <c r="E120" s="175">
        <f>SUM(E80:E83)</f>
        <v>1196.6640970899871</v>
      </c>
      <c r="F120" s="175">
        <v>124525.6655397111</v>
      </c>
      <c r="G120" s="175">
        <v>121752.95509898849</v>
      </c>
      <c r="H120" s="175">
        <v>31520.417600000001</v>
      </c>
      <c r="I120" s="147">
        <v>219.7007653</v>
      </c>
      <c r="J120" s="200">
        <f t="shared" si="4"/>
        <v>3.7964728522187698</v>
      </c>
      <c r="L120" s="203"/>
    </row>
    <row r="121" spans="2:12" x14ac:dyDescent="0.25">
      <c r="B121" s="47">
        <v>2028</v>
      </c>
      <c r="C121" s="147">
        <v>109.79130730767386</v>
      </c>
      <c r="D121" s="147">
        <v>2.7783456539808293</v>
      </c>
      <c r="E121" s="175">
        <f>SUM(E84:E87)</f>
        <v>1225.9736589291531</v>
      </c>
      <c r="F121" s="175">
        <v>136792.83074057283</v>
      </c>
      <c r="G121" s="175">
        <v>125338.37394858374</v>
      </c>
      <c r="H121" s="175">
        <v>31744.4833</v>
      </c>
      <c r="I121" s="147">
        <v>224.06571349999999</v>
      </c>
      <c r="J121" s="200">
        <f t="shared" si="4"/>
        <v>3.8620053989952741</v>
      </c>
      <c r="L121" s="203"/>
    </row>
    <row r="122" spans="2:12" x14ac:dyDescent="0.25">
      <c r="B122" s="47">
        <v>2029</v>
      </c>
      <c r="C122" s="147">
        <v>112.81091247509872</v>
      </c>
      <c r="D122" s="147">
        <v>2.7503135188679861</v>
      </c>
      <c r="E122" s="175">
        <f>SUM(E88:E91)</f>
        <v>1261.2464809006092</v>
      </c>
      <c r="F122" s="175">
        <v>151461.71408836194</v>
      </c>
      <c r="G122" s="175">
        <v>135888.81788354402</v>
      </c>
      <c r="H122" s="175">
        <v>31984.7732</v>
      </c>
      <c r="I122" s="147">
        <v>240.28985409999999</v>
      </c>
      <c r="J122" s="200">
        <f t="shared" si="4"/>
        <v>3.9432716093188032</v>
      </c>
      <c r="L122" s="203"/>
    </row>
    <row r="123" spans="2:12" x14ac:dyDescent="0.25">
      <c r="B123" s="47">
        <v>2030</v>
      </c>
      <c r="C123" s="147">
        <v>115.91072163495345</v>
      </c>
      <c r="D123" s="147">
        <v>2.7477919394889749</v>
      </c>
      <c r="E123" s="175">
        <f>SUM(E92:E95)</f>
        <v>1295.0056150267728</v>
      </c>
      <c r="F123" s="175">
        <v>155408.31532641669</v>
      </c>
      <c r="G123" s="175">
        <v>146264.84391274268</v>
      </c>
      <c r="H123" s="175">
        <v>32241.323899999999</v>
      </c>
      <c r="I123" s="147">
        <v>256.55067930000001</v>
      </c>
      <c r="J123" s="200">
        <f>(E123/H123)*100</f>
        <v>4.0166018586686292</v>
      </c>
      <c r="L123" s="203"/>
    </row>
    <row r="124" spans="2:12" x14ac:dyDescent="0.25">
      <c r="B124" s="47">
        <v>2031</v>
      </c>
      <c r="C124" s="147">
        <v>119.09570710104219</v>
      </c>
      <c r="D124" s="147">
        <v>2.7477919394889749</v>
      </c>
      <c r="E124" s="175">
        <f>SUM(E96:E99)</f>
        <v>1327.2618804788838</v>
      </c>
      <c r="F124" s="175">
        <v>157243.4213190648</v>
      </c>
      <c r="G124" s="175">
        <v>152238.89024525177</v>
      </c>
      <c r="H124" s="175">
        <v>32508.266500000002</v>
      </c>
      <c r="I124" s="147">
        <v>266.94266730000004</v>
      </c>
      <c r="J124" s="200">
        <f>(E124/H124)*100</f>
        <v>4.0828442220346748</v>
      </c>
      <c r="L124" s="203"/>
    </row>
    <row r="125" spans="2:12" x14ac:dyDescent="0.25">
      <c r="B125" s="379" t="s">
        <v>136</v>
      </c>
      <c r="C125" s="401">
        <v>59.550000000000004</v>
      </c>
      <c r="D125" s="401">
        <v>-9.2571428571428527</v>
      </c>
      <c r="E125" s="445">
        <f>SUM(E5:E8)</f>
        <v>792.88000000000011</v>
      </c>
      <c r="F125" s="445">
        <v>88338.83170000001</v>
      </c>
      <c r="G125" s="445">
        <v>145086.18900000001</v>
      </c>
      <c r="H125" s="445">
        <v>27265.121999999999</v>
      </c>
      <c r="I125" s="447">
        <v>218.04650000000001</v>
      </c>
      <c r="J125" s="446">
        <f>(E125/H125)*100</f>
        <v>2.9080376020323699</v>
      </c>
      <c r="L125" s="203"/>
    </row>
    <row r="126" spans="2:12" x14ac:dyDescent="0.25">
      <c r="B126" s="47" t="s">
        <v>137</v>
      </c>
      <c r="C126" s="70">
        <v>57.649999999999991</v>
      </c>
      <c r="D126" s="70">
        <v>-3.1905961376994307</v>
      </c>
      <c r="E126" s="175">
        <f>SUM(E9:E12)</f>
        <v>892.93000000000006</v>
      </c>
      <c r="F126" s="175">
        <v>95941.970899999986</v>
      </c>
      <c r="G126" s="175">
        <v>116197.19500000001</v>
      </c>
      <c r="H126" s="175">
        <v>27448.198499999999</v>
      </c>
      <c r="I126" s="201">
        <v>183.07650000000001</v>
      </c>
      <c r="J126" s="200">
        <f>(E126/H126)*100</f>
        <v>3.253146103559402</v>
      </c>
      <c r="L126" s="203"/>
    </row>
    <row r="127" spans="2:12" x14ac:dyDescent="0.25">
      <c r="B127" s="47" t="s">
        <v>138</v>
      </c>
      <c r="C127" s="70">
        <v>59.674999999999997</v>
      </c>
      <c r="D127" s="70">
        <v>3.5125758889852587</v>
      </c>
      <c r="E127" s="175">
        <f>SUM(E13:E16)</f>
        <v>876.2299999999999</v>
      </c>
      <c r="F127" s="175">
        <v>104630.78700000001</v>
      </c>
      <c r="G127" s="175">
        <v>104075.974</v>
      </c>
      <c r="H127" s="175">
        <v>27613.538499999999</v>
      </c>
      <c r="I127" s="201">
        <v>165.34</v>
      </c>
      <c r="J127" s="200">
        <f t="shared" ref="J127:J146" si="5">(E127/H127)*100</f>
        <v>3.1731898467123294</v>
      </c>
    </row>
    <row r="128" spans="2:12" x14ac:dyDescent="0.25">
      <c r="B128" s="47" t="s">
        <v>139</v>
      </c>
      <c r="C128" s="70">
        <v>58.875</v>
      </c>
      <c r="D128" s="70">
        <v>-1.340594888981983</v>
      </c>
      <c r="E128" s="175">
        <f>SUM(E17:E20)</f>
        <v>915.94</v>
      </c>
      <c r="F128" s="175">
        <v>107000.09569999999</v>
      </c>
      <c r="G128" s="175">
        <v>109073.47880000001</v>
      </c>
      <c r="H128" s="175">
        <v>27775.396499999999</v>
      </c>
      <c r="I128" s="201">
        <v>161.858</v>
      </c>
      <c r="J128" s="200">
        <f t="shared" si="5"/>
        <v>3.2976666957751624</v>
      </c>
    </row>
    <row r="129" spans="2:10" x14ac:dyDescent="0.25">
      <c r="B129" s="152" t="s">
        <v>140</v>
      </c>
      <c r="C129" s="70">
        <v>59.375</v>
      </c>
      <c r="D129" s="70">
        <v>0.84925690021231404</v>
      </c>
      <c r="E129" s="175">
        <f>SUM(E21:E24)</f>
        <v>929.27</v>
      </c>
      <c r="F129" s="175">
        <v>100998.9608</v>
      </c>
      <c r="G129" s="175">
        <v>103153.22050000001</v>
      </c>
      <c r="H129" s="175">
        <v>27930.918000000001</v>
      </c>
      <c r="I129" s="201">
        <v>155.5215</v>
      </c>
      <c r="J129" s="200">
        <f t="shared" si="5"/>
        <v>3.3270299243297337</v>
      </c>
    </row>
    <row r="130" spans="2:10" x14ac:dyDescent="0.25">
      <c r="B130" s="152" t="s">
        <v>141</v>
      </c>
      <c r="C130" s="70">
        <v>61.65</v>
      </c>
      <c r="D130" s="70">
        <v>3.8315789473684081</v>
      </c>
      <c r="E130" s="175">
        <f>SUM(E25:E28)</f>
        <v>1138.3899999999999</v>
      </c>
      <c r="F130" s="175">
        <v>128050.22400000002</v>
      </c>
      <c r="G130" s="175">
        <v>110206.99100000001</v>
      </c>
      <c r="H130" s="175">
        <v>28098.271499999999</v>
      </c>
      <c r="I130" s="201">
        <v>167.3535</v>
      </c>
      <c r="J130" s="200">
        <f t="shared" si="5"/>
        <v>4.0514591796153718</v>
      </c>
    </row>
    <row r="131" spans="2:10" x14ac:dyDescent="0.25">
      <c r="B131" s="152" t="s">
        <v>142</v>
      </c>
      <c r="C131" s="70">
        <v>66.625</v>
      </c>
      <c r="D131" s="70">
        <v>8.0697485806974889</v>
      </c>
      <c r="E131" s="175">
        <f>SUM(E29:E32)</f>
        <v>1199.4699999999998</v>
      </c>
      <c r="F131" s="175">
        <v>137795.01699999999</v>
      </c>
      <c r="G131" s="175">
        <v>118892.45700000001</v>
      </c>
      <c r="H131" s="175">
        <v>28302.7425</v>
      </c>
      <c r="I131" s="201">
        <v>204.471</v>
      </c>
      <c r="J131" s="200">
        <f t="shared" si="5"/>
        <v>4.2379991974275981</v>
      </c>
    </row>
    <row r="132" spans="2:10" x14ac:dyDescent="0.25">
      <c r="B132" s="152" t="s">
        <v>143</v>
      </c>
      <c r="C132" s="70">
        <v>70.825000000000003</v>
      </c>
      <c r="D132" s="70">
        <v>6.3039399624765569</v>
      </c>
      <c r="E132" s="175">
        <f>SUM(E33:E36)</f>
        <v>1325.54</v>
      </c>
      <c r="F132" s="175">
        <v>142496.55100000001</v>
      </c>
      <c r="G132" s="175">
        <v>135511.01400000002</v>
      </c>
      <c r="H132" s="175">
        <v>28530.422500000001</v>
      </c>
      <c r="I132" s="201">
        <v>227.68</v>
      </c>
      <c r="J132" s="200">
        <f t="shared" si="5"/>
        <v>4.6460580806330505</v>
      </c>
    </row>
    <row r="133" spans="2:10" x14ac:dyDescent="0.25">
      <c r="B133" s="152" t="s">
        <v>144</v>
      </c>
      <c r="C133" s="70">
        <v>75.150000000000006</v>
      </c>
      <c r="D133" s="70">
        <v>6.1066007765619545</v>
      </c>
      <c r="E133" s="175">
        <f>SUM(E37:E40)</f>
        <v>1152.1500000000001</v>
      </c>
      <c r="F133" s="175">
        <v>158353.092</v>
      </c>
      <c r="G133" s="175">
        <v>145848.28700000001</v>
      </c>
      <c r="H133" s="175">
        <v>28788.428</v>
      </c>
      <c r="I133" s="201">
        <v>258.00549999999998</v>
      </c>
      <c r="J133" s="200">
        <f t="shared" si="5"/>
        <v>4.0021289109638083</v>
      </c>
    </row>
    <row r="134" spans="2:10" x14ac:dyDescent="0.25">
      <c r="B134" s="152" t="s">
        <v>145</v>
      </c>
      <c r="C134" s="70">
        <v>78.525000000000006</v>
      </c>
      <c r="D134" s="70">
        <v>4.4910179640718528</v>
      </c>
      <c r="E134" s="175">
        <f>SUM(E41:E44)</f>
        <v>1207.5</v>
      </c>
      <c r="F134" s="175">
        <v>161118.00099999999</v>
      </c>
      <c r="G134" s="175">
        <v>155817.77600000001</v>
      </c>
      <c r="H134" s="175">
        <v>29052.413</v>
      </c>
      <c r="I134" s="201">
        <v>263.98500000000001</v>
      </c>
      <c r="J134" s="200">
        <f t="shared" si="5"/>
        <v>4.1562812699929603</v>
      </c>
    </row>
    <row r="135" spans="2:10" x14ac:dyDescent="0.25">
      <c r="B135" s="152" t="s">
        <v>146</v>
      </c>
      <c r="C135" s="70">
        <v>80.524999999999991</v>
      </c>
      <c r="D135" s="70">
        <v>2.5469595670168488</v>
      </c>
      <c r="E135" s="175">
        <f>SUM(E45:E48)</f>
        <v>1190.43</v>
      </c>
      <c r="F135" s="175">
        <v>164142.033</v>
      </c>
      <c r="G135" s="175">
        <v>165308.72499999998</v>
      </c>
      <c r="H135" s="175">
        <v>29337.941999999999</v>
      </c>
      <c r="I135" s="201">
        <v>285.529</v>
      </c>
      <c r="J135" s="200">
        <f t="shared" si="5"/>
        <v>4.0576465792999388</v>
      </c>
    </row>
    <row r="136" spans="2:10" x14ac:dyDescent="0.25">
      <c r="B136" s="152" t="s">
        <v>147</v>
      </c>
      <c r="C136" s="70">
        <v>81.375</v>
      </c>
      <c r="D136" s="70">
        <v>1.0555728034771894</v>
      </c>
      <c r="E136" s="175">
        <f>SUM(E49:E52)</f>
        <v>1169.8999999999999</v>
      </c>
      <c r="F136" s="175">
        <v>147465.29399999999</v>
      </c>
      <c r="G136" s="175">
        <v>168805.277</v>
      </c>
      <c r="H136" s="175">
        <v>29623.144</v>
      </c>
      <c r="I136" s="201">
        <v>285.202</v>
      </c>
      <c r="J136" s="200">
        <f t="shared" si="5"/>
        <v>3.9492769572331685</v>
      </c>
    </row>
    <row r="137" spans="2:10" x14ac:dyDescent="0.25">
      <c r="B137" s="152" t="s">
        <v>148</v>
      </c>
      <c r="C137" s="70">
        <v>84.9</v>
      </c>
      <c r="D137" s="70">
        <v>4.3317972350230383</v>
      </c>
      <c r="E137" s="175">
        <f>SUM(E53:E56)</f>
        <v>1189.32</v>
      </c>
      <c r="F137" s="175">
        <v>136433.74979999999</v>
      </c>
      <c r="G137" s="175">
        <v>149703.95449999999</v>
      </c>
      <c r="H137" s="175">
        <v>29873.357</v>
      </c>
      <c r="I137" s="201">
        <v>250.21299999999999</v>
      </c>
      <c r="J137" s="200">
        <f t="shared" si="5"/>
        <v>3.9812063973928336</v>
      </c>
    </row>
    <row r="138" spans="2:10" x14ac:dyDescent="0.25">
      <c r="B138" s="152" t="s">
        <v>149</v>
      </c>
      <c r="C138" s="70">
        <v>91.924999999999997</v>
      </c>
      <c r="D138" s="70">
        <v>8.274440518256764</v>
      </c>
      <c r="E138" s="175">
        <f>SUM(E57:E60)</f>
        <v>1375.48</v>
      </c>
      <c r="F138" s="175">
        <v>167010.141</v>
      </c>
      <c r="G138" s="175">
        <v>165672.74299999999</v>
      </c>
      <c r="H138" s="175">
        <v>30143.719000000001</v>
      </c>
      <c r="I138" s="201">
        <v>270.36200000000002</v>
      </c>
      <c r="J138" s="200">
        <f t="shared" si="5"/>
        <v>4.5630733221736834</v>
      </c>
    </row>
    <row r="139" spans="2:10" x14ac:dyDescent="0.25">
      <c r="B139" s="152" t="s">
        <v>150</v>
      </c>
      <c r="C139" s="70">
        <v>99.449999999999989</v>
      </c>
      <c r="D139" s="70">
        <v>8.1860212129453167</v>
      </c>
      <c r="E139" s="175">
        <f>SUM(E61:E64)</f>
        <v>1208.0899999999999</v>
      </c>
      <c r="F139" s="175">
        <v>158996.16930000001</v>
      </c>
      <c r="G139" s="175">
        <v>166227.60800000001</v>
      </c>
      <c r="H139" s="175">
        <v>30413.473000000002</v>
      </c>
      <c r="I139" s="201">
        <v>269.75400000000002</v>
      </c>
      <c r="J139" s="200">
        <f t="shared" si="5"/>
        <v>3.9722198119234853</v>
      </c>
    </row>
    <row r="140" spans="2:10" x14ac:dyDescent="0.25">
      <c r="B140" s="152" t="s">
        <v>151</v>
      </c>
      <c r="C140" s="70">
        <v>98.5</v>
      </c>
      <c r="D140" s="70">
        <v>-0.95525389643035252</v>
      </c>
      <c r="E140" s="175">
        <f>SUM(E65:E68)</f>
        <v>1000.63</v>
      </c>
      <c r="F140" s="175">
        <v>121020.84669999998</v>
      </c>
      <c r="G140" s="175">
        <v>145495.5913</v>
      </c>
      <c r="H140" s="175">
        <v>30667.437999999998</v>
      </c>
      <c r="I140" s="201">
        <v>253.965</v>
      </c>
      <c r="J140" s="200">
        <f t="shared" si="5"/>
        <v>3.2628418454779302</v>
      </c>
    </row>
    <row r="141" spans="2:10" x14ac:dyDescent="0.25">
      <c r="B141" s="152" t="s">
        <v>152</v>
      </c>
      <c r="C141" s="70">
        <v>100.52500000000001</v>
      </c>
      <c r="D141" s="70">
        <v>2.0558375634517789</v>
      </c>
      <c r="E141" s="175">
        <f>SUM(E69:E72)</f>
        <v>1221.02</v>
      </c>
      <c r="F141" s="175">
        <v>102266.91469999999</v>
      </c>
      <c r="G141" s="175">
        <v>137570.39929999999</v>
      </c>
      <c r="H141" s="175">
        <v>30906.246999999999</v>
      </c>
      <c r="I141" s="201">
        <v>238.809</v>
      </c>
      <c r="J141" s="200">
        <f t="shared" si="5"/>
        <v>3.9507223248426122</v>
      </c>
    </row>
    <row r="142" spans="2:10" x14ac:dyDescent="0.25">
      <c r="B142" s="152" t="s">
        <v>153</v>
      </c>
      <c r="C142" s="70">
        <v>102.42499999999998</v>
      </c>
      <c r="D142" s="70">
        <v>1.8900770952499091</v>
      </c>
      <c r="E142" s="175">
        <f>SUM(E73:E76)</f>
        <v>1139.76</v>
      </c>
      <c r="F142" s="175">
        <v>119601.45389999999</v>
      </c>
      <c r="G142" s="175">
        <v>126960.7816</v>
      </c>
      <c r="H142" s="175">
        <v>31135.388599999998</v>
      </c>
      <c r="I142" s="201">
        <v>229.14161590000001</v>
      </c>
      <c r="J142" s="200">
        <f t="shared" si="5"/>
        <v>3.6606576993228854</v>
      </c>
    </row>
    <row r="143" spans="2:10" x14ac:dyDescent="0.25">
      <c r="B143" s="152" t="s">
        <v>154</v>
      </c>
      <c r="C143" s="70">
        <v>104.83597298090001</v>
      </c>
      <c r="D143" s="70">
        <v>2.3538911212106717</v>
      </c>
      <c r="E143" s="175">
        <f>SUM(E77:E80)</f>
        <v>1180.0408776362426</v>
      </c>
      <c r="F143" s="175">
        <v>124590.8036065241</v>
      </c>
      <c r="G143" s="175">
        <v>119170.03841194244</v>
      </c>
      <c r="H143" s="175">
        <v>31356.5798</v>
      </c>
      <c r="I143" s="201">
        <v>221.19114009999998</v>
      </c>
      <c r="J143" s="200">
        <f t="shared" si="5"/>
        <v>3.7632958861037604</v>
      </c>
    </row>
    <row r="144" spans="2:10" x14ac:dyDescent="0.25">
      <c r="B144" s="152" t="s">
        <v>155</v>
      </c>
      <c r="C144" s="70">
        <v>107.57037161716131</v>
      </c>
      <c r="D144" s="70">
        <v>2.6082637080684812</v>
      </c>
      <c r="E144" s="175">
        <f>SUM(E81:E84)</f>
        <v>1203.9532524927995</v>
      </c>
      <c r="F144" s="175">
        <v>125663.86882978724</v>
      </c>
      <c r="G144" s="175">
        <v>122314.98095581321</v>
      </c>
      <c r="H144" s="175">
        <v>31575.518400000001</v>
      </c>
      <c r="I144" s="201">
        <v>218.93868090000001</v>
      </c>
      <c r="J144" s="200">
        <f t="shared" si="5"/>
        <v>3.8129326563734245</v>
      </c>
    </row>
    <row r="145" spans="2:10" x14ac:dyDescent="0.25">
      <c r="B145" s="152" t="s">
        <v>156</v>
      </c>
      <c r="C145" s="70">
        <v>110.5400779805597</v>
      </c>
      <c r="D145" s="70">
        <v>2.7607103319931436</v>
      </c>
      <c r="E145" s="175">
        <f>SUM(E85:E88)</f>
        <v>1234.6565424935875</v>
      </c>
      <c r="F145" s="175">
        <v>141684.77750585054</v>
      </c>
      <c r="G145" s="175">
        <v>127361.09591474044</v>
      </c>
      <c r="H145" s="175">
        <v>31802.7601</v>
      </c>
      <c r="I145" s="201">
        <v>227.2416686</v>
      </c>
      <c r="J145" s="200">
        <f t="shared" si="5"/>
        <v>3.8822307831501313</v>
      </c>
    </row>
    <row r="146" spans="2:10" x14ac:dyDescent="0.25">
      <c r="B146" s="152" t="s">
        <v>157</v>
      </c>
      <c r="C146" s="70">
        <v>113.57748933321434</v>
      </c>
      <c r="D146" s="70">
        <v>2.7477919394889749</v>
      </c>
      <c r="E146" s="175">
        <f>SUM(E89:E92)</f>
        <v>1269.5718201457635</v>
      </c>
      <c r="F146" s="175">
        <v>153070.05178837373</v>
      </c>
      <c r="G146" s="175">
        <v>138864.86127151537</v>
      </c>
      <c r="H146" s="175">
        <v>32047.618200000001</v>
      </c>
      <c r="I146" s="201">
        <v>244.85814009999999</v>
      </c>
      <c r="J146" s="200">
        <f t="shared" si="5"/>
        <v>3.9615169284117449</v>
      </c>
    </row>
    <row r="147" spans="2:10" x14ac:dyDescent="0.25">
      <c r="B147" s="152" t="s">
        <v>158</v>
      </c>
      <c r="C147" s="70">
        <v>116.69836243018635</v>
      </c>
      <c r="D147" s="70">
        <v>2.7477919394889749</v>
      </c>
      <c r="E147" s="175">
        <f>SUM(E93:E96)</f>
        <v>1303.6307407404333</v>
      </c>
      <c r="F147" s="175">
        <v>155908.90061471437</v>
      </c>
      <c r="G147" s="175">
        <v>148115.41729541851</v>
      </c>
      <c r="H147" s="175">
        <v>32307.242699999999</v>
      </c>
      <c r="I147" s="201">
        <v>259.624416</v>
      </c>
      <c r="J147" s="200">
        <f>(E147/H147)*100</f>
        <v>4.035103685095458</v>
      </c>
    </row>
    <row r="148" spans="2:10" ht="15.75" thickBot="1" x14ac:dyDescent="0.3">
      <c r="B148" s="152" t="s">
        <v>649</v>
      </c>
      <c r="C148" s="70">
        <v>119.90499062655863</v>
      </c>
      <c r="D148" s="70">
        <v>2.7477919394889749</v>
      </c>
      <c r="E148" s="175">
        <f>SUM(E97:E100)</f>
        <v>1332.1467449084278</v>
      </c>
      <c r="F148" s="175">
        <v>157537.86229662877</v>
      </c>
      <c r="G148" s="175">
        <v>153257.12659796662</v>
      </c>
      <c r="H148" s="175">
        <v>32576.150900000001</v>
      </c>
      <c r="I148" s="201">
        <v>268.90821260000007</v>
      </c>
      <c r="J148" s="200">
        <f>(E148/H148)*100</f>
        <v>4.0893313301432057</v>
      </c>
    </row>
    <row r="149" spans="2:10" x14ac:dyDescent="0.25">
      <c r="B149" s="448" t="s">
        <v>289</v>
      </c>
      <c r="C149" s="449"/>
      <c r="D149" s="449"/>
      <c r="E149" s="449"/>
      <c r="F149" s="449"/>
      <c r="G149" s="449"/>
      <c r="H149" s="449"/>
      <c r="I149" s="450"/>
      <c r="J149" s="451"/>
    </row>
    <row r="150" spans="2:10" x14ac:dyDescent="0.25">
      <c r="B150" s="650" t="s">
        <v>614</v>
      </c>
      <c r="C150" s="651"/>
      <c r="D150" s="651"/>
      <c r="E150" s="651"/>
      <c r="F150" s="651"/>
      <c r="G150" s="651"/>
      <c r="H150" s="651"/>
      <c r="I150" s="651"/>
      <c r="J150" s="652"/>
    </row>
    <row r="151" spans="2:10" ht="15" customHeight="1" x14ac:dyDescent="0.25">
      <c r="B151" s="562" t="s">
        <v>615</v>
      </c>
      <c r="C151" s="563"/>
      <c r="D151" s="563"/>
      <c r="E151" s="563"/>
      <c r="F151" s="563"/>
      <c r="G151" s="563"/>
      <c r="H151" s="563"/>
      <c r="I151" s="563"/>
      <c r="J151" s="564"/>
    </row>
    <row r="152" spans="2:10" ht="15" customHeight="1" x14ac:dyDescent="0.25">
      <c r="B152" s="562" t="s">
        <v>616</v>
      </c>
      <c r="C152" s="563"/>
      <c r="D152" s="563"/>
      <c r="E152" s="563"/>
      <c r="F152" s="563"/>
      <c r="G152" s="563"/>
      <c r="H152" s="563"/>
      <c r="I152" s="563"/>
      <c r="J152" s="564"/>
    </row>
    <row r="153" spans="2:10" ht="21.6" customHeight="1" x14ac:dyDescent="0.25">
      <c r="B153" s="562" t="s">
        <v>617</v>
      </c>
      <c r="C153" s="563"/>
      <c r="D153" s="563"/>
      <c r="E153" s="563"/>
      <c r="F153" s="563"/>
      <c r="G153" s="563"/>
      <c r="H153" s="563"/>
      <c r="I153" s="563"/>
      <c r="J153" s="564"/>
    </row>
    <row r="154" spans="2:10" ht="15" customHeight="1" thickBot="1" x14ac:dyDescent="0.3">
      <c r="B154" s="565" t="s">
        <v>618</v>
      </c>
      <c r="C154" s="566"/>
      <c r="D154" s="566"/>
      <c r="E154" s="566"/>
      <c r="F154" s="566"/>
      <c r="G154" s="566"/>
      <c r="H154" s="566"/>
      <c r="I154" s="566"/>
      <c r="J154" s="567"/>
    </row>
    <row r="156" spans="2:10" x14ac:dyDescent="0.25">
      <c r="B156"/>
    </row>
    <row r="184" spans="12:14" x14ac:dyDescent="0.25">
      <c r="L184" s="25"/>
      <c r="M184" s="25"/>
    </row>
    <row r="185" spans="12:14" x14ac:dyDescent="0.25">
      <c r="L185" s="25"/>
      <c r="M185" s="25"/>
    </row>
    <row r="186" spans="12:14" x14ac:dyDescent="0.25">
      <c r="L186" s="25"/>
      <c r="M186" s="25"/>
    </row>
    <row r="187" spans="12:14" x14ac:dyDescent="0.25">
      <c r="L187" s="25"/>
      <c r="M187" s="25"/>
    </row>
    <row r="188" spans="12:14" x14ac:dyDescent="0.25">
      <c r="L188" s="25"/>
      <c r="M188" s="25"/>
    </row>
    <row r="189" spans="12:14" x14ac:dyDescent="0.25">
      <c r="L189" s="25"/>
      <c r="M189" s="25"/>
    </row>
    <row r="190" spans="12:14" x14ac:dyDescent="0.25">
      <c r="L190" s="25"/>
      <c r="M190" s="25"/>
      <c r="N190" s="26"/>
    </row>
    <row r="208" spans="1:1" x14ac:dyDescent="0.25">
      <c r="A208" s="18"/>
    </row>
    <row r="209" spans="1:1" x14ac:dyDescent="0.25">
      <c r="A209" s="18"/>
    </row>
    <row r="258" spans="11:12" ht="15" customHeight="1" x14ac:dyDescent="0.25"/>
    <row r="270" spans="11:12" x14ac:dyDescent="0.25">
      <c r="K270" s="202"/>
      <c r="L270" s="203"/>
    </row>
    <row r="314" ht="24" customHeight="1" x14ac:dyDescent="0.25"/>
    <row r="315" ht="37.5" customHeight="1" x14ac:dyDescent="0.25"/>
  </sheetData>
  <mergeCells count="6">
    <mergeCell ref="B154:J154"/>
    <mergeCell ref="B2:J2"/>
    <mergeCell ref="B150:J150"/>
    <mergeCell ref="B151:J151"/>
    <mergeCell ref="B152:J152"/>
    <mergeCell ref="B153:J153"/>
  </mergeCells>
  <phoneticPr fontId="91" type="noConversion"/>
  <hyperlinks>
    <hyperlink ref="A1" location="Contents!A1" display="Back to contents" xr:uid="{FF1F2056-7978-4BDE-B8BB-22F3E02C7DAC}"/>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rowBreaks count="1" manualBreakCount="1">
    <brk id="100" min="1" max="9"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E4D16-6347-482D-B811-66383A0ACAE9}">
  <sheetPr codeName="Sheet19">
    <tabColor theme="5"/>
    <pageSetUpPr fitToPage="1"/>
  </sheetPr>
  <dimension ref="A1:R151"/>
  <sheetViews>
    <sheetView zoomScaleNormal="100" workbookViewId="0"/>
  </sheetViews>
  <sheetFormatPr defaultColWidth="8.77734375" defaultRowHeight="15" x14ac:dyDescent="0.25"/>
  <cols>
    <col min="1" max="1" width="9.21875" style="204" customWidth="1"/>
    <col min="2" max="2" width="8.77734375" style="204"/>
    <col min="3" max="3" width="24.77734375" style="204" customWidth="1"/>
    <col min="4" max="4" width="24.21875" style="204" customWidth="1"/>
    <col min="5" max="5" width="24.77734375" style="204" customWidth="1"/>
    <col min="6" max="6" width="8.77734375" style="204"/>
    <col min="7" max="7" width="9.21875" style="204" bestFit="1" customWidth="1"/>
    <col min="8" max="16384" width="8.77734375" style="204"/>
  </cols>
  <sheetData>
    <row r="1" spans="1:5" ht="35.1" customHeight="1" thickBot="1" x14ac:dyDescent="0.3">
      <c r="A1" s="9" t="s">
        <v>22</v>
      </c>
      <c r="B1" s="1"/>
      <c r="C1" s="525"/>
    </row>
    <row r="2" spans="1:5" ht="21" customHeight="1" thickBot="1" x14ac:dyDescent="0.35">
      <c r="B2" s="558" t="s">
        <v>619</v>
      </c>
      <c r="C2" s="653"/>
      <c r="D2" s="653"/>
      <c r="E2" s="654"/>
    </row>
    <row r="3" spans="1:5" ht="63" x14ac:dyDescent="0.25">
      <c r="B3" s="174"/>
      <c r="C3" s="230" t="s">
        <v>620</v>
      </c>
      <c r="D3" s="230" t="s">
        <v>621</v>
      </c>
      <c r="E3" s="231" t="s">
        <v>622</v>
      </c>
    </row>
    <row r="4" spans="1:5" x14ac:dyDescent="0.25">
      <c r="B4" s="182" t="s">
        <v>43</v>
      </c>
      <c r="C4" s="333">
        <v>96.853999999999999</v>
      </c>
      <c r="D4" s="70">
        <v>996.08199999999999</v>
      </c>
      <c r="E4" s="232">
        <f>100*(C4/D4)</f>
        <v>9.7234966599135415</v>
      </c>
    </row>
    <row r="5" spans="1:5" x14ac:dyDescent="0.25">
      <c r="B5" s="182" t="s">
        <v>44</v>
      </c>
      <c r="C5" s="333">
        <v>98.088999999999999</v>
      </c>
      <c r="D5" s="70">
        <v>1007.976</v>
      </c>
      <c r="E5" s="232">
        <f t="shared" ref="E5:E68" si="0">100*(C5/D5)</f>
        <v>9.7312832845226467</v>
      </c>
    </row>
    <row r="6" spans="1:5" x14ac:dyDescent="0.25">
      <c r="B6" s="182" t="s">
        <v>45</v>
      </c>
      <c r="C6" s="333">
        <v>98.813000000000002</v>
      </c>
      <c r="D6" s="70">
        <v>1014.776</v>
      </c>
      <c r="E6" s="232">
        <f t="shared" si="0"/>
        <v>9.737419883797017</v>
      </c>
    </row>
    <row r="7" spans="1:5" x14ac:dyDescent="0.25">
      <c r="B7" s="182" t="s">
        <v>46</v>
      </c>
      <c r="C7" s="333">
        <v>98.277000000000001</v>
      </c>
      <c r="D7" s="70">
        <v>1024.0139999999999</v>
      </c>
      <c r="E7" s="232">
        <f t="shared" si="0"/>
        <v>9.5972320690928061</v>
      </c>
    </row>
    <row r="8" spans="1:5" x14ac:dyDescent="0.25">
      <c r="B8" s="182" t="s">
        <v>47</v>
      </c>
      <c r="C8" s="333">
        <v>92.715999999999994</v>
      </c>
      <c r="D8" s="70">
        <v>1030.885</v>
      </c>
      <c r="E8" s="232">
        <f t="shared" si="0"/>
        <v>8.9938256934575627</v>
      </c>
    </row>
    <row r="9" spans="1:5" x14ac:dyDescent="0.25">
      <c r="B9" s="182" t="s">
        <v>48</v>
      </c>
      <c r="C9" s="333">
        <v>85.935000000000002</v>
      </c>
      <c r="D9" s="70">
        <v>1038.3900000000001</v>
      </c>
      <c r="E9" s="232">
        <f t="shared" si="0"/>
        <v>8.2757923323606732</v>
      </c>
    </row>
    <row r="10" spans="1:5" x14ac:dyDescent="0.25">
      <c r="B10" s="182" t="s">
        <v>49</v>
      </c>
      <c r="C10" s="333">
        <v>78.572000000000003</v>
      </c>
      <c r="D10" s="70">
        <v>1045.223</v>
      </c>
      <c r="E10" s="232">
        <f t="shared" si="0"/>
        <v>7.5172475156019338</v>
      </c>
    </row>
    <row r="11" spans="1:5" x14ac:dyDescent="0.25">
      <c r="B11" s="182" t="s">
        <v>50</v>
      </c>
      <c r="C11" s="333">
        <v>71.739000000000004</v>
      </c>
      <c r="D11" s="70">
        <v>1050.0920000000001</v>
      </c>
      <c r="E11" s="232">
        <f t="shared" si="0"/>
        <v>6.8316871283658962</v>
      </c>
    </row>
    <row r="12" spans="1:5" x14ac:dyDescent="0.25">
      <c r="B12" s="182" t="s">
        <v>51</v>
      </c>
      <c r="C12" s="333">
        <v>68.903000000000006</v>
      </c>
      <c r="D12" s="70">
        <v>1057.3030000000001</v>
      </c>
      <c r="E12" s="232">
        <f t="shared" si="0"/>
        <v>6.5168641345007066</v>
      </c>
    </row>
    <row r="13" spans="1:5" x14ac:dyDescent="0.25">
      <c r="B13" s="182" t="s">
        <v>52</v>
      </c>
      <c r="C13" s="333">
        <v>67.543000000000006</v>
      </c>
      <c r="D13" s="70">
        <v>1060.7159999999999</v>
      </c>
      <c r="E13" s="232">
        <f t="shared" si="0"/>
        <v>6.3676799444903276</v>
      </c>
    </row>
    <row r="14" spans="1:5" x14ac:dyDescent="0.25">
      <c r="B14" s="182" t="s">
        <v>53</v>
      </c>
      <c r="C14" s="333">
        <v>66.02</v>
      </c>
      <c r="D14" s="70">
        <v>1065.915</v>
      </c>
      <c r="E14" s="232">
        <f t="shared" si="0"/>
        <v>6.1937396509102509</v>
      </c>
    </row>
    <row r="15" spans="1:5" x14ac:dyDescent="0.25">
      <c r="B15" s="182" t="s">
        <v>54</v>
      </c>
      <c r="C15" s="333">
        <v>64.617999999999995</v>
      </c>
      <c r="D15" s="70">
        <v>1070.069</v>
      </c>
      <c r="E15" s="232">
        <f t="shared" si="0"/>
        <v>6.0386760106123996</v>
      </c>
    </row>
    <row r="16" spans="1:5" x14ac:dyDescent="0.25">
      <c r="B16" s="182" t="s">
        <v>55</v>
      </c>
      <c r="C16" s="333">
        <v>63.976999999999997</v>
      </c>
      <c r="D16" s="70">
        <v>1071.4559999999999</v>
      </c>
      <c r="E16" s="232">
        <f t="shared" si="0"/>
        <v>5.9710338082011765</v>
      </c>
    </row>
    <row r="17" spans="2:5" x14ac:dyDescent="0.25">
      <c r="B17" s="182" t="s">
        <v>56</v>
      </c>
      <c r="C17" s="333">
        <v>63.222999999999999</v>
      </c>
      <c r="D17" s="70">
        <v>1075.08</v>
      </c>
      <c r="E17" s="232">
        <f t="shared" si="0"/>
        <v>5.8807716635041114</v>
      </c>
    </row>
    <row r="18" spans="2:5" x14ac:dyDescent="0.25">
      <c r="B18" s="182" t="s">
        <v>57</v>
      </c>
      <c r="C18" s="333">
        <v>62.508000000000003</v>
      </c>
      <c r="D18" s="70">
        <v>1080.133</v>
      </c>
      <c r="E18" s="232">
        <f t="shared" si="0"/>
        <v>5.7870651114260934</v>
      </c>
    </row>
    <row r="19" spans="2:5" x14ac:dyDescent="0.25">
      <c r="B19" s="182" t="s">
        <v>58</v>
      </c>
      <c r="C19" s="333">
        <v>61.991999999999997</v>
      </c>
      <c r="D19" s="70">
        <v>1084.99</v>
      </c>
      <c r="E19" s="232">
        <f t="shared" si="0"/>
        <v>5.713601047014258</v>
      </c>
    </row>
    <row r="20" spans="2:5" x14ac:dyDescent="0.25">
      <c r="B20" s="182" t="s">
        <v>59</v>
      </c>
      <c r="C20" s="333">
        <v>61.637999999999998</v>
      </c>
      <c r="D20" s="70">
        <v>1098.6559999999999</v>
      </c>
      <c r="E20" s="232">
        <f t="shared" si="0"/>
        <v>5.6103093233914896</v>
      </c>
    </row>
    <row r="21" spans="2:5" x14ac:dyDescent="0.25">
      <c r="B21" s="182" t="s">
        <v>60</v>
      </c>
      <c r="C21" s="333">
        <v>61.414000000000001</v>
      </c>
      <c r="D21" s="70">
        <v>1110.7059999999999</v>
      </c>
      <c r="E21" s="232">
        <f t="shared" si="0"/>
        <v>5.5292759740201287</v>
      </c>
    </row>
    <row r="22" spans="2:5" x14ac:dyDescent="0.25">
      <c r="B22" s="182" t="s">
        <v>61</v>
      </c>
      <c r="C22" s="333">
        <v>61.433</v>
      </c>
      <c r="D22" s="70">
        <v>1119.452</v>
      </c>
      <c r="E22" s="232">
        <f t="shared" si="0"/>
        <v>5.4877743753193524</v>
      </c>
    </row>
    <row r="23" spans="2:5" x14ac:dyDescent="0.25">
      <c r="B23" s="182" t="s">
        <v>62</v>
      </c>
      <c r="C23" s="333">
        <v>61.506</v>
      </c>
      <c r="D23" s="70">
        <v>1130.0170000000001</v>
      </c>
      <c r="E23" s="232">
        <f t="shared" si="0"/>
        <v>5.4429269648155731</v>
      </c>
    </row>
    <row r="24" spans="2:5" x14ac:dyDescent="0.25">
      <c r="B24" s="182" t="s">
        <v>63</v>
      </c>
      <c r="C24" s="333">
        <v>61.301000000000002</v>
      </c>
      <c r="D24" s="70">
        <v>1134.597</v>
      </c>
      <c r="E24" s="232">
        <f t="shared" si="0"/>
        <v>5.4028875450931038</v>
      </c>
    </row>
    <row r="25" spans="2:5" x14ac:dyDescent="0.25">
      <c r="B25" s="182" t="s">
        <v>64</v>
      </c>
      <c r="C25" s="333">
        <v>61.326999999999998</v>
      </c>
      <c r="D25" s="70">
        <v>1143.08</v>
      </c>
      <c r="E25" s="232">
        <f t="shared" si="0"/>
        <v>5.3650663120691462</v>
      </c>
    </row>
    <row r="26" spans="2:5" x14ac:dyDescent="0.25">
      <c r="B26" s="182" t="s">
        <v>65</v>
      </c>
      <c r="C26" s="333">
        <v>61.311999999999998</v>
      </c>
      <c r="D26" s="70">
        <v>1159.221</v>
      </c>
      <c r="E26" s="232">
        <f t="shared" si="0"/>
        <v>5.2890691248692008</v>
      </c>
    </row>
    <row r="27" spans="2:5" x14ac:dyDescent="0.25">
      <c r="B27" s="182" t="s">
        <v>66</v>
      </c>
      <c r="C27" s="333">
        <v>61.118000000000002</v>
      </c>
      <c r="D27" s="70">
        <v>1175.9369999999999</v>
      </c>
      <c r="E27" s="232">
        <f t="shared" si="0"/>
        <v>5.1973872749985768</v>
      </c>
    </row>
    <row r="28" spans="2:5" x14ac:dyDescent="0.25">
      <c r="B28" s="182" t="s">
        <v>67</v>
      </c>
      <c r="C28" s="333">
        <v>60.98</v>
      </c>
      <c r="D28" s="70">
        <v>1193.5740000000001</v>
      </c>
      <c r="E28" s="232">
        <f t="shared" si="0"/>
        <v>5.1090254982095784</v>
      </c>
    </row>
    <row r="29" spans="2:5" x14ac:dyDescent="0.25">
      <c r="B29" s="182" t="s">
        <v>68</v>
      </c>
      <c r="C29" s="333">
        <v>60.594999999999999</v>
      </c>
      <c r="D29" s="70">
        <v>1205.9469999999999</v>
      </c>
      <c r="E29" s="232">
        <f t="shared" si="0"/>
        <v>5.0246818475438806</v>
      </c>
    </row>
    <row r="30" spans="2:5" x14ac:dyDescent="0.25">
      <c r="B30" s="182" t="s">
        <v>69</v>
      </c>
      <c r="C30" s="333">
        <v>60.259</v>
      </c>
      <c r="D30" s="70">
        <v>1211.2650000000001</v>
      </c>
      <c r="E30" s="232">
        <f t="shared" si="0"/>
        <v>4.9748816320128126</v>
      </c>
    </row>
    <row r="31" spans="2:5" x14ac:dyDescent="0.25">
      <c r="B31" s="182" t="s">
        <v>70</v>
      </c>
      <c r="C31" s="333">
        <v>59.843000000000004</v>
      </c>
      <c r="D31" s="70">
        <v>1217.8910000000001</v>
      </c>
      <c r="E31" s="232">
        <f t="shared" si="0"/>
        <v>4.9136581188300106</v>
      </c>
    </row>
    <row r="32" spans="2:5" x14ac:dyDescent="0.25">
      <c r="B32" s="182" t="s">
        <v>71</v>
      </c>
      <c r="C32" s="333">
        <v>59.192</v>
      </c>
      <c r="D32" s="70">
        <v>1228.019</v>
      </c>
      <c r="E32" s="232">
        <f t="shared" si="0"/>
        <v>4.8201208613221782</v>
      </c>
    </row>
    <row r="33" spans="2:5" x14ac:dyDescent="0.25">
      <c r="B33" s="182" t="s">
        <v>72</v>
      </c>
      <c r="C33" s="333">
        <v>58.631999999999998</v>
      </c>
      <c r="D33" s="70">
        <v>1243.5250000000001</v>
      </c>
      <c r="E33" s="232">
        <f t="shared" si="0"/>
        <v>4.7149836151263536</v>
      </c>
    </row>
    <row r="34" spans="2:5" x14ac:dyDescent="0.25">
      <c r="B34" s="182" t="s">
        <v>73</v>
      </c>
      <c r="C34" s="333">
        <v>58.024000000000001</v>
      </c>
      <c r="D34" s="70">
        <v>1266.8409999999999</v>
      </c>
      <c r="E34" s="232">
        <f t="shared" si="0"/>
        <v>4.5802117234917405</v>
      </c>
    </row>
    <row r="35" spans="2:5" x14ac:dyDescent="0.25">
      <c r="B35" s="182" t="s">
        <v>74</v>
      </c>
      <c r="C35" s="333">
        <v>57.613</v>
      </c>
      <c r="D35" s="70">
        <v>1287.116</v>
      </c>
      <c r="E35" s="232">
        <f t="shared" si="0"/>
        <v>4.4761311334798108</v>
      </c>
    </row>
    <row r="36" spans="2:5" x14ac:dyDescent="0.25">
      <c r="B36" s="182" t="s">
        <v>75</v>
      </c>
      <c r="C36" s="333">
        <v>57.71</v>
      </c>
      <c r="D36" s="70">
        <v>1301.6559999999999</v>
      </c>
      <c r="E36" s="232">
        <f t="shared" si="0"/>
        <v>4.4335830664937594</v>
      </c>
    </row>
    <row r="37" spans="2:5" x14ac:dyDescent="0.25">
      <c r="B37" s="182" t="s">
        <v>76</v>
      </c>
      <c r="C37" s="333">
        <v>57.712000000000003</v>
      </c>
      <c r="D37" s="70">
        <v>1310.2149999999999</v>
      </c>
      <c r="E37" s="232">
        <f t="shared" si="0"/>
        <v>4.4047732624034985</v>
      </c>
    </row>
    <row r="38" spans="2:5" x14ac:dyDescent="0.25">
      <c r="B38" s="182" t="s">
        <v>77</v>
      </c>
      <c r="C38" s="333">
        <v>57.750999999999998</v>
      </c>
      <c r="D38" s="70">
        <v>1312.116</v>
      </c>
      <c r="E38" s="232">
        <f t="shared" si="0"/>
        <v>4.4013639038011876</v>
      </c>
    </row>
    <row r="39" spans="2:5" x14ac:dyDescent="0.25">
      <c r="B39" s="182" t="s">
        <v>78</v>
      </c>
      <c r="C39" s="333">
        <v>57.529000000000003</v>
      </c>
      <c r="D39" s="70">
        <v>1312.7329999999999</v>
      </c>
      <c r="E39" s="232">
        <f t="shared" si="0"/>
        <v>4.3823839272723397</v>
      </c>
    </row>
    <row r="40" spans="2:5" x14ac:dyDescent="0.25">
      <c r="B40" s="182" t="s">
        <v>79</v>
      </c>
      <c r="C40" s="333">
        <v>56.865000000000002</v>
      </c>
      <c r="D40" s="70">
        <v>1314.0029999999999</v>
      </c>
      <c r="E40" s="232">
        <f t="shared" si="0"/>
        <v>4.3276156903751373</v>
      </c>
    </row>
    <row r="41" spans="2:5" x14ac:dyDescent="0.25">
      <c r="B41" s="182" t="s">
        <v>80</v>
      </c>
      <c r="C41" s="333">
        <v>56.475000000000001</v>
      </c>
      <c r="D41" s="70">
        <v>1322.9369999999999</v>
      </c>
      <c r="E41" s="232">
        <f t="shared" si="0"/>
        <v>4.2689107644581714</v>
      </c>
    </row>
    <row r="42" spans="2:5" x14ac:dyDescent="0.25">
      <c r="B42" s="182" t="s">
        <v>81</v>
      </c>
      <c r="C42" s="333">
        <v>55.972000000000001</v>
      </c>
      <c r="D42" s="70">
        <v>1333.8340000000001</v>
      </c>
      <c r="E42" s="232">
        <f t="shared" si="0"/>
        <v>4.1963242802327727</v>
      </c>
    </row>
    <row r="43" spans="2:5" x14ac:dyDescent="0.25">
      <c r="B43" s="182" t="s">
        <v>82</v>
      </c>
      <c r="C43" s="333">
        <v>55.664000000000001</v>
      </c>
      <c r="D43" s="70">
        <v>1348.375</v>
      </c>
      <c r="E43" s="232">
        <f t="shared" si="0"/>
        <v>4.1282284231018815</v>
      </c>
    </row>
    <row r="44" spans="2:5" x14ac:dyDescent="0.25">
      <c r="B44" s="182" t="s">
        <v>83</v>
      </c>
      <c r="C44" s="333">
        <v>55.807000000000002</v>
      </c>
      <c r="D44" s="70">
        <v>1368.604</v>
      </c>
      <c r="E44" s="232">
        <f t="shared" si="0"/>
        <v>4.0776586945529898</v>
      </c>
    </row>
    <row r="45" spans="2:5" x14ac:dyDescent="0.25">
      <c r="B45" s="182" t="s">
        <v>84</v>
      </c>
      <c r="C45" s="333">
        <v>55.829000000000001</v>
      </c>
      <c r="D45" s="70">
        <v>1378.482</v>
      </c>
      <c r="E45" s="232">
        <f t="shared" si="0"/>
        <v>4.050034748368132</v>
      </c>
    </row>
    <row r="46" spans="2:5" x14ac:dyDescent="0.25">
      <c r="B46" s="182" t="s">
        <v>85</v>
      </c>
      <c r="C46" s="333">
        <v>56.115000000000002</v>
      </c>
      <c r="D46" s="70">
        <v>1389.079</v>
      </c>
      <c r="E46" s="232">
        <f t="shared" si="0"/>
        <v>4.0397270421624691</v>
      </c>
    </row>
    <row r="47" spans="2:5" x14ac:dyDescent="0.25">
      <c r="B47" s="182" t="s">
        <v>86</v>
      </c>
      <c r="C47" s="333">
        <v>56.661000000000001</v>
      </c>
      <c r="D47" s="70">
        <v>1402.614</v>
      </c>
      <c r="E47" s="232">
        <f t="shared" si="0"/>
        <v>4.0396716416633511</v>
      </c>
    </row>
    <row r="48" spans="2:5" x14ac:dyDescent="0.25">
      <c r="B48" s="182" t="s">
        <v>87</v>
      </c>
      <c r="C48" s="333">
        <v>56.902999999999999</v>
      </c>
      <c r="D48" s="70">
        <v>1410.8679999999999</v>
      </c>
      <c r="E48" s="232">
        <f t="shared" si="0"/>
        <v>4.0331909150962391</v>
      </c>
    </row>
    <row r="49" spans="2:5" x14ac:dyDescent="0.25">
      <c r="B49" s="182" t="s">
        <v>88</v>
      </c>
      <c r="C49" s="333">
        <v>57.063000000000002</v>
      </c>
      <c r="D49" s="70">
        <v>1427.165</v>
      </c>
      <c r="E49" s="232">
        <f t="shared" si="0"/>
        <v>3.9983463720032377</v>
      </c>
    </row>
    <row r="50" spans="2:5" x14ac:dyDescent="0.25">
      <c r="B50" s="182" t="s">
        <v>89</v>
      </c>
      <c r="C50" s="333">
        <v>57.216000000000001</v>
      </c>
      <c r="D50" s="70">
        <v>1443.154</v>
      </c>
      <c r="E50" s="232">
        <f t="shared" si="0"/>
        <v>3.9646496493097763</v>
      </c>
    </row>
    <row r="51" spans="2:5" x14ac:dyDescent="0.25">
      <c r="B51" s="182" t="s">
        <v>90</v>
      </c>
      <c r="C51" s="333">
        <v>57.231000000000002</v>
      </c>
      <c r="D51" s="70">
        <v>1456.54</v>
      </c>
      <c r="E51" s="232">
        <f t="shared" si="0"/>
        <v>3.9292432751589383</v>
      </c>
    </row>
    <row r="52" spans="2:5" x14ac:dyDescent="0.25">
      <c r="B52" s="152" t="s">
        <v>91</v>
      </c>
      <c r="C52" s="333">
        <v>57.405000000000001</v>
      </c>
      <c r="D52" s="70">
        <v>1461.6949999999999</v>
      </c>
      <c r="E52" s="232">
        <f t="shared" si="0"/>
        <v>3.9272898928983135</v>
      </c>
    </row>
    <row r="53" spans="2:5" x14ac:dyDescent="0.25">
      <c r="B53" s="152" t="s">
        <v>92</v>
      </c>
      <c r="C53" s="333">
        <v>56.529000000000003</v>
      </c>
      <c r="D53" s="70">
        <v>1454.84</v>
      </c>
      <c r="E53" s="232">
        <f t="shared" si="0"/>
        <v>3.8855819196612691</v>
      </c>
    </row>
    <row r="54" spans="2:5" x14ac:dyDescent="0.25">
      <c r="B54" s="152" t="s">
        <v>93</v>
      </c>
      <c r="C54" s="333">
        <v>55.468000000000004</v>
      </c>
      <c r="D54" s="70">
        <v>1455.52</v>
      </c>
      <c r="E54" s="232">
        <f t="shared" si="0"/>
        <v>3.8108717159503134</v>
      </c>
    </row>
    <row r="55" spans="2:5" x14ac:dyDescent="0.25">
      <c r="B55" s="152" t="s">
        <v>94</v>
      </c>
      <c r="C55" s="333">
        <v>54.427</v>
      </c>
      <c r="D55" s="70">
        <v>1454.3409999999999</v>
      </c>
      <c r="E55" s="232">
        <f t="shared" si="0"/>
        <v>3.7423822886104428</v>
      </c>
    </row>
    <row r="56" spans="2:5" x14ac:dyDescent="0.25">
      <c r="B56" s="152" t="s">
        <v>95</v>
      </c>
      <c r="C56" s="333">
        <v>53.01</v>
      </c>
      <c r="D56" s="70">
        <v>1468.7070000000001</v>
      </c>
      <c r="E56" s="232">
        <f t="shared" si="0"/>
        <v>3.6092971572954982</v>
      </c>
    </row>
    <row r="57" spans="2:5" x14ac:dyDescent="0.25">
      <c r="B57" s="152" t="s">
        <v>96</v>
      </c>
      <c r="C57" s="333">
        <v>52.706000000000003</v>
      </c>
      <c r="D57" s="70">
        <v>1490.191</v>
      </c>
      <c r="E57" s="232">
        <f t="shared" si="0"/>
        <v>3.5368620532535764</v>
      </c>
    </row>
    <row r="58" spans="2:5" x14ac:dyDescent="0.25">
      <c r="B58" s="152" t="s">
        <v>97</v>
      </c>
      <c r="C58" s="333">
        <v>52.499000000000002</v>
      </c>
      <c r="D58" s="70">
        <v>1504.777</v>
      </c>
      <c r="E58" s="232">
        <f t="shared" si="0"/>
        <v>3.4888225963049675</v>
      </c>
    </row>
    <row r="59" spans="2:5" x14ac:dyDescent="0.25">
      <c r="B59" s="152" t="s">
        <v>98</v>
      </c>
      <c r="C59" s="333">
        <v>52.171999999999997</v>
      </c>
      <c r="D59" s="70">
        <v>1519.777</v>
      </c>
      <c r="E59" s="232">
        <f t="shared" si="0"/>
        <v>3.4328720595192581</v>
      </c>
    </row>
    <row r="60" spans="2:5" x14ac:dyDescent="0.25">
      <c r="B60" s="152" t="s">
        <v>99</v>
      </c>
      <c r="C60" s="333">
        <v>52.311</v>
      </c>
      <c r="D60" s="70">
        <v>1535.5260000000001</v>
      </c>
      <c r="E60" s="232">
        <f t="shared" si="0"/>
        <v>3.4067153535661392</v>
      </c>
    </row>
    <row r="61" spans="2:5" x14ac:dyDescent="0.25">
      <c r="B61" s="152" t="s">
        <v>100</v>
      </c>
      <c r="C61" s="333">
        <v>53.216999999999999</v>
      </c>
      <c r="D61" s="70">
        <v>1553.3530000000001</v>
      </c>
      <c r="E61" s="232">
        <f t="shared" si="0"/>
        <v>3.4259437487808633</v>
      </c>
    </row>
    <row r="62" spans="2:5" x14ac:dyDescent="0.25">
      <c r="B62" s="152" t="s">
        <v>101</v>
      </c>
      <c r="C62" s="333">
        <v>54.613</v>
      </c>
      <c r="D62" s="70">
        <v>1575.2270000000001</v>
      </c>
      <c r="E62" s="232">
        <f t="shared" si="0"/>
        <v>3.4669923763368709</v>
      </c>
    </row>
    <row r="63" spans="2:5" x14ac:dyDescent="0.25">
      <c r="B63" s="152" t="s">
        <v>102</v>
      </c>
      <c r="C63" s="333">
        <v>57.07</v>
      </c>
      <c r="D63" s="70">
        <v>1613.529</v>
      </c>
      <c r="E63" s="232">
        <f t="shared" si="0"/>
        <v>3.5369677272611777</v>
      </c>
    </row>
    <row r="64" spans="2:5" x14ac:dyDescent="0.25">
      <c r="B64" s="47" t="s">
        <v>103</v>
      </c>
      <c r="C64" s="333">
        <v>60.725999999999999</v>
      </c>
      <c r="D64" s="70">
        <v>1647.953</v>
      </c>
      <c r="E64" s="232">
        <f t="shared" si="0"/>
        <v>3.6849351892924131</v>
      </c>
    </row>
    <row r="65" spans="1:18" x14ac:dyDescent="0.25">
      <c r="B65" s="47" t="s">
        <v>104</v>
      </c>
      <c r="C65" s="333">
        <v>65.073999999999998</v>
      </c>
      <c r="D65" s="70">
        <v>1687.588</v>
      </c>
      <c r="E65" s="232">
        <f t="shared" si="0"/>
        <v>3.8560359519029523</v>
      </c>
    </row>
    <row r="66" spans="1:18" x14ac:dyDescent="0.25">
      <c r="B66" s="47" t="s">
        <v>105</v>
      </c>
      <c r="C66" s="333">
        <v>70.286000000000001</v>
      </c>
      <c r="D66" s="70">
        <v>1721.338</v>
      </c>
      <c r="E66" s="232">
        <f t="shared" si="0"/>
        <v>4.0832189843017463</v>
      </c>
    </row>
    <row r="67" spans="1:18" x14ac:dyDescent="0.25">
      <c r="B67" s="47" t="s">
        <v>106</v>
      </c>
      <c r="C67" s="333">
        <v>75.596999999999994</v>
      </c>
      <c r="D67" s="70">
        <v>1740.15</v>
      </c>
      <c r="E67" s="232">
        <f t="shared" si="0"/>
        <v>4.3442806654598733</v>
      </c>
    </row>
    <row r="68" spans="1:18" x14ac:dyDescent="0.25">
      <c r="B68" s="47" t="s">
        <v>107</v>
      </c>
      <c r="C68" s="333">
        <v>80.563000000000002</v>
      </c>
      <c r="D68" s="70">
        <v>1768.778</v>
      </c>
      <c r="E68" s="232">
        <f t="shared" si="0"/>
        <v>4.554726483481816</v>
      </c>
    </row>
    <row r="69" spans="1:18" x14ac:dyDescent="0.25">
      <c r="B69" s="47" t="s">
        <v>108</v>
      </c>
      <c r="C69" s="333">
        <v>84.762</v>
      </c>
      <c r="D69" s="70">
        <v>1792.2650000000001</v>
      </c>
      <c r="E69" s="232">
        <f t="shared" ref="E69:E137" si="1">100*(C69/D69)</f>
        <v>4.7293229516840416</v>
      </c>
    </row>
    <row r="70" spans="1:18" x14ac:dyDescent="0.25">
      <c r="B70" s="47" t="s">
        <v>109</v>
      </c>
      <c r="C70" s="333">
        <v>88.149000000000001</v>
      </c>
      <c r="D70" s="70">
        <v>1824.3119999999999</v>
      </c>
      <c r="E70" s="232">
        <f t="shared" si="1"/>
        <v>4.8319037533053564</v>
      </c>
    </row>
    <row r="71" spans="1:18" x14ac:dyDescent="0.25">
      <c r="B71" s="47" t="s">
        <v>110</v>
      </c>
      <c r="C71" s="333">
        <v>90.697000000000003</v>
      </c>
      <c r="D71" s="70">
        <v>1863.2629999999999</v>
      </c>
      <c r="E71" s="232">
        <f t="shared" si="1"/>
        <v>4.8676434835017925</v>
      </c>
    </row>
    <row r="72" spans="1:18" x14ac:dyDescent="0.25">
      <c r="B72" s="47" t="s">
        <v>111</v>
      </c>
      <c r="C72" s="333">
        <v>92.341999999999999</v>
      </c>
      <c r="D72" s="70">
        <v>1891.7629999999999</v>
      </c>
      <c r="E72" s="232">
        <f t="shared" si="1"/>
        <v>4.8812668394508192</v>
      </c>
    </row>
    <row r="73" spans="1:18" x14ac:dyDescent="0.25">
      <c r="B73" s="47" t="s">
        <v>112</v>
      </c>
      <c r="C73" s="333">
        <v>93.156000000000006</v>
      </c>
      <c r="D73" s="70">
        <v>1917.223</v>
      </c>
      <c r="E73" s="232">
        <f t="shared" si="1"/>
        <v>4.8589026941571225</v>
      </c>
    </row>
    <row r="74" spans="1:18" x14ac:dyDescent="0.25">
      <c r="B74" s="47" t="s">
        <v>113</v>
      </c>
      <c r="C74" s="333">
        <v>93.593999999999994</v>
      </c>
      <c r="D74" s="70">
        <v>1932.905</v>
      </c>
      <c r="E74" s="232">
        <f t="shared" si="1"/>
        <v>4.8421417503705557</v>
      </c>
    </row>
    <row r="75" spans="1:18" x14ac:dyDescent="0.25">
      <c r="B75" s="47" t="s">
        <v>114</v>
      </c>
      <c r="C75" s="333">
        <v>93.994</v>
      </c>
      <c r="D75" s="70">
        <v>1945.7729999999999</v>
      </c>
      <c r="E75" s="232">
        <f t="shared" si="1"/>
        <v>4.8306765486004792</v>
      </c>
    </row>
    <row r="76" spans="1:18" x14ac:dyDescent="0.25">
      <c r="B76" s="47" t="s">
        <v>115</v>
      </c>
      <c r="C76" s="333">
        <v>94.224999999999994</v>
      </c>
      <c r="D76" s="70">
        <v>1955.1559999999999</v>
      </c>
      <c r="E76" s="232">
        <f t="shared" si="1"/>
        <v>4.8193085359940584</v>
      </c>
    </row>
    <row r="77" spans="1:18" x14ac:dyDescent="0.25">
      <c r="B77" s="47" t="s">
        <v>116</v>
      </c>
      <c r="C77" s="333">
        <v>93.48785190000001</v>
      </c>
      <c r="D77" s="70">
        <v>1966.638674</v>
      </c>
      <c r="E77" s="232">
        <f t="shared" si="1"/>
        <v>4.7536872500250658</v>
      </c>
    </row>
    <row r="78" spans="1:18" x14ac:dyDescent="0.25">
      <c r="B78" s="47" t="s">
        <v>117</v>
      </c>
      <c r="C78" s="333">
        <v>93.370919200000003</v>
      </c>
      <c r="D78" s="70">
        <v>1979.028327</v>
      </c>
      <c r="E78" s="232">
        <f t="shared" si="1"/>
        <v>4.7180183287997979</v>
      </c>
    </row>
    <row r="79" spans="1:18" x14ac:dyDescent="0.25">
      <c r="B79" s="47" t="s">
        <v>118</v>
      </c>
      <c r="C79" s="333">
        <v>93.015988100000001</v>
      </c>
      <c r="D79" s="70">
        <v>1988.3399550000001</v>
      </c>
      <c r="E79" s="232">
        <f t="shared" si="1"/>
        <v>4.6780726739457386</v>
      </c>
    </row>
    <row r="80" spans="1:18" s="2" customFormat="1" ht="15.75" x14ac:dyDescent="0.25">
      <c r="A80" s="7"/>
      <c r="B80" s="47" t="s">
        <v>119</v>
      </c>
      <c r="C80" s="333">
        <v>93.012092499999994</v>
      </c>
      <c r="D80" s="70">
        <v>2002.7868460000002</v>
      </c>
      <c r="E80" s="232">
        <f t="shared" si="1"/>
        <v>4.6441333827294358</v>
      </c>
      <c r="G80" s="116"/>
      <c r="H80" s="116"/>
      <c r="I80" s="116"/>
      <c r="J80" s="116"/>
      <c r="K80" s="116"/>
      <c r="M80" s="116"/>
      <c r="N80" s="116"/>
      <c r="Q80" s="27"/>
      <c r="R80" s="27"/>
    </row>
    <row r="81" spans="1:18" s="2" customFormat="1" ht="15.75" x14ac:dyDescent="0.25">
      <c r="A81" s="7"/>
      <c r="B81" s="47" t="s">
        <v>120</v>
      </c>
      <c r="C81" s="333">
        <v>94.952472199999988</v>
      </c>
      <c r="D81" s="70">
        <v>2018.002702</v>
      </c>
      <c r="E81" s="232">
        <f t="shared" si="1"/>
        <v>4.7052698247576474</v>
      </c>
      <c r="G81" s="116"/>
      <c r="H81" s="116"/>
      <c r="I81" s="116"/>
      <c r="J81" s="116"/>
      <c r="K81" s="116"/>
      <c r="M81" s="116"/>
      <c r="N81" s="116"/>
      <c r="Q81" s="27"/>
      <c r="R81" s="27"/>
    </row>
    <row r="82" spans="1:18" s="2" customFormat="1" ht="15.75" x14ac:dyDescent="0.25">
      <c r="A82" s="7"/>
      <c r="B82" s="47" t="s">
        <v>121</v>
      </c>
      <c r="C82" s="333">
        <v>96.850930299999987</v>
      </c>
      <c r="D82" s="70">
        <v>2036.068338</v>
      </c>
      <c r="E82" s="232">
        <f t="shared" si="1"/>
        <v>4.7567622605012971</v>
      </c>
      <c r="G82" s="116"/>
      <c r="H82" s="116"/>
      <c r="I82" s="116"/>
      <c r="J82" s="116"/>
      <c r="K82" s="116"/>
      <c r="M82" s="116"/>
      <c r="N82" s="116"/>
      <c r="Q82" s="27"/>
      <c r="R82" s="27"/>
    </row>
    <row r="83" spans="1:18" s="2" customFormat="1" ht="15.75" x14ac:dyDescent="0.25">
      <c r="A83" s="7"/>
      <c r="B83" s="47" t="s">
        <v>122</v>
      </c>
      <c r="C83" s="333">
        <v>99.290234399999989</v>
      </c>
      <c r="D83" s="70">
        <v>2053.503604</v>
      </c>
      <c r="E83" s="232">
        <f t="shared" si="1"/>
        <v>4.8351624125028803</v>
      </c>
      <c r="G83" s="116"/>
      <c r="H83" s="116"/>
      <c r="I83" s="116"/>
      <c r="J83" s="116"/>
      <c r="K83" s="116"/>
      <c r="M83" s="116"/>
      <c r="N83" s="116"/>
      <c r="Q83" s="27"/>
      <c r="R83" s="27"/>
    </row>
    <row r="84" spans="1:18" x14ac:dyDescent="0.25">
      <c r="B84" s="47" t="s">
        <v>123</v>
      </c>
      <c r="C84" s="333">
        <v>101.9666268</v>
      </c>
      <c r="D84" s="70">
        <v>2069.871725</v>
      </c>
      <c r="E84" s="232">
        <f t="shared" si="1"/>
        <v>4.9262292715264753</v>
      </c>
    </row>
    <row r="85" spans="1:18" x14ac:dyDescent="0.25">
      <c r="B85" s="47" t="s">
        <v>124</v>
      </c>
      <c r="C85" s="333">
        <v>104.0910425</v>
      </c>
      <c r="D85" s="70">
        <v>2085.8067679999995</v>
      </c>
      <c r="E85" s="232">
        <f t="shared" si="1"/>
        <v>4.9904451407935992</v>
      </c>
    </row>
    <row r="86" spans="1:18" x14ac:dyDescent="0.25">
      <c r="B86" s="47" t="s">
        <v>125</v>
      </c>
      <c r="C86" s="333">
        <v>105.6214396</v>
      </c>
      <c r="D86" s="70">
        <v>2101.6819179999998</v>
      </c>
      <c r="E86" s="232">
        <f t="shared" si="1"/>
        <v>5.025567318032186</v>
      </c>
    </row>
    <row r="87" spans="1:18" x14ac:dyDescent="0.25">
      <c r="B87" s="47" t="s">
        <v>126</v>
      </c>
      <c r="C87" s="333">
        <v>106.79035560000001</v>
      </c>
      <c r="D87" s="70">
        <v>2117.362795</v>
      </c>
      <c r="E87" s="232">
        <f t="shared" si="1"/>
        <v>5.0435549284316208</v>
      </c>
    </row>
    <row r="88" spans="1:18" x14ac:dyDescent="0.25">
      <c r="B88" s="47" t="s">
        <v>127</v>
      </c>
      <c r="C88" s="333">
        <v>107.6670726</v>
      </c>
      <c r="D88" s="70">
        <v>2132.564151</v>
      </c>
      <c r="E88" s="232">
        <f t="shared" si="1"/>
        <v>5.0487143633879832</v>
      </c>
    </row>
    <row r="89" spans="1:18" x14ac:dyDescent="0.25">
      <c r="B89" s="47" t="s">
        <v>128</v>
      </c>
      <c r="C89" s="333">
        <v>108.48652509999999</v>
      </c>
      <c r="D89" s="70">
        <v>2147.3317790000001</v>
      </c>
      <c r="E89" s="232">
        <f t="shared" si="1"/>
        <v>5.0521547792917936</v>
      </c>
    </row>
    <row r="90" spans="1:18" x14ac:dyDescent="0.25">
      <c r="B90" s="47" t="s">
        <v>129</v>
      </c>
      <c r="C90" s="333">
        <v>109.4373138</v>
      </c>
      <c r="D90" s="70">
        <v>2161.9637979999998</v>
      </c>
      <c r="E90" s="232">
        <f t="shared" si="1"/>
        <v>5.061940162977697</v>
      </c>
    </row>
    <row r="91" spans="1:18" x14ac:dyDescent="0.25">
      <c r="B91" s="47" t="s">
        <v>130</v>
      </c>
      <c r="C91" s="333">
        <v>110.4898285</v>
      </c>
      <c r="D91" s="70">
        <v>2176.82924</v>
      </c>
      <c r="E91" s="232">
        <f t="shared" si="1"/>
        <v>5.0757232799757874</v>
      </c>
    </row>
    <row r="92" spans="1:18" x14ac:dyDescent="0.25">
      <c r="B92" s="47" t="s">
        <v>131</v>
      </c>
      <c r="C92" s="333">
        <v>111.62476240000001</v>
      </c>
      <c r="D92" s="70">
        <v>2192.5772190000002</v>
      </c>
      <c r="E92" s="232">
        <f t="shared" si="1"/>
        <v>5.0910299273705988</v>
      </c>
    </row>
    <row r="93" spans="1:18" x14ac:dyDescent="0.25">
      <c r="B93" s="47" t="s">
        <v>132</v>
      </c>
      <c r="C93" s="333">
        <v>112.91783000000001</v>
      </c>
      <c r="D93" s="70">
        <v>2209.4695640000004</v>
      </c>
      <c r="E93" s="232">
        <f t="shared" si="1"/>
        <v>5.1106307070179664</v>
      </c>
    </row>
    <row r="94" spans="1:18" x14ac:dyDescent="0.25">
      <c r="B94" s="47" t="s">
        <v>133</v>
      </c>
      <c r="C94" s="333">
        <v>114.35456699999999</v>
      </c>
      <c r="D94" s="70">
        <v>2227.1299790000003</v>
      </c>
      <c r="E94" s="232">
        <f t="shared" si="1"/>
        <v>5.1346157646059858</v>
      </c>
    </row>
    <row r="95" spans="1:18" x14ac:dyDescent="0.25">
      <c r="B95" s="47" t="s">
        <v>134</v>
      </c>
      <c r="C95" s="333">
        <v>115.98042509999999</v>
      </c>
      <c r="D95" s="70">
        <v>2245.2481809999999</v>
      </c>
      <c r="E95" s="232">
        <f t="shared" si="1"/>
        <v>5.1655948808449335</v>
      </c>
    </row>
    <row r="96" spans="1:18" x14ac:dyDescent="0.25">
      <c r="B96" s="47" t="s">
        <v>135</v>
      </c>
      <c r="C96" s="333">
        <v>117.79123809999999</v>
      </c>
      <c r="D96" s="70">
        <v>2263.0879289999998</v>
      </c>
      <c r="E96" s="232">
        <f t="shared" si="1"/>
        <v>5.2048900350084448</v>
      </c>
    </row>
    <row r="97" spans="1:5" x14ac:dyDescent="0.25">
      <c r="B97" s="47" t="s">
        <v>645</v>
      </c>
      <c r="C97" s="333">
        <v>119.6852854</v>
      </c>
      <c r="D97" s="70">
        <v>2280.184119</v>
      </c>
      <c r="E97" s="232">
        <f t="shared" ref="E97:E100" si="2">100*(C97/D97)</f>
        <v>5.2489307509294161</v>
      </c>
    </row>
    <row r="98" spans="1:5" x14ac:dyDescent="0.25">
      <c r="B98" s="47" t="s">
        <v>646</v>
      </c>
      <c r="C98" s="333">
        <v>121.62740099999999</v>
      </c>
      <c r="D98" s="70">
        <v>2296.5626720000005</v>
      </c>
      <c r="E98" s="232">
        <f t="shared" si="2"/>
        <v>5.2960627847390169</v>
      </c>
    </row>
    <row r="99" spans="1:5" x14ac:dyDescent="0.25">
      <c r="B99" s="47" t="s">
        <v>647</v>
      </c>
      <c r="C99" s="333">
        <v>123.5782325</v>
      </c>
      <c r="D99" s="70">
        <v>2312.5576179999998</v>
      </c>
      <c r="E99" s="232">
        <f t="shared" si="2"/>
        <v>5.3437904222631136</v>
      </c>
    </row>
    <row r="100" spans="1:5" x14ac:dyDescent="0.25">
      <c r="B100" s="47" t="s">
        <v>648</v>
      </c>
      <c r="C100" s="333">
        <v>125.5278519</v>
      </c>
      <c r="D100" s="70">
        <v>2328.5203700000002</v>
      </c>
      <c r="E100" s="232">
        <f t="shared" si="2"/>
        <v>5.3908848519113439</v>
      </c>
    </row>
    <row r="101" spans="1:5" x14ac:dyDescent="0.25">
      <c r="A101" s="354"/>
      <c r="B101" s="379">
        <v>2008</v>
      </c>
      <c r="C101" s="330">
        <f ca="1">OFFSET(C$7,4*(ROW()-ROW(C$101)),0)</f>
        <v>98.277000000000001</v>
      </c>
      <c r="D101" s="330">
        <f ca="1">OFFSET(D$7,4*(ROW()-ROW(D$101)),0)</f>
        <v>1024.0139999999999</v>
      </c>
      <c r="E101" s="452">
        <f t="shared" ca="1" si="1"/>
        <v>9.5972320690928061</v>
      </c>
    </row>
    <row r="102" spans="1:5" x14ac:dyDescent="0.25">
      <c r="B102" s="47">
        <v>2009</v>
      </c>
      <c r="C102" s="199">
        <f t="shared" ref="C102:C121" ca="1" si="3">OFFSET(C$7,4*(ROW()-ROW(C$101)),0)</f>
        <v>71.739000000000004</v>
      </c>
      <c r="D102" s="147">
        <f t="shared" ref="D102:D124" ca="1" si="4">OFFSET(D$7,4*(ROW()-ROW(D$101)),0)</f>
        <v>1050.0920000000001</v>
      </c>
      <c r="E102" s="232">
        <f t="shared" ca="1" si="1"/>
        <v>6.8316871283658962</v>
      </c>
    </row>
    <row r="103" spans="1:5" x14ac:dyDescent="0.25">
      <c r="B103" s="47">
        <v>2010</v>
      </c>
      <c r="C103" s="199">
        <f t="shared" ca="1" si="3"/>
        <v>64.617999999999995</v>
      </c>
      <c r="D103" s="147">
        <f t="shared" ca="1" si="4"/>
        <v>1070.069</v>
      </c>
      <c r="E103" s="232">
        <f t="shared" ca="1" si="1"/>
        <v>6.0386760106123996</v>
      </c>
    </row>
    <row r="104" spans="1:5" x14ac:dyDescent="0.25">
      <c r="B104" s="47">
        <v>2011</v>
      </c>
      <c r="C104" s="199">
        <f t="shared" ca="1" si="3"/>
        <v>61.991999999999997</v>
      </c>
      <c r="D104" s="147">
        <f t="shared" ca="1" si="4"/>
        <v>1084.99</v>
      </c>
      <c r="E104" s="232">
        <f t="shared" ca="1" si="1"/>
        <v>5.713601047014258</v>
      </c>
    </row>
    <row r="105" spans="1:5" x14ac:dyDescent="0.25">
      <c r="B105" s="47">
        <v>2012</v>
      </c>
      <c r="C105" s="199">
        <f t="shared" ca="1" si="3"/>
        <v>61.506</v>
      </c>
      <c r="D105" s="147">
        <f t="shared" ca="1" si="4"/>
        <v>1130.0170000000001</v>
      </c>
      <c r="E105" s="232">
        <f t="shared" ca="1" si="1"/>
        <v>5.4429269648155731</v>
      </c>
    </row>
    <row r="106" spans="1:5" x14ac:dyDescent="0.25">
      <c r="B106" s="47">
        <v>2013</v>
      </c>
      <c r="C106" s="199">
        <f t="shared" ca="1" si="3"/>
        <v>61.118000000000002</v>
      </c>
      <c r="D106" s="147">
        <f t="shared" ca="1" si="4"/>
        <v>1175.9369999999999</v>
      </c>
      <c r="E106" s="232">
        <f t="shared" ca="1" si="1"/>
        <v>5.1973872749985768</v>
      </c>
    </row>
    <row r="107" spans="1:5" x14ac:dyDescent="0.25">
      <c r="B107" s="47">
        <v>2014</v>
      </c>
      <c r="C107" s="199">
        <f t="shared" ca="1" si="3"/>
        <v>59.843000000000004</v>
      </c>
      <c r="D107" s="147">
        <f t="shared" ca="1" si="4"/>
        <v>1217.8910000000001</v>
      </c>
      <c r="E107" s="232">
        <f t="shared" ca="1" si="1"/>
        <v>4.9136581188300106</v>
      </c>
    </row>
    <row r="108" spans="1:5" x14ac:dyDescent="0.25">
      <c r="B108" s="47">
        <v>2015</v>
      </c>
      <c r="C108" s="199">
        <f t="shared" ca="1" si="3"/>
        <v>57.613</v>
      </c>
      <c r="D108" s="147">
        <f t="shared" ca="1" si="4"/>
        <v>1287.116</v>
      </c>
      <c r="E108" s="232">
        <f t="shared" ca="1" si="1"/>
        <v>4.4761311334798108</v>
      </c>
    </row>
    <row r="109" spans="1:5" x14ac:dyDescent="0.25">
      <c r="B109" s="47">
        <v>2016</v>
      </c>
      <c r="C109" s="199">
        <f t="shared" ca="1" si="3"/>
        <v>57.529000000000003</v>
      </c>
      <c r="D109" s="147">
        <f t="shared" ca="1" si="4"/>
        <v>1312.7329999999999</v>
      </c>
      <c r="E109" s="232">
        <f t="shared" ca="1" si="1"/>
        <v>4.3823839272723397</v>
      </c>
    </row>
    <row r="110" spans="1:5" x14ac:dyDescent="0.25">
      <c r="B110" s="47">
        <v>2017</v>
      </c>
      <c r="C110" s="199">
        <f t="shared" ca="1" si="3"/>
        <v>55.664000000000001</v>
      </c>
      <c r="D110" s="147">
        <f t="shared" ca="1" si="4"/>
        <v>1348.375</v>
      </c>
      <c r="E110" s="232">
        <f t="shared" ca="1" si="1"/>
        <v>4.1282284231018815</v>
      </c>
    </row>
    <row r="111" spans="1:5" x14ac:dyDescent="0.25">
      <c r="B111" s="47">
        <v>2018</v>
      </c>
      <c r="C111" s="199">
        <f t="shared" ca="1" si="3"/>
        <v>56.661000000000001</v>
      </c>
      <c r="D111" s="147">
        <f t="shared" ca="1" si="4"/>
        <v>1402.614</v>
      </c>
      <c r="E111" s="232">
        <f t="shared" ca="1" si="1"/>
        <v>4.0396716416633511</v>
      </c>
    </row>
    <row r="112" spans="1:5" x14ac:dyDescent="0.25">
      <c r="B112" s="47">
        <v>2019</v>
      </c>
      <c r="C112" s="199">
        <f t="shared" ca="1" si="3"/>
        <v>57.231000000000002</v>
      </c>
      <c r="D112" s="147">
        <f t="shared" ca="1" si="4"/>
        <v>1456.54</v>
      </c>
      <c r="E112" s="232">
        <f t="shared" ca="1" si="1"/>
        <v>3.9292432751589383</v>
      </c>
    </row>
    <row r="113" spans="1:5" x14ac:dyDescent="0.25">
      <c r="B113" s="47">
        <v>2020</v>
      </c>
      <c r="C113" s="199">
        <f t="shared" ca="1" si="3"/>
        <v>54.427</v>
      </c>
      <c r="D113" s="147">
        <f t="shared" ca="1" si="4"/>
        <v>1454.3409999999999</v>
      </c>
      <c r="E113" s="232">
        <f t="shared" ca="1" si="1"/>
        <v>3.7423822886104428</v>
      </c>
    </row>
    <row r="114" spans="1:5" x14ac:dyDescent="0.25">
      <c r="B114" s="47">
        <v>2021</v>
      </c>
      <c r="C114" s="199">
        <f t="shared" ca="1" si="3"/>
        <v>52.171999999999997</v>
      </c>
      <c r="D114" s="147">
        <f t="shared" ca="1" si="4"/>
        <v>1519.777</v>
      </c>
      <c r="E114" s="232">
        <f t="shared" ca="1" si="1"/>
        <v>3.4328720595192581</v>
      </c>
    </row>
    <row r="115" spans="1:5" x14ac:dyDescent="0.25">
      <c r="B115" s="47">
        <v>2022</v>
      </c>
      <c r="C115" s="199">
        <f t="shared" ca="1" si="3"/>
        <v>57.07</v>
      </c>
      <c r="D115" s="147">
        <f t="shared" ca="1" si="4"/>
        <v>1613.529</v>
      </c>
      <c r="E115" s="232">
        <f t="shared" ca="1" si="1"/>
        <v>3.5369677272611777</v>
      </c>
    </row>
    <row r="116" spans="1:5" x14ac:dyDescent="0.25">
      <c r="B116" s="47">
        <v>2023</v>
      </c>
      <c r="C116" s="199">
        <f t="shared" ca="1" si="3"/>
        <v>75.596999999999994</v>
      </c>
      <c r="D116" s="147">
        <f t="shared" ca="1" si="4"/>
        <v>1740.15</v>
      </c>
      <c r="E116" s="232">
        <f t="shared" ca="1" si="1"/>
        <v>4.3442806654598733</v>
      </c>
    </row>
    <row r="117" spans="1:5" x14ac:dyDescent="0.25">
      <c r="B117" s="47">
        <v>2024</v>
      </c>
      <c r="C117" s="199">
        <f t="shared" ca="1" si="3"/>
        <v>90.697000000000003</v>
      </c>
      <c r="D117" s="147">
        <f t="shared" ca="1" si="4"/>
        <v>1863.2629999999999</v>
      </c>
      <c r="E117" s="232">
        <f t="shared" ca="1" si="1"/>
        <v>4.8676434835017925</v>
      </c>
    </row>
    <row r="118" spans="1:5" x14ac:dyDescent="0.25">
      <c r="B118" s="47">
        <v>2025</v>
      </c>
      <c r="C118" s="199">
        <f t="shared" ca="1" si="3"/>
        <v>93.994</v>
      </c>
      <c r="D118" s="147">
        <f t="shared" ca="1" si="4"/>
        <v>1945.7729999999999</v>
      </c>
      <c r="E118" s="232">
        <f t="shared" ca="1" si="1"/>
        <v>4.8306765486004792</v>
      </c>
    </row>
    <row r="119" spans="1:5" x14ac:dyDescent="0.25">
      <c r="B119" s="47">
        <v>2026</v>
      </c>
      <c r="C119" s="199">
        <f t="shared" ca="1" si="3"/>
        <v>93.015988100000001</v>
      </c>
      <c r="D119" s="147">
        <f t="shared" ca="1" si="4"/>
        <v>1988.3399550000001</v>
      </c>
      <c r="E119" s="232">
        <f t="shared" ca="1" si="1"/>
        <v>4.6780726739457386</v>
      </c>
    </row>
    <row r="120" spans="1:5" x14ac:dyDescent="0.25">
      <c r="B120" s="47">
        <v>2027</v>
      </c>
      <c r="C120" s="199">
        <f t="shared" ca="1" si="3"/>
        <v>99.290234399999989</v>
      </c>
      <c r="D120" s="147">
        <f t="shared" ca="1" si="4"/>
        <v>2053.503604</v>
      </c>
      <c r="E120" s="232">
        <f t="shared" ca="1" si="1"/>
        <v>4.8351624125028803</v>
      </c>
    </row>
    <row r="121" spans="1:5" x14ac:dyDescent="0.25">
      <c r="B121" s="47">
        <v>2028</v>
      </c>
      <c r="C121" s="199">
        <f t="shared" ca="1" si="3"/>
        <v>106.79035560000001</v>
      </c>
      <c r="D121" s="147">
        <f t="shared" ca="1" si="4"/>
        <v>2117.362795</v>
      </c>
      <c r="E121" s="232">
        <f t="shared" ca="1" si="1"/>
        <v>5.0435549284316208</v>
      </c>
    </row>
    <row r="122" spans="1:5" x14ac:dyDescent="0.25">
      <c r="B122" s="47">
        <v>2029</v>
      </c>
      <c r="C122" s="199">
        <f t="shared" ref="C122:C124" ca="1" si="5">OFFSET(C$7,4*(ROW()-ROW(C$101)),0)</f>
        <v>110.4898285</v>
      </c>
      <c r="D122" s="147">
        <f t="shared" ca="1" si="4"/>
        <v>2176.82924</v>
      </c>
      <c r="E122" s="232">
        <f t="shared" ca="1" si="1"/>
        <v>5.0757232799757874</v>
      </c>
    </row>
    <row r="123" spans="1:5" x14ac:dyDescent="0.25">
      <c r="B123" s="47">
        <v>2030</v>
      </c>
      <c r="C123" s="199">
        <f t="shared" ca="1" si="5"/>
        <v>115.98042509999999</v>
      </c>
      <c r="D123" s="147">
        <f t="shared" ca="1" si="4"/>
        <v>2245.2481809999999</v>
      </c>
      <c r="E123" s="232">
        <f t="shared" ca="1" si="1"/>
        <v>5.1655948808449335</v>
      </c>
    </row>
    <row r="124" spans="1:5" x14ac:dyDescent="0.25">
      <c r="B124" s="47">
        <v>2031</v>
      </c>
      <c r="C124" s="199">
        <f t="shared" ca="1" si="5"/>
        <v>123.5782325</v>
      </c>
      <c r="D124" s="147">
        <f t="shared" ca="1" si="4"/>
        <v>2312.5576179999998</v>
      </c>
      <c r="E124" s="232">
        <f t="shared" ref="E124" ca="1" si="6">100*(C124/D124)</f>
        <v>5.3437904222631136</v>
      </c>
    </row>
    <row r="125" spans="1:5" x14ac:dyDescent="0.25">
      <c r="A125" s="354"/>
      <c r="B125" s="379" t="s">
        <v>136</v>
      </c>
      <c r="C125" s="330">
        <f ca="1">OFFSET(C$8,4*(ROW()-ROW(C$125)),0)</f>
        <v>92.715999999999994</v>
      </c>
      <c r="D125" s="330">
        <f ca="1">OFFSET(D$8,4*(ROW()-ROW(D$125)),0)</f>
        <v>1030.885</v>
      </c>
      <c r="E125" s="452">
        <f t="shared" ca="1" si="1"/>
        <v>8.9938256934575627</v>
      </c>
    </row>
    <row r="126" spans="1:5" x14ac:dyDescent="0.25">
      <c r="A126" s="354"/>
      <c r="B126" s="47" t="s">
        <v>137</v>
      </c>
      <c r="C126" s="147">
        <f t="shared" ref="C126:D148" ca="1" si="7">OFFSET(C$8,4*(ROW()-ROW(C$125)),0)</f>
        <v>68.903000000000006</v>
      </c>
      <c r="D126" s="147">
        <f t="shared" ca="1" si="7"/>
        <v>1057.3030000000001</v>
      </c>
      <c r="E126" s="232">
        <f t="shared" ca="1" si="1"/>
        <v>6.5168641345007066</v>
      </c>
    </row>
    <row r="127" spans="1:5" x14ac:dyDescent="0.25">
      <c r="A127" s="354"/>
      <c r="B127" s="47" t="s">
        <v>138</v>
      </c>
      <c r="C127" s="147">
        <f t="shared" ca="1" si="7"/>
        <v>63.976999999999997</v>
      </c>
      <c r="D127" s="147">
        <f t="shared" ca="1" si="7"/>
        <v>1071.4559999999999</v>
      </c>
      <c r="E127" s="232">
        <f t="shared" ca="1" si="1"/>
        <v>5.9710338082011765</v>
      </c>
    </row>
    <row r="128" spans="1:5" x14ac:dyDescent="0.25">
      <c r="A128" s="354"/>
      <c r="B128" s="47" t="s">
        <v>139</v>
      </c>
      <c r="C128" s="147">
        <f t="shared" ca="1" si="7"/>
        <v>61.637999999999998</v>
      </c>
      <c r="D128" s="147">
        <f t="shared" ca="1" si="7"/>
        <v>1098.6559999999999</v>
      </c>
      <c r="E128" s="232">
        <f t="shared" ca="1" si="1"/>
        <v>5.6103093233914896</v>
      </c>
    </row>
    <row r="129" spans="1:5" x14ac:dyDescent="0.25">
      <c r="A129" s="354"/>
      <c r="B129" s="152" t="s">
        <v>140</v>
      </c>
      <c r="C129" s="147">
        <f t="shared" ca="1" si="7"/>
        <v>61.301000000000002</v>
      </c>
      <c r="D129" s="147">
        <f t="shared" ca="1" si="7"/>
        <v>1134.597</v>
      </c>
      <c r="E129" s="232">
        <f t="shared" ca="1" si="1"/>
        <v>5.4028875450931038</v>
      </c>
    </row>
    <row r="130" spans="1:5" x14ac:dyDescent="0.25">
      <c r="B130" s="152" t="s">
        <v>141</v>
      </c>
      <c r="C130" s="147">
        <f t="shared" ca="1" si="7"/>
        <v>60.98</v>
      </c>
      <c r="D130" s="147">
        <f t="shared" ca="1" si="7"/>
        <v>1193.5740000000001</v>
      </c>
      <c r="E130" s="232">
        <f t="shared" ca="1" si="1"/>
        <v>5.1090254982095784</v>
      </c>
    </row>
    <row r="131" spans="1:5" x14ac:dyDescent="0.25">
      <c r="B131" s="152" t="s">
        <v>142</v>
      </c>
      <c r="C131" s="147">
        <f t="shared" ca="1" si="7"/>
        <v>59.192</v>
      </c>
      <c r="D131" s="147">
        <f t="shared" ca="1" si="7"/>
        <v>1228.019</v>
      </c>
      <c r="E131" s="232">
        <f t="shared" ca="1" si="1"/>
        <v>4.8201208613221782</v>
      </c>
    </row>
    <row r="132" spans="1:5" x14ac:dyDescent="0.25">
      <c r="B132" s="152" t="s">
        <v>143</v>
      </c>
      <c r="C132" s="147">
        <f t="shared" ca="1" si="7"/>
        <v>57.71</v>
      </c>
      <c r="D132" s="147">
        <f t="shared" ca="1" si="7"/>
        <v>1301.6559999999999</v>
      </c>
      <c r="E132" s="232">
        <f t="shared" ca="1" si="1"/>
        <v>4.4335830664937594</v>
      </c>
    </row>
    <row r="133" spans="1:5" x14ac:dyDescent="0.25">
      <c r="B133" s="152" t="s">
        <v>144</v>
      </c>
      <c r="C133" s="147">
        <f t="shared" ca="1" si="7"/>
        <v>56.865000000000002</v>
      </c>
      <c r="D133" s="147">
        <f t="shared" ca="1" si="7"/>
        <v>1314.0029999999999</v>
      </c>
      <c r="E133" s="232">
        <f t="shared" ca="1" si="1"/>
        <v>4.3276156903751373</v>
      </c>
    </row>
    <row r="134" spans="1:5" x14ac:dyDescent="0.25">
      <c r="B134" s="152" t="s">
        <v>145</v>
      </c>
      <c r="C134" s="147">
        <f t="shared" ca="1" si="7"/>
        <v>55.807000000000002</v>
      </c>
      <c r="D134" s="147">
        <f t="shared" ca="1" si="7"/>
        <v>1368.604</v>
      </c>
      <c r="E134" s="232">
        <f t="shared" ca="1" si="1"/>
        <v>4.0776586945529898</v>
      </c>
    </row>
    <row r="135" spans="1:5" x14ac:dyDescent="0.25">
      <c r="B135" s="152" t="s">
        <v>146</v>
      </c>
      <c r="C135" s="147">
        <f t="shared" ca="1" si="7"/>
        <v>56.902999999999999</v>
      </c>
      <c r="D135" s="147">
        <f t="shared" ca="1" si="7"/>
        <v>1410.8679999999999</v>
      </c>
      <c r="E135" s="232">
        <f t="shared" ca="1" si="1"/>
        <v>4.0331909150962391</v>
      </c>
    </row>
    <row r="136" spans="1:5" x14ac:dyDescent="0.25">
      <c r="B136" s="152" t="s">
        <v>147</v>
      </c>
      <c r="C136" s="147">
        <f t="shared" ca="1" si="7"/>
        <v>57.405000000000001</v>
      </c>
      <c r="D136" s="147">
        <f t="shared" ca="1" si="7"/>
        <v>1461.6949999999999</v>
      </c>
      <c r="E136" s="232">
        <f t="shared" ca="1" si="1"/>
        <v>3.9272898928983135</v>
      </c>
    </row>
    <row r="137" spans="1:5" x14ac:dyDescent="0.25">
      <c r="B137" s="152" t="s">
        <v>148</v>
      </c>
      <c r="C137" s="147">
        <f t="shared" ca="1" si="7"/>
        <v>53.01</v>
      </c>
      <c r="D137" s="147">
        <f t="shared" ca="1" si="7"/>
        <v>1468.7070000000001</v>
      </c>
      <c r="E137" s="232">
        <f t="shared" ca="1" si="1"/>
        <v>3.6092971572954982</v>
      </c>
    </row>
    <row r="138" spans="1:5" x14ac:dyDescent="0.25">
      <c r="B138" s="152" t="s">
        <v>149</v>
      </c>
      <c r="C138" s="147">
        <f t="shared" ca="1" si="7"/>
        <v>52.311</v>
      </c>
      <c r="D138" s="147">
        <f t="shared" ca="1" si="7"/>
        <v>1535.5260000000001</v>
      </c>
      <c r="E138" s="232">
        <f t="shared" ref="E138:E147" ca="1" si="8">100*(C138/D138)</f>
        <v>3.4067153535661392</v>
      </c>
    </row>
    <row r="139" spans="1:5" x14ac:dyDescent="0.25">
      <c r="B139" s="152" t="s">
        <v>150</v>
      </c>
      <c r="C139" s="147">
        <f t="shared" ca="1" si="7"/>
        <v>60.725999999999999</v>
      </c>
      <c r="D139" s="147">
        <f t="shared" ca="1" si="7"/>
        <v>1647.953</v>
      </c>
      <c r="E139" s="232">
        <f t="shared" ca="1" si="8"/>
        <v>3.6849351892924131</v>
      </c>
    </row>
    <row r="140" spans="1:5" x14ac:dyDescent="0.25">
      <c r="B140" s="152" t="s">
        <v>151</v>
      </c>
      <c r="C140" s="147">
        <f t="shared" ca="1" si="7"/>
        <v>80.563000000000002</v>
      </c>
      <c r="D140" s="147">
        <f t="shared" ca="1" si="7"/>
        <v>1768.778</v>
      </c>
      <c r="E140" s="232">
        <f t="shared" ca="1" si="8"/>
        <v>4.554726483481816</v>
      </c>
    </row>
    <row r="141" spans="1:5" x14ac:dyDescent="0.25">
      <c r="B141" s="152" t="s">
        <v>152</v>
      </c>
      <c r="C141" s="147">
        <f t="shared" ca="1" si="7"/>
        <v>92.341999999999999</v>
      </c>
      <c r="D141" s="147">
        <f t="shared" ca="1" si="7"/>
        <v>1891.7629999999999</v>
      </c>
      <c r="E141" s="232">
        <f t="shared" ca="1" si="8"/>
        <v>4.8812668394508192</v>
      </c>
    </row>
    <row r="142" spans="1:5" x14ac:dyDescent="0.25">
      <c r="B142" s="152" t="s">
        <v>153</v>
      </c>
      <c r="C142" s="147">
        <f t="shared" ca="1" si="7"/>
        <v>94.224999999999994</v>
      </c>
      <c r="D142" s="147">
        <f t="shared" ca="1" si="7"/>
        <v>1955.1559999999999</v>
      </c>
      <c r="E142" s="232">
        <f t="shared" ca="1" si="8"/>
        <v>4.8193085359940584</v>
      </c>
    </row>
    <row r="143" spans="1:5" x14ac:dyDescent="0.25">
      <c r="B143" s="152" t="s">
        <v>154</v>
      </c>
      <c r="C143" s="147">
        <f t="shared" ca="1" si="7"/>
        <v>93.012092499999994</v>
      </c>
      <c r="D143" s="147">
        <f t="shared" ca="1" si="7"/>
        <v>2002.7868460000002</v>
      </c>
      <c r="E143" s="232">
        <f t="shared" ca="1" si="8"/>
        <v>4.6441333827294358</v>
      </c>
    </row>
    <row r="144" spans="1:5" x14ac:dyDescent="0.25">
      <c r="B144" s="152" t="s">
        <v>155</v>
      </c>
      <c r="C144" s="147">
        <f t="shared" ca="1" si="7"/>
        <v>101.9666268</v>
      </c>
      <c r="D144" s="147">
        <f t="shared" ca="1" si="7"/>
        <v>2069.871725</v>
      </c>
      <c r="E144" s="232">
        <f t="shared" ca="1" si="8"/>
        <v>4.9262292715264753</v>
      </c>
    </row>
    <row r="145" spans="2:5" x14ac:dyDescent="0.25">
      <c r="B145" s="152" t="s">
        <v>156</v>
      </c>
      <c r="C145" s="147">
        <f t="shared" ca="1" si="7"/>
        <v>107.6670726</v>
      </c>
      <c r="D145" s="147">
        <f t="shared" ca="1" si="7"/>
        <v>2132.564151</v>
      </c>
      <c r="E145" s="232">
        <f t="shared" ca="1" si="8"/>
        <v>5.0487143633879832</v>
      </c>
    </row>
    <row r="146" spans="2:5" x14ac:dyDescent="0.25">
      <c r="B146" s="152" t="s">
        <v>157</v>
      </c>
      <c r="C146" s="147">
        <f t="shared" ca="1" si="7"/>
        <v>111.62476240000001</v>
      </c>
      <c r="D146" s="147">
        <f t="shared" ca="1" si="7"/>
        <v>2192.5772190000002</v>
      </c>
      <c r="E146" s="232">
        <f t="shared" ca="1" si="8"/>
        <v>5.0910299273705988</v>
      </c>
    </row>
    <row r="147" spans="2:5" x14ac:dyDescent="0.25">
      <c r="B147" s="152" t="s">
        <v>158</v>
      </c>
      <c r="C147" s="147">
        <f t="shared" ca="1" si="7"/>
        <v>117.79123809999999</v>
      </c>
      <c r="D147" s="147">
        <f t="shared" ca="1" si="7"/>
        <v>2263.0879289999998</v>
      </c>
      <c r="E147" s="232">
        <f t="shared" ca="1" si="8"/>
        <v>5.2048900350084448</v>
      </c>
    </row>
    <row r="148" spans="2:5" ht="15.75" thickBot="1" x14ac:dyDescent="0.3">
      <c r="B148" s="152" t="s">
        <v>649</v>
      </c>
      <c r="C148" s="147">
        <f t="shared" ca="1" si="7"/>
        <v>125.5278519</v>
      </c>
      <c r="D148" s="147">
        <f t="shared" ca="1" si="7"/>
        <v>2328.5203700000002</v>
      </c>
      <c r="E148" s="232">
        <f t="shared" ref="E148" ca="1" si="9">100*(C148/D148)</f>
        <v>5.3908848519113439</v>
      </c>
    </row>
    <row r="149" spans="2:5" ht="15" customHeight="1" x14ac:dyDescent="0.25">
      <c r="B149" s="655" t="s">
        <v>159</v>
      </c>
      <c r="C149" s="656"/>
      <c r="D149" s="656"/>
      <c r="E149" s="657"/>
    </row>
    <row r="150" spans="2:5" ht="15" customHeight="1" x14ac:dyDescent="0.25">
      <c r="B150" s="650" t="s">
        <v>623</v>
      </c>
      <c r="C150" s="651"/>
      <c r="D150" s="651"/>
      <c r="E150" s="652"/>
    </row>
    <row r="151" spans="2:5" ht="15" customHeight="1" thickBot="1" x14ac:dyDescent="0.3">
      <c r="B151" s="658" t="s">
        <v>624</v>
      </c>
      <c r="C151" s="659"/>
      <c r="D151" s="659"/>
      <c r="E151" s="660"/>
    </row>
  </sheetData>
  <mergeCells count="4">
    <mergeCell ref="B2:E2"/>
    <mergeCell ref="B149:E149"/>
    <mergeCell ref="B150:E150"/>
    <mergeCell ref="B151:E151"/>
  </mergeCells>
  <phoneticPr fontId="91" type="noConversion"/>
  <hyperlinks>
    <hyperlink ref="A1" location="Contents!A1" display="Back to contents" xr:uid="{73335F35-D089-4A34-8F64-576D9C657658}"/>
  </hyperlinks>
  <pageMargins left="0.70866141732283472" right="0.70866141732283472" top="0.74803149606299213" bottom="0.74803149606299213" header="0.31496062992125984" footer="0.31496062992125984"/>
  <pageSetup paperSize="9" scale="47" orientation="portrait" r:id="rId1"/>
  <headerFooter>
    <oddHeader>&amp;C&amp;8March 2018 Economic and fiscal outlook: Supplementary economy tables</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873A8-E64F-4E4C-9918-F40F17A8AE0A}">
  <sheetPr codeName="Sheet20">
    <tabColor theme="5"/>
  </sheetPr>
  <dimension ref="A1:L33"/>
  <sheetViews>
    <sheetView zoomScaleNormal="100" zoomScaleSheetLayoutView="100" workbookViewId="0"/>
  </sheetViews>
  <sheetFormatPr defaultColWidth="8.77734375" defaultRowHeight="15" x14ac:dyDescent="0.25"/>
  <cols>
    <col min="1" max="1" width="9.21875" style="5" customWidth="1"/>
    <col min="2" max="2" width="33.21875" style="5" customWidth="1"/>
    <col min="3" max="6" width="10.21875" style="5" customWidth="1"/>
    <col min="7" max="16384" width="8.77734375" style="5"/>
  </cols>
  <sheetData>
    <row r="1" spans="1:12" ht="35.1" customHeight="1" thickBot="1" x14ac:dyDescent="0.3">
      <c r="A1" s="9" t="s">
        <v>22</v>
      </c>
      <c r="B1" s="477"/>
      <c r="C1" s="480"/>
      <c r="D1" s="525"/>
      <c r="E1" s="321"/>
      <c r="F1" s="321"/>
      <c r="G1" s="321"/>
      <c r="H1" s="321"/>
      <c r="I1" s="321"/>
      <c r="J1" s="321"/>
    </row>
    <row r="2" spans="1:12" ht="20.25" customHeight="1" thickBot="1" x14ac:dyDescent="0.3">
      <c r="A2" s="64"/>
      <c r="B2" s="661" t="s">
        <v>625</v>
      </c>
      <c r="C2" s="662"/>
      <c r="D2" s="662"/>
      <c r="E2" s="662"/>
      <c r="F2" s="662"/>
      <c r="G2" s="662"/>
      <c r="H2" s="662"/>
      <c r="I2" s="662"/>
      <c r="J2" s="663"/>
    </row>
    <row r="3" spans="1:12" ht="15.75" x14ac:dyDescent="0.25">
      <c r="B3" s="482"/>
      <c r="C3" s="275"/>
      <c r="D3" s="275" t="s">
        <v>153</v>
      </c>
      <c r="E3" s="275" t="s">
        <v>154</v>
      </c>
      <c r="F3" s="275" t="s">
        <v>155</v>
      </c>
      <c r="G3" s="275" t="s">
        <v>156</v>
      </c>
      <c r="H3" s="275" t="s">
        <v>626</v>
      </c>
      <c r="I3" s="275" t="s">
        <v>158</v>
      </c>
      <c r="J3" s="299" t="s">
        <v>649</v>
      </c>
    </row>
    <row r="4" spans="1:12" ht="19.5" customHeight="1" x14ac:dyDescent="0.25">
      <c r="B4" s="483" t="s">
        <v>627</v>
      </c>
      <c r="C4" s="484"/>
      <c r="D4" s="484"/>
      <c r="E4" s="484"/>
      <c r="F4" s="484"/>
      <c r="G4" s="484"/>
      <c r="H4" s="484"/>
      <c r="I4" s="484"/>
      <c r="J4" s="473"/>
    </row>
    <row r="5" spans="1:12" ht="15.75" customHeight="1" x14ac:dyDescent="0.25">
      <c r="B5" s="485" t="s">
        <v>628</v>
      </c>
      <c r="C5" s="70"/>
      <c r="D5" s="70">
        <v>4.2</v>
      </c>
      <c r="E5" s="70">
        <v>3.2</v>
      </c>
      <c r="F5" s="70">
        <v>3.3</v>
      </c>
      <c r="G5" s="70">
        <v>3</v>
      </c>
      <c r="H5" s="70">
        <v>2.8</v>
      </c>
      <c r="I5" s="70">
        <v>2.7</v>
      </c>
      <c r="J5" s="497">
        <v>2.5</v>
      </c>
    </row>
    <row r="6" spans="1:12" ht="15.75" customHeight="1" x14ac:dyDescent="0.25">
      <c r="B6" s="485" t="s">
        <v>629</v>
      </c>
      <c r="C6" s="70"/>
      <c r="D6" s="70">
        <v>4</v>
      </c>
      <c r="E6" s="70">
        <v>4</v>
      </c>
      <c r="F6" s="70">
        <v>4</v>
      </c>
      <c r="G6" s="70">
        <v>4</v>
      </c>
      <c r="H6" s="70">
        <v>4</v>
      </c>
      <c r="I6" s="70">
        <v>4</v>
      </c>
      <c r="J6" s="497">
        <v>4</v>
      </c>
    </row>
    <row r="7" spans="1:12" ht="15.75" customHeight="1" x14ac:dyDescent="0.25">
      <c r="B7" s="486" t="s">
        <v>630</v>
      </c>
      <c r="C7" s="228"/>
      <c r="D7" s="496">
        <v>4</v>
      </c>
      <c r="E7" s="496">
        <v>4</v>
      </c>
      <c r="F7" s="496">
        <v>4</v>
      </c>
      <c r="G7" s="496">
        <v>4</v>
      </c>
      <c r="H7" s="496">
        <v>4</v>
      </c>
      <c r="I7" s="496">
        <v>4</v>
      </c>
      <c r="J7" s="498">
        <v>4</v>
      </c>
    </row>
    <row r="8" spans="1:12" ht="18.75" customHeight="1" x14ac:dyDescent="0.25">
      <c r="B8" s="487" t="s">
        <v>631</v>
      </c>
      <c r="C8" s="488"/>
      <c r="D8" s="489"/>
      <c r="E8" s="489"/>
      <c r="F8" s="489"/>
      <c r="G8" s="489"/>
      <c r="H8" s="489"/>
      <c r="I8" s="489"/>
      <c r="J8" s="476"/>
    </row>
    <row r="9" spans="1:12" ht="15.75" customHeight="1" x14ac:dyDescent="0.25">
      <c r="B9" s="485" t="s">
        <v>632</v>
      </c>
      <c r="C9" s="70"/>
      <c r="D9" s="70">
        <v>7.5</v>
      </c>
      <c r="E9" s="70">
        <v>4.5999999999999996</v>
      </c>
      <c r="F9" s="70">
        <v>4.9000000000000004</v>
      </c>
      <c r="G9" s="70">
        <v>5.5</v>
      </c>
      <c r="H9" s="70">
        <v>3.9</v>
      </c>
      <c r="I9" s="70">
        <v>3.9</v>
      </c>
      <c r="J9" s="497">
        <v>3.7</v>
      </c>
    </row>
    <row r="10" spans="1:12" ht="15.75" customHeight="1" thickBot="1" x14ac:dyDescent="0.3">
      <c r="B10" s="485" t="s">
        <v>633</v>
      </c>
      <c r="C10" s="70"/>
      <c r="D10" s="70">
        <v>15.7</v>
      </c>
      <c r="E10" s="70">
        <v>7.5</v>
      </c>
      <c r="F10" s="70">
        <v>7.6</v>
      </c>
      <c r="G10" s="70">
        <v>7.9</v>
      </c>
      <c r="H10" s="70">
        <v>6.5</v>
      </c>
      <c r="I10" s="70">
        <v>6.6</v>
      </c>
      <c r="J10" s="499">
        <v>6.5</v>
      </c>
    </row>
    <row r="11" spans="1:12" x14ac:dyDescent="0.25">
      <c r="B11" s="664" t="s">
        <v>289</v>
      </c>
      <c r="C11" s="665"/>
      <c r="D11" s="665"/>
      <c r="E11" s="665"/>
      <c r="F11" s="665"/>
      <c r="G11" s="665"/>
      <c r="H11" s="665"/>
      <c r="I11" s="665"/>
      <c r="J11" s="666"/>
      <c r="K11" s="363"/>
      <c r="L11" s="495"/>
    </row>
    <row r="12" spans="1:12" ht="33" customHeight="1" x14ac:dyDescent="0.25">
      <c r="B12" s="667" t="s">
        <v>634</v>
      </c>
      <c r="C12" s="602"/>
      <c r="D12" s="602"/>
      <c r="E12" s="602"/>
      <c r="F12" s="602"/>
      <c r="G12" s="602"/>
      <c r="H12" s="602"/>
      <c r="I12" s="602"/>
      <c r="J12" s="668"/>
    </row>
    <row r="13" spans="1:12" ht="12" customHeight="1" x14ac:dyDescent="0.25">
      <c r="B13" s="672" t="s">
        <v>654</v>
      </c>
      <c r="C13" s="673"/>
      <c r="D13" s="673"/>
      <c r="E13" s="673"/>
      <c r="F13" s="673"/>
      <c r="G13" s="673"/>
      <c r="H13" s="673"/>
      <c r="I13" s="673"/>
      <c r="J13" s="674"/>
      <c r="K13" s="495"/>
      <c r="L13" s="495"/>
    </row>
    <row r="14" spans="1:12" ht="23.25" customHeight="1" thickBot="1" x14ac:dyDescent="0.3">
      <c r="B14" s="669" t="s">
        <v>644</v>
      </c>
      <c r="C14" s="670"/>
      <c r="D14" s="670"/>
      <c r="E14" s="670"/>
      <c r="F14" s="670"/>
      <c r="G14" s="670"/>
      <c r="H14" s="670"/>
      <c r="I14" s="670"/>
      <c r="J14" s="671"/>
    </row>
    <row r="18" spans="2:6" x14ac:dyDescent="0.25">
      <c r="B18" s="115"/>
    </row>
    <row r="19" spans="2:6" x14ac:dyDescent="0.25">
      <c r="C19" s="10"/>
      <c r="D19" s="10"/>
    </row>
    <row r="20" spans="2:6" x14ac:dyDescent="0.25">
      <c r="C20" s="10"/>
      <c r="D20" s="10"/>
    </row>
    <row r="21" spans="2:6" x14ac:dyDescent="0.25">
      <c r="C21" s="10"/>
      <c r="D21" s="10"/>
      <c r="E21" s="10"/>
      <c r="F21" s="10"/>
    </row>
    <row r="22" spans="2:6" x14ac:dyDescent="0.25">
      <c r="C22" s="10"/>
      <c r="D22" s="10"/>
      <c r="E22" s="10"/>
      <c r="F22" s="10"/>
    </row>
    <row r="23" spans="2:6" x14ac:dyDescent="0.25">
      <c r="C23" s="10"/>
      <c r="D23" s="10"/>
      <c r="E23" s="10"/>
      <c r="F23" s="10"/>
    </row>
    <row r="24" spans="2:6" x14ac:dyDescent="0.25">
      <c r="C24" s="10"/>
      <c r="D24" s="10"/>
      <c r="E24" s="10"/>
      <c r="F24" s="10"/>
    </row>
    <row r="25" spans="2:6" x14ac:dyDescent="0.25">
      <c r="C25" s="10"/>
      <c r="D25" s="10"/>
      <c r="E25" s="10"/>
      <c r="F25" s="10"/>
    </row>
    <row r="26" spans="2:6" x14ac:dyDescent="0.25">
      <c r="C26" s="10"/>
      <c r="D26" s="10"/>
      <c r="E26" s="10"/>
      <c r="F26" s="10"/>
    </row>
    <row r="27" spans="2:6" x14ac:dyDescent="0.25">
      <c r="C27" s="10"/>
      <c r="D27" s="10"/>
      <c r="E27" s="10"/>
      <c r="F27" s="10"/>
    </row>
    <row r="28" spans="2:6" x14ac:dyDescent="0.25">
      <c r="C28" s="10"/>
      <c r="D28" s="10"/>
      <c r="E28" s="10"/>
      <c r="F28" s="10"/>
    </row>
    <row r="29" spans="2:6" x14ac:dyDescent="0.25">
      <c r="C29" s="10"/>
      <c r="D29" s="10"/>
      <c r="E29" s="10"/>
      <c r="F29" s="10"/>
    </row>
    <row r="30" spans="2:6" x14ac:dyDescent="0.25">
      <c r="C30" s="10"/>
      <c r="D30" s="10"/>
      <c r="E30" s="10"/>
      <c r="F30" s="10"/>
    </row>
    <row r="31" spans="2:6" x14ac:dyDescent="0.25">
      <c r="C31" s="10"/>
      <c r="D31" s="10"/>
      <c r="E31" s="10"/>
      <c r="F31" s="10"/>
    </row>
    <row r="32" spans="2:6" x14ac:dyDescent="0.25">
      <c r="C32" s="10"/>
      <c r="D32" s="10"/>
      <c r="E32" s="10"/>
      <c r="F32" s="10"/>
    </row>
    <row r="33" spans="3:6" x14ac:dyDescent="0.25">
      <c r="C33" s="10"/>
      <c r="D33" s="10"/>
      <c r="E33" s="10"/>
      <c r="F33" s="10"/>
    </row>
  </sheetData>
  <mergeCells count="5">
    <mergeCell ref="B2:J2"/>
    <mergeCell ref="B11:J11"/>
    <mergeCell ref="B12:J12"/>
    <mergeCell ref="B14:J14"/>
    <mergeCell ref="B13:J13"/>
  </mergeCells>
  <phoneticPr fontId="91" type="noConversion"/>
  <hyperlinks>
    <hyperlink ref="A1" location="Contents!A1" display="Back to contents" xr:uid="{C16D6C89-EC26-42AF-AFCD-8C098000F6F5}"/>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0118-33B0-42BE-867B-14CF6998C647}">
  <sheetPr codeName="Sheet21">
    <tabColor theme="5"/>
  </sheetPr>
  <dimension ref="A1:K316"/>
  <sheetViews>
    <sheetView zoomScaleNormal="100" zoomScaleSheetLayoutView="100" workbookViewId="0"/>
  </sheetViews>
  <sheetFormatPr defaultColWidth="11.44140625" defaultRowHeight="15" x14ac:dyDescent="0.25"/>
  <cols>
    <col min="1" max="1" width="9.21875" style="17" customWidth="1"/>
    <col min="2" max="2" width="13.109375" style="17" customWidth="1"/>
    <col min="3" max="3" width="16.21875" style="17" customWidth="1"/>
    <col min="4" max="4" width="17.77734375" style="17" customWidth="1"/>
    <col min="5" max="5" width="21.21875" style="17" customWidth="1"/>
    <col min="6" max="6" width="21.44140625" style="17" customWidth="1"/>
    <col min="7" max="7" width="21.77734375" style="17" customWidth="1"/>
    <col min="8" max="16384" width="11.44140625" style="17"/>
  </cols>
  <sheetData>
    <row r="1" spans="1:11" ht="35.1" customHeight="1" thickBot="1" x14ac:dyDescent="0.3">
      <c r="A1" s="9" t="s">
        <v>22</v>
      </c>
      <c r="B1" s="277"/>
      <c r="C1" s="525"/>
      <c r="D1" s="277"/>
      <c r="E1" s="277"/>
      <c r="F1" s="277"/>
      <c r="G1" s="277"/>
    </row>
    <row r="2" spans="1:11" ht="19.5" customHeight="1" thickBot="1" x14ac:dyDescent="0.3">
      <c r="B2" s="554" t="s">
        <v>635</v>
      </c>
      <c r="C2" s="637"/>
      <c r="D2" s="637"/>
      <c r="E2" s="637"/>
      <c r="F2" s="637"/>
      <c r="G2" s="555"/>
    </row>
    <row r="3" spans="1:11" ht="19.5" customHeight="1" x14ac:dyDescent="0.25">
      <c r="B3" s="341"/>
      <c r="C3" s="675" t="s">
        <v>273</v>
      </c>
      <c r="D3" s="675"/>
      <c r="E3" s="675"/>
      <c r="F3" s="675"/>
      <c r="G3" s="676"/>
    </row>
    <row r="4" spans="1:11" ht="33" customHeight="1" x14ac:dyDescent="0.25">
      <c r="B4" s="342"/>
      <c r="C4" s="40" t="s">
        <v>636</v>
      </c>
      <c r="D4" s="40" t="s">
        <v>637</v>
      </c>
      <c r="E4" s="40" t="s">
        <v>638</v>
      </c>
      <c r="F4" s="40" t="s">
        <v>639</v>
      </c>
      <c r="G4" s="343" t="s">
        <v>640</v>
      </c>
    </row>
    <row r="5" spans="1:11" x14ac:dyDescent="0.25">
      <c r="B5" s="51" t="s">
        <v>87</v>
      </c>
      <c r="C5" s="124">
        <v>2.0214771414961641</v>
      </c>
      <c r="D5" s="124">
        <v>1.4659200702132003</v>
      </c>
      <c r="E5" s="124">
        <v>1.4393743199698772</v>
      </c>
      <c r="F5" s="124">
        <v>1.2593332637434784</v>
      </c>
      <c r="G5" s="453">
        <v>2.4178554434079125</v>
      </c>
      <c r="I5" s="481"/>
      <c r="J5" s="481"/>
      <c r="K5" s="481"/>
    </row>
    <row r="6" spans="1:11" x14ac:dyDescent="0.25">
      <c r="B6" s="51" t="s">
        <v>88</v>
      </c>
      <c r="C6" s="124">
        <v>1.7955231432130292</v>
      </c>
      <c r="D6" s="124">
        <v>10.208316391482676</v>
      </c>
      <c r="E6" s="124">
        <v>2.6550461583910501</v>
      </c>
      <c r="F6" s="124">
        <v>0.84902124288503966</v>
      </c>
      <c r="G6" s="453">
        <v>2.6282252765114311</v>
      </c>
    </row>
    <row r="7" spans="1:11" x14ac:dyDescent="0.25">
      <c r="B7" s="51" t="s">
        <v>89</v>
      </c>
      <c r="C7" s="124">
        <v>2.1017070543493555</v>
      </c>
      <c r="D7" s="124">
        <v>6.3748500565221189</v>
      </c>
      <c r="E7" s="124">
        <v>-0.64035619846716241</v>
      </c>
      <c r="F7" s="124">
        <v>1.1251883482652714</v>
      </c>
      <c r="G7" s="453">
        <v>2.2752049217431347</v>
      </c>
    </row>
    <row r="8" spans="1:11" x14ac:dyDescent="0.25">
      <c r="B8" s="51" t="s">
        <v>90</v>
      </c>
      <c r="C8" s="124">
        <v>1.8531285141663245</v>
      </c>
      <c r="D8" s="124">
        <v>-1.7742005404863925</v>
      </c>
      <c r="E8" s="124">
        <v>-1.7482827411593793</v>
      </c>
      <c r="F8" s="124">
        <v>0.97742261186268831</v>
      </c>
      <c r="G8" s="453">
        <v>2.1234753503575954</v>
      </c>
    </row>
    <row r="9" spans="1:11" x14ac:dyDescent="0.25">
      <c r="B9" s="51" t="s">
        <v>91</v>
      </c>
      <c r="C9" s="124">
        <v>1.263995624237646</v>
      </c>
      <c r="D9" s="124">
        <v>4.8468339566760665</v>
      </c>
      <c r="E9" s="124">
        <v>1.4649606343720034</v>
      </c>
      <c r="F9" s="124">
        <v>1.0504336198800868</v>
      </c>
      <c r="G9" s="453">
        <v>2.1635750184683555</v>
      </c>
    </row>
    <row r="10" spans="1:11" x14ac:dyDescent="0.25">
      <c r="B10" s="51" t="s">
        <v>92</v>
      </c>
      <c r="C10" s="124">
        <v>1.6888540278031439</v>
      </c>
      <c r="D10" s="124">
        <v>-6.189540060715581</v>
      </c>
      <c r="E10" s="124">
        <v>-15.303965395968033</v>
      </c>
      <c r="F10" s="124">
        <v>0.99744959009342438</v>
      </c>
      <c r="G10" s="453">
        <v>1.6744609887743289</v>
      </c>
    </row>
    <row r="11" spans="1:11" x14ac:dyDescent="0.25">
      <c r="B11" s="51" t="s">
        <v>93</v>
      </c>
      <c r="C11" s="124">
        <v>0.86752929173870008</v>
      </c>
      <c r="D11" s="124">
        <v>-6.2414053690502014</v>
      </c>
      <c r="E11" s="124">
        <v>-11.537858999232608</v>
      </c>
      <c r="F11" s="124">
        <v>1.503567161832442</v>
      </c>
      <c r="G11" s="453">
        <v>1.0338966094097568</v>
      </c>
    </row>
    <row r="12" spans="1:11" x14ac:dyDescent="0.25">
      <c r="B12" s="51" t="s">
        <v>94</v>
      </c>
      <c r="C12" s="124">
        <v>0.3491371652951436</v>
      </c>
      <c r="D12" s="124">
        <v>-8.3639481435351932</v>
      </c>
      <c r="E12" s="124">
        <v>-9.8797257529124831</v>
      </c>
      <c r="F12" s="124">
        <v>1.1508457669899164</v>
      </c>
      <c r="G12" s="453">
        <v>1.5019713284125658</v>
      </c>
    </row>
    <row r="13" spans="1:11" x14ac:dyDescent="0.25">
      <c r="B13" s="51" t="s">
        <v>95</v>
      </c>
      <c r="C13" s="124">
        <v>0.1101687904882187</v>
      </c>
      <c r="D13" s="124">
        <v>-8.3643672680033134</v>
      </c>
      <c r="E13" s="124">
        <v>-2.7039404121753097</v>
      </c>
      <c r="F13" s="124">
        <v>0.46357518359596561</v>
      </c>
      <c r="G13" s="453">
        <v>1.883960294356668</v>
      </c>
    </row>
    <row r="14" spans="1:11" x14ac:dyDescent="0.25">
      <c r="B14" s="51" t="s">
        <v>96</v>
      </c>
      <c r="C14" s="124">
        <v>1.8700858426279332E-2</v>
      </c>
      <c r="D14" s="124">
        <v>1.5022501417804257</v>
      </c>
      <c r="E14" s="124">
        <v>17.418165087935922</v>
      </c>
      <c r="F14" s="124">
        <v>1.7446102140844966</v>
      </c>
      <c r="G14" s="453">
        <v>2.0224942890246789</v>
      </c>
    </row>
    <row r="15" spans="1:11" x14ac:dyDescent="0.25">
      <c r="B15" s="51" t="s">
        <v>97</v>
      </c>
      <c r="C15" s="124">
        <v>0.71832198034664785</v>
      </c>
      <c r="D15" s="124">
        <v>1.6504218764832768</v>
      </c>
      <c r="E15" s="124">
        <v>17.888734782854687</v>
      </c>
      <c r="F15" s="124">
        <v>2.4749143691751518</v>
      </c>
      <c r="G15" s="453">
        <v>2.8687183224347379</v>
      </c>
    </row>
    <row r="16" spans="1:11" x14ac:dyDescent="0.25">
      <c r="B16" s="51" t="s">
        <v>98</v>
      </c>
      <c r="C16" s="124">
        <v>2.8759177953038506</v>
      </c>
      <c r="D16" s="124">
        <v>22.385758916133636</v>
      </c>
      <c r="E16" s="124">
        <v>26.090298440061165</v>
      </c>
      <c r="F16" s="124">
        <v>4.0110615104102409</v>
      </c>
      <c r="G16" s="453">
        <v>3.8126263979903374</v>
      </c>
    </row>
    <row r="17" spans="2:7" x14ac:dyDescent="0.25">
      <c r="B17" s="51" t="s">
        <v>99</v>
      </c>
      <c r="C17" s="124">
        <v>4.7061148257465213</v>
      </c>
      <c r="D17" s="124">
        <v>22.718462654655958</v>
      </c>
      <c r="E17" s="124">
        <v>26.408800789805852</v>
      </c>
      <c r="F17" s="124">
        <v>6.4120823977495078</v>
      </c>
      <c r="G17" s="453">
        <v>3.824124816338581</v>
      </c>
    </row>
    <row r="18" spans="2:7" x14ac:dyDescent="0.25">
      <c r="B18" s="51" t="s">
        <v>100</v>
      </c>
      <c r="C18" s="124">
        <v>7.2206694395236859</v>
      </c>
      <c r="D18" s="124">
        <v>70.023900538131429</v>
      </c>
      <c r="E18" s="124">
        <v>37.389063756807658</v>
      </c>
      <c r="F18" s="124">
        <v>6.7476753013803181</v>
      </c>
      <c r="G18" s="453">
        <v>5.2566343806959903</v>
      </c>
    </row>
    <row r="19" spans="2:7" x14ac:dyDescent="0.25">
      <c r="B19" s="51" t="s">
        <v>101</v>
      </c>
      <c r="C19" s="124">
        <v>10.962539191863229</v>
      </c>
      <c r="D19" s="124">
        <v>70.38840331187221</v>
      </c>
      <c r="E19" s="124">
        <v>35.849119116694148</v>
      </c>
      <c r="F19" s="124">
        <v>6.5803118827376883</v>
      </c>
      <c r="G19" s="453">
        <v>6.0871395770678127</v>
      </c>
    </row>
    <row r="20" spans="2:7" x14ac:dyDescent="0.25">
      <c r="B20" s="51" t="s">
        <v>102</v>
      </c>
      <c r="C20" s="124">
        <v>12.791835675534591</v>
      </c>
      <c r="D20" s="124">
        <v>90.39879257089207</v>
      </c>
      <c r="E20" s="124">
        <v>18.50303538597182</v>
      </c>
      <c r="F20" s="124">
        <v>6.6363269326767504</v>
      </c>
      <c r="G20" s="453">
        <v>7.0188887826792445</v>
      </c>
    </row>
    <row r="21" spans="2:7" x14ac:dyDescent="0.25">
      <c r="B21" s="6" t="s">
        <v>103</v>
      </c>
      <c r="C21" s="124">
        <v>14.112583415506808</v>
      </c>
      <c r="D21" s="124">
        <v>91.363224538685088</v>
      </c>
      <c r="E21" s="124">
        <v>2.7730582947484761</v>
      </c>
      <c r="F21" s="124">
        <v>6.1742300239517656</v>
      </c>
      <c r="G21" s="453">
        <v>6.786690275046503</v>
      </c>
    </row>
    <row r="22" spans="2:7" x14ac:dyDescent="0.25">
      <c r="B22" s="6" t="s">
        <v>104</v>
      </c>
      <c r="C22" s="124">
        <v>15.460541420643992</v>
      </c>
      <c r="D22" s="124">
        <v>25.09128354540977</v>
      </c>
      <c r="E22" s="124">
        <v>-15.14493070408135</v>
      </c>
      <c r="F22" s="124">
        <v>7.4537720235515526</v>
      </c>
      <c r="G22" s="453">
        <v>7.2349979852663671</v>
      </c>
    </row>
    <row r="23" spans="2:7" x14ac:dyDescent="0.25">
      <c r="B23" s="6" t="s">
        <v>105</v>
      </c>
      <c r="C23" s="124">
        <v>12.528536185486905</v>
      </c>
      <c r="D23" s="124">
        <v>5.1407930756069753</v>
      </c>
      <c r="E23" s="124">
        <v>-16.895557653577818</v>
      </c>
      <c r="F23" s="124">
        <v>6.5027937739758679</v>
      </c>
      <c r="G23" s="453">
        <v>7.1870558297291165</v>
      </c>
    </row>
    <row r="24" spans="2:7" x14ac:dyDescent="0.25">
      <c r="B24" s="6" t="s">
        <v>106</v>
      </c>
      <c r="C24" s="124">
        <v>9.7068807967235937</v>
      </c>
      <c r="D24" s="124">
        <v>-22.067241821508521</v>
      </c>
      <c r="E24" s="124">
        <v>-9.707065440970819</v>
      </c>
      <c r="F24" s="124">
        <v>4.7828654347526367</v>
      </c>
      <c r="G24" s="453">
        <v>5.9861490094480052</v>
      </c>
    </row>
    <row r="25" spans="2:7" x14ac:dyDescent="0.25">
      <c r="B25" s="6" t="s">
        <v>107</v>
      </c>
      <c r="C25" s="124">
        <v>6.9818751702566795</v>
      </c>
      <c r="D25" s="124">
        <v>-18.666407606102066</v>
      </c>
      <c r="E25" s="124">
        <v>-6.5560967666422165</v>
      </c>
      <c r="F25" s="124">
        <v>3.4326868381351572</v>
      </c>
      <c r="G25" s="453">
        <v>5.9894504822930683</v>
      </c>
    </row>
    <row r="26" spans="2:7" x14ac:dyDescent="0.25">
      <c r="B26" s="6" t="s">
        <v>108</v>
      </c>
      <c r="C26" s="460">
        <v>3.4520261096887994</v>
      </c>
      <c r="D26" s="460">
        <v>-28.06188822241219</v>
      </c>
      <c r="E26" s="460">
        <v>1.5087431055149869</v>
      </c>
      <c r="F26" s="460">
        <v>1.5033477953350083</v>
      </c>
      <c r="G26" s="461">
        <v>5.8827970928361006</v>
      </c>
    </row>
    <row r="27" spans="2:7" x14ac:dyDescent="0.25">
      <c r="B27" s="6" t="s">
        <v>109</v>
      </c>
      <c r="C27" s="460">
        <v>2.6318266234162557</v>
      </c>
      <c r="D27" s="460">
        <v>-20.834742758287206</v>
      </c>
      <c r="E27" s="460">
        <v>-4.4415768136270906</v>
      </c>
      <c r="F27" s="460">
        <v>1.3361999696033244</v>
      </c>
      <c r="G27" s="461">
        <v>5.4723358828207891</v>
      </c>
    </row>
    <row r="28" spans="2:7" x14ac:dyDescent="0.25">
      <c r="B28" s="6" t="s">
        <v>110</v>
      </c>
      <c r="C28" s="460">
        <v>2.8854325414247484</v>
      </c>
      <c r="D28" s="460">
        <v>-6.612045102723096</v>
      </c>
      <c r="E28" s="460">
        <v>-10.189426731791052</v>
      </c>
      <c r="F28" s="460">
        <v>1.5178822964626804</v>
      </c>
      <c r="G28" s="461">
        <v>4.9488476901517364</v>
      </c>
    </row>
    <row r="29" spans="2:7" x14ac:dyDescent="0.25">
      <c r="B29" s="6" t="s">
        <v>111</v>
      </c>
      <c r="C29" s="460">
        <v>3.7460105087074203</v>
      </c>
      <c r="D29" s="460">
        <v>-9.8262450373919457</v>
      </c>
      <c r="E29" s="460">
        <v>-3.3293762888625622</v>
      </c>
      <c r="F29" s="460">
        <v>1.7045248124506251</v>
      </c>
      <c r="G29" s="461">
        <v>5.098697382008166</v>
      </c>
    </row>
    <row r="30" spans="2:7" x14ac:dyDescent="0.25">
      <c r="B30" s="6" t="s">
        <v>112</v>
      </c>
      <c r="C30" s="460">
        <v>4.5810587749242071</v>
      </c>
      <c r="D30" s="460">
        <v>9.1068592043429533</v>
      </c>
      <c r="E30" s="460">
        <v>-10.022741551874493</v>
      </c>
      <c r="F30" s="460">
        <v>1.6714680304326102</v>
      </c>
      <c r="G30" s="461">
        <v>5.2833378160806577</v>
      </c>
    </row>
    <row r="31" spans="2:7" x14ac:dyDescent="0.25">
      <c r="B31" s="6" t="s">
        <v>113</v>
      </c>
      <c r="C31" s="460">
        <v>5.1275630012558526</v>
      </c>
      <c r="D31" s="460">
        <v>10.179081849588488</v>
      </c>
      <c r="E31" s="460">
        <v>-4.457236212695137</v>
      </c>
      <c r="F31" s="460">
        <v>1.6508971071119038</v>
      </c>
      <c r="G31" s="461">
        <v>5.1683012671830175</v>
      </c>
    </row>
    <row r="32" spans="2:7" x14ac:dyDescent="0.25">
      <c r="B32" s="6" t="s">
        <v>114</v>
      </c>
      <c r="C32" s="460">
        <v>4.7042231473182206</v>
      </c>
      <c r="D32" s="460">
        <v>3.0242045188884736</v>
      </c>
      <c r="E32" s="460">
        <v>1.1921851543538864</v>
      </c>
      <c r="F32" s="460">
        <v>1.2878667805640731</v>
      </c>
      <c r="G32" s="461">
        <v>4.9491051387277496</v>
      </c>
    </row>
    <row r="33" spans="2:7" x14ac:dyDescent="0.25">
      <c r="B33" s="6" t="s">
        <v>115</v>
      </c>
      <c r="C33" s="460">
        <v>3.6553824829361758</v>
      </c>
      <c r="D33" s="460">
        <v>2.4818761310089421</v>
      </c>
      <c r="E33" s="460">
        <v>0.44201441145919063</v>
      </c>
      <c r="F33" s="460">
        <v>1.154921292523281</v>
      </c>
      <c r="G33" s="461">
        <v>4.8453422732054552</v>
      </c>
    </row>
    <row r="34" spans="2:7" x14ac:dyDescent="0.25">
      <c r="B34" s="6" t="s">
        <v>116</v>
      </c>
      <c r="C34" s="460">
        <v>2.4031540796607409</v>
      </c>
      <c r="D34" s="460">
        <v>-10.865372964459619</v>
      </c>
      <c r="E34" s="460">
        <v>29.151429395705296</v>
      </c>
      <c r="F34" s="460">
        <v>0.96971759402182389</v>
      </c>
      <c r="G34" s="461">
        <v>3.7737559512555086</v>
      </c>
    </row>
    <row r="35" spans="2:7" x14ac:dyDescent="0.25">
      <c r="B35" s="6" t="s">
        <v>117</v>
      </c>
      <c r="C35" s="460">
        <v>1.8261541837312434</v>
      </c>
      <c r="D35" s="460">
        <v>3.7143073599523513</v>
      </c>
      <c r="E35" s="460">
        <v>26.01081905588012</v>
      </c>
      <c r="F35" s="460">
        <v>0.99367081663517265</v>
      </c>
      <c r="G35" s="461">
        <v>3.5819664624052061</v>
      </c>
    </row>
    <row r="36" spans="2:7" x14ac:dyDescent="0.25">
      <c r="B36" s="6" t="s">
        <v>118</v>
      </c>
      <c r="C36" s="460">
        <v>3.4328312755606438</v>
      </c>
      <c r="D36" s="460">
        <v>4.5313276130811708</v>
      </c>
      <c r="E36" s="460">
        <v>29.964697382340709</v>
      </c>
      <c r="F36" s="460">
        <v>1.1993701950508973</v>
      </c>
      <c r="G36" s="461">
        <v>3.7136732359676516</v>
      </c>
    </row>
    <row r="37" spans="2:7" x14ac:dyDescent="0.25">
      <c r="B37" s="344" t="s">
        <v>119</v>
      </c>
      <c r="C37" s="460">
        <v>4.4163630698400125</v>
      </c>
      <c r="D37" s="460">
        <v>11.324072380645788</v>
      </c>
      <c r="E37" s="460">
        <v>23.949092324641196</v>
      </c>
      <c r="F37" s="460">
        <v>1.5552438193474405</v>
      </c>
      <c r="G37" s="461">
        <v>3.5235144163416221</v>
      </c>
    </row>
    <row r="38" spans="2:7" x14ac:dyDescent="0.25">
      <c r="B38" s="344" t="s">
        <v>120</v>
      </c>
      <c r="C38" s="460">
        <v>4.9050343503698635</v>
      </c>
      <c r="D38" s="460">
        <v>19.003781410403352</v>
      </c>
      <c r="E38" s="460">
        <v>0.20374755136600697</v>
      </c>
      <c r="F38" s="460">
        <v>1.7414150882821833</v>
      </c>
      <c r="G38" s="461">
        <v>3.9100576413109378</v>
      </c>
    </row>
    <row r="39" spans="2:7" x14ac:dyDescent="0.25">
      <c r="B39" s="344" t="s">
        <v>121</v>
      </c>
      <c r="C39" s="460">
        <v>5.4989173374903499</v>
      </c>
      <c r="D39" s="460">
        <v>3.7958751701268278</v>
      </c>
      <c r="E39" s="460">
        <v>2.8540142469290375</v>
      </c>
      <c r="F39" s="460">
        <v>1.9559815933620994</v>
      </c>
      <c r="G39" s="461">
        <v>3.7962188975408706</v>
      </c>
    </row>
    <row r="40" spans="2:7" x14ac:dyDescent="0.25">
      <c r="B40" s="344" t="s">
        <v>122</v>
      </c>
      <c r="C40" s="460">
        <v>3.9491205341902758</v>
      </c>
      <c r="D40" s="460">
        <v>-1.1436720106580811</v>
      </c>
      <c r="E40" s="460">
        <v>-2.5380470923777487</v>
      </c>
      <c r="F40" s="460">
        <v>2.2996955733408209</v>
      </c>
      <c r="G40" s="461">
        <v>3.609377940675973</v>
      </c>
    </row>
    <row r="41" spans="2:7" x14ac:dyDescent="0.25">
      <c r="B41" s="344" t="s">
        <v>123</v>
      </c>
      <c r="C41" s="460">
        <v>3.4917698369450356</v>
      </c>
      <c r="D41" s="460">
        <v>-10.570531384219295</v>
      </c>
      <c r="E41" s="460">
        <v>-0.45237216840576799</v>
      </c>
      <c r="F41" s="460">
        <v>1.8155069265775037</v>
      </c>
      <c r="G41" s="461">
        <v>3.5677812707704204</v>
      </c>
    </row>
    <row r="42" spans="2:7" x14ac:dyDescent="0.25">
      <c r="B42" s="344" t="s">
        <v>124</v>
      </c>
      <c r="C42" s="460">
        <v>2.8250864559773214</v>
      </c>
      <c r="D42" s="460">
        <v>-11.269720707540909</v>
      </c>
      <c r="E42" s="460">
        <v>0.83587142289860417</v>
      </c>
      <c r="F42" s="460">
        <v>1.3871500115070878</v>
      </c>
      <c r="G42" s="461">
        <v>3.585221609712308</v>
      </c>
    </row>
    <row r="43" spans="2:7" x14ac:dyDescent="0.25">
      <c r="B43" s="344" t="s">
        <v>125</v>
      </c>
      <c r="C43" s="460">
        <v>2.4356474414436002</v>
      </c>
      <c r="D43" s="460">
        <v>-7.0887958273834766</v>
      </c>
      <c r="E43" s="460">
        <v>-0.97974695361587871</v>
      </c>
      <c r="F43" s="460">
        <v>0.94391281414125672</v>
      </c>
      <c r="G43" s="461">
        <v>3.5300465104871837</v>
      </c>
    </row>
    <row r="44" spans="2:7" x14ac:dyDescent="0.25">
      <c r="B44" s="344" t="s">
        <v>126</v>
      </c>
      <c r="C44" s="460">
        <v>2.1992743472678766</v>
      </c>
      <c r="D44" s="460">
        <v>-5.3905989011265536</v>
      </c>
      <c r="E44" s="460">
        <v>-0.58301668446085753</v>
      </c>
      <c r="F44" s="460">
        <v>0.72409708066873968</v>
      </c>
      <c r="G44" s="461">
        <v>3.4730082984399946</v>
      </c>
    </row>
    <row r="45" spans="2:7" x14ac:dyDescent="0.25">
      <c r="B45" s="344" t="s">
        <v>127</v>
      </c>
      <c r="C45" s="460">
        <v>2.1389082898919831</v>
      </c>
      <c r="D45" s="460">
        <v>-2.9832998670520139</v>
      </c>
      <c r="E45" s="460">
        <v>-0.2893439361473682</v>
      </c>
      <c r="F45" s="460">
        <v>0.85553300217016126</v>
      </c>
      <c r="G45" s="461">
        <v>3.431753908578572</v>
      </c>
    </row>
    <row r="46" spans="2:7" x14ac:dyDescent="0.25">
      <c r="B46" s="344" t="s">
        <v>128</v>
      </c>
      <c r="C46" s="460">
        <v>2.0586386153215397</v>
      </c>
      <c r="D46" s="460">
        <v>3.0000248949644481</v>
      </c>
      <c r="E46" s="460">
        <v>3.8428862060402302E-2</v>
      </c>
      <c r="F46" s="460">
        <v>0.70719175527294009</v>
      </c>
      <c r="G46" s="461">
        <v>3.379618804709783</v>
      </c>
    </row>
    <row r="47" spans="2:7" x14ac:dyDescent="0.25">
      <c r="B47" s="344" t="s">
        <v>129</v>
      </c>
      <c r="C47" s="460">
        <v>2.1157557326603627</v>
      </c>
      <c r="D47" s="460">
        <v>3.9129267145608937</v>
      </c>
      <c r="E47" s="460">
        <v>0.22740555848106414</v>
      </c>
      <c r="F47" s="460">
        <v>0.68699576651107819</v>
      </c>
      <c r="G47" s="461">
        <v>3.3171597261422159</v>
      </c>
    </row>
    <row r="48" spans="2:7" x14ac:dyDescent="0.25">
      <c r="B48" s="344" t="s">
        <v>130</v>
      </c>
      <c r="C48" s="460">
        <v>2.0952500159037157</v>
      </c>
      <c r="D48" s="460">
        <v>4.3441691564035878</v>
      </c>
      <c r="E48" s="460">
        <v>0.36089138605106541</v>
      </c>
      <c r="F48" s="460">
        <v>0.76486054390347835</v>
      </c>
      <c r="G48" s="461">
        <v>3.2036221084292382</v>
      </c>
    </row>
    <row r="49" spans="2:7" x14ac:dyDescent="0.25">
      <c r="B49" s="344" t="s">
        <v>131</v>
      </c>
      <c r="C49" s="460">
        <v>2.0855112892987693</v>
      </c>
      <c r="D49" s="460">
        <v>4.9671427820216829</v>
      </c>
      <c r="E49" s="460">
        <v>0.48173622973444186</v>
      </c>
      <c r="F49" s="460">
        <v>0.76049566590281614</v>
      </c>
      <c r="G49" s="461">
        <v>3.1213677891034575</v>
      </c>
    </row>
    <row r="50" spans="2:7" x14ac:dyDescent="0.25">
      <c r="B50" s="344" t="s">
        <v>132</v>
      </c>
      <c r="C50" s="460">
        <v>2.0713393854264739</v>
      </c>
      <c r="D50" s="460">
        <v>1.5595145747896222</v>
      </c>
      <c r="E50" s="460">
        <v>0.66043776984907598</v>
      </c>
      <c r="F50" s="460">
        <v>0.73495771981724189</v>
      </c>
      <c r="G50" s="461">
        <v>3.1094847424464334</v>
      </c>
    </row>
    <row r="51" spans="2:7" x14ac:dyDescent="0.25">
      <c r="B51" s="344" t="s">
        <v>133</v>
      </c>
      <c r="C51" s="460">
        <v>2.1015608886286063</v>
      </c>
      <c r="D51" s="460">
        <v>1.5609405795016018</v>
      </c>
      <c r="E51" s="460">
        <v>1.1328523914799771</v>
      </c>
      <c r="F51" s="460">
        <v>0.65539524653752679</v>
      </c>
      <c r="G51" s="461">
        <v>3.0677919791161967</v>
      </c>
    </row>
    <row r="52" spans="2:7" x14ac:dyDescent="0.25">
      <c r="B52" s="344" t="s">
        <v>134</v>
      </c>
      <c r="C52" s="460">
        <v>2.1199777187673519</v>
      </c>
      <c r="D52" s="460">
        <v>1.6184046895854953</v>
      </c>
      <c r="E52" s="460">
        <v>1.6011065990256812</v>
      </c>
      <c r="F52" s="460">
        <v>0.63674074540596148</v>
      </c>
      <c r="G52" s="461">
        <v>3.03308843437331</v>
      </c>
    </row>
    <row r="53" spans="2:7" x14ac:dyDescent="0.25">
      <c r="B53" s="344" t="s">
        <v>135</v>
      </c>
      <c r="C53" s="460">
        <v>2.1797168030114777</v>
      </c>
      <c r="D53" s="460">
        <v>1.7247015764282558</v>
      </c>
      <c r="E53" s="460">
        <v>2.0370669243385597</v>
      </c>
      <c r="F53" s="460">
        <v>0.62614058455385813</v>
      </c>
      <c r="G53" s="461">
        <v>3.0704234170648714</v>
      </c>
    </row>
    <row r="54" spans="2:7" x14ac:dyDescent="0.25">
      <c r="B54" s="344" t="s">
        <v>645</v>
      </c>
      <c r="C54" s="460">
        <v>2.2073730682013348</v>
      </c>
      <c r="D54" s="460">
        <v>1.9232250525049288</v>
      </c>
      <c r="E54" s="460">
        <v>1.9709800558260104</v>
      </c>
      <c r="F54" s="460">
        <v>0.6133699875252141</v>
      </c>
      <c r="G54" s="461">
        <v>3.0613681715526031</v>
      </c>
    </row>
    <row r="55" spans="2:7" x14ac:dyDescent="0.25">
      <c r="B55" s="344" t="s">
        <v>646</v>
      </c>
      <c r="C55" s="460">
        <v>2.1812600684335548</v>
      </c>
      <c r="D55" s="460">
        <v>1.9247235627091852</v>
      </c>
      <c r="E55" s="460">
        <v>1.9705592183053344</v>
      </c>
      <c r="F55" s="460">
        <v>0.61237151835884518</v>
      </c>
      <c r="G55" s="461">
        <v>3.0706760031104396</v>
      </c>
    </row>
    <row r="56" spans="2:7" x14ac:dyDescent="0.25">
      <c r="B56" s="344" t="s">
        <v>647</v>
      </c>
      <c r="C56" s="460">
        <v>2.1707481889591707</v>
      </c>
      <c r="D56" s="460">
        <v>1.9256451066585356</v>
      </c>
      <c r="E56" s="460">
        <v>1.970136990781568</v>
      </c>
      <c r="F56" s="460">
        <v>0.61733578220777297</v>
      </c>
      <c r="G56" s="461">
        <v>3.0715459093735742</v>
      </c>
    </row>
    <row r="57" spans="2:7" x14ac:dyDescent="0.25">
      <c r="B57" s="474" t="s">
        <v>648</v>
      </c>
      <c r="C57" s="460">
        <v>2.1460173683796713</v>
      </c>
      <c r="D57" s="460">
        <v>1.9263425602740636</v>
      </c>
      <c r="E57" s="460">
        <v>1.9697180997660269</v>
      </c>
      <c r="F57" s="460">
        <v>0.62218508707998499</v>
      </c>
      <c r="G57" s="461">
        <v>3.0749153013101438</v>
      </c>
    </row>
    <row r="58" spans="2:7" x14ac:dyDescent="0.25">
      <c r="B58" s="233">
        <v>2019</v>
      </c>
      <c r="C58" s="462">
        <f t="shared" ref="C58:G70" ca="1" si="0">AVERAGE(OFFSET(C$5,4*(ROW()-ROW(C$58)),0, 4, 1))</f>
        <v>1.9429589633062183</v>
      </c>
      <c r="D58" s="462">
        <f t="shared" ca="1" si="0"/>
        <v>4.0687214944329009</v>
      </c>
      <c r="E58" s="462">
        <f t="shared" ca="1" si="0"/>
        <v>0.42644538468359638</v>
      </c>
      <c r="F58" s="462">
        <f t="shared" ca="1" si="0"/>
        <v>1.0527413666891194</v>
      </c>
      <c r="G58" s="463">
        <f t="shared" ca="1" si="0"/>
        <v>2.3611902480050184</v>
      </c>
    </row>
    <row r="59" spans="2:7" x14ac:dyDescent="0.25">
      <c r="B59" s="13">
        <v>2020</v>
      </c>
      <c r="C59" s="70">
        <f t="shared" ca="1" si="0"/>
        <v>1.0423790272686584</v>
      </c>
      <c r="D59" s="70">
        <f t="shared" ca="1" si="0"/>
        <v>-3.9870149041562275</v>
      </c>
      <c r="E59" s="70">
        <f t="shared" ca="1" si="0"/>
        <v>-8.8141473784352797</v>
      </c>
      <c r="F59" s="70">
        <f t="shared" ca="1" si="0"/>
        <v>1.1755740346989674</v>
      </c>
      <c r="G59" s="464">
        <f t="shared" ca="1" si="0"/>
        <v>1.5934759862662518</v>
      </c>
    </row>
    <row r="60" spans="2:7" x14ac:dyDescent="0.25">
      <c r="B60" s="13">
        <f t="shared" ref="B60:B62" si="1">B59+1</f>
        <v>2021</v>
      </c>
      <c r="C60" s="70">
        <f t="shared" ca="1" si="0"/>
        <v>0.93077735614124912</v>
      </c>
      <c r="D60" s="70">
        <f t="shared" ca="1" si="0"/>
        <v>4.2935159165985066</v>
      </c>
      <c r="E60" s="70">
        <f t="shared" ca="1" si="0"/>
        <v>14.673314474669116</v>
      </c>
      <c r="F60" s="70">
        <f t="shared" ca="1" si="0"/>
        <v>2.173540319316464</v>
      </c>
      <c r="G60" s="464">
        <f t="shared" ca="1" si="0"/>
        <v>2.6469498259516056</v>
      </c>
    </row>
    <row r="61" spans="2:7" x14ac:dyDescent="0.25">
      <c r="B61" s="13">
        <f t="shared" si="1"/>
        <v>2022</v>
      </c>
      <c r="C61" s="70">
        <f t="shared" ca="1" si="0"/>
        <v>8.9202897831670072</v>
      </c>
      <c r="D61" s="70">
        <f t="shared" ca="1" si="0"/>
        <v>63.382389768887919</v>
      </c>
      <c r="E61" s="70">
        <f t="shared" ca="1" si="0"/>
        <v>29.53750476231987</v>
      </c>
      <c r="F61" s="70">
        <f t="shared" ca="1" si="0"/>
        <v>6.5940991286360671</v>
      </c>
      <c r="G61" s="464">
        <f t="shared" ca="1" si="0"/>
        <v>5.5466968891954069</v>
      </c>
    </row>
    <row r="62" spans="2:7" x14ac:dyDescent="0.25">
      <c r="B62" s="13">
        <f t="shared" si="1"/>
        <v>2023</v>
      </c>
      <c r="C62" s="70">
        <f t="shared" ca="1" si="0"/>
        <v>12.952135454590325</v>
      </c>
      <c r="D62" s="70">
        <f t="shared" ca="1" si="0"/>
        <v>24.882014834548329</v>
      </c>
      <c r="E62" s="70">
        <f t="shared" ca="1" si="0"/>
        <v>-9.7436238759703784</v>
      </c>
      <c r="F62" s="70">
        <f t="shared" ca="1" si="0"/>
        <v>6.2284153140579557</v>
      </c>
      <c r="G62" s="464">
        <f t="shared" ca="1" si="0"/>
        <v>6.7987232748724988</v>
      </c>
    </row>
    <row r="63" spans="2:7" x14ac:dyDescent="0.25">
      <c r="B63" s="13">
        <v>2024</v>
      </c>
      <c r="C63" s="70">
        <f t="shared" ca="1" si="0"/>
        <v>3.9877901111966207</v>
      </c>
      <c r="D63" s="70">
        <f t="shared" ca="1" si="0"/>
        <v>-18.543770922381142</v>
      </c>
      <c r="E63" s="70">
        <f t="shared" ca="1" si="0"/>
        <v>-4.9195893016363428</v>
      </c>
      <c r="F63" s="70">
        <f t="shared" ca="1" si="0"/>
        <v>1.9475292248840426</v>
      </c>
      <c r="G63" s="464">
        <f t="shared" ca="1" si="0"/>
        <v>5.5733577870254241</v>
      </c>
    </row>
    <row r="64" spans="2:7" x14ac:dyDescent="0.25">
      <c r="B64" s="13">
        <v>2025</v>
      </c>
      <c r="C64" s="70">
        <f t="shared" ca="1" si="0"/>
        <v>4.5397138580514245</v>
      </c>
      <c r="D64" s="70">
        <f t="shared" ca="1" si="0"/>
        <v>3.1209751338569927</v>
      </c>
      <c r="E64" s="70">
        <f t="shared" ca="1" si="0"/>
        <v>-4.1542922247695762</v>
      </c>
      <c r="F64" s="70">
        <f t="shared" ca="1" si="0"/>
        <v>1.5786891826398031</v>
      </c>
      <c r="G64" s="464">
        <f t="shared" ca="1" si="0"/>
        <v>5.1248604009998973</v>
      </c>
    </row>
    <row r="65" spans="2:7" x14ac:dyDescent="0.25">
      <c r="B65" s="13">
        <v>2026</v>
      </c>
      <c r="C65" s="70">
        <f t="shared" ca="1" si="0"/>
        <v>2.829380505472201</v>
      </c>
      <c r="D65" s="70">
        <f t="shared" ca="1" si="0"/>
        <v>-3.4465465104288606E-2</v>
      </c>
      <c r="E65" s="70">
        <f t="shared" ca="1" si="0"/>
        <v>21.392240061346328</v>
      </c>
      <c r="F65" s="70">
        <f t="shared" ca="1" si="0"/>
        <v>1.0794199745577937</v>
      </c>
      <c r="G65" s="464">
        <f t="shared" ca="1" si="0"/>
        <v>3.9786844807084547</v>
      </c>
    </row>
    <row r="66" spans="2:7" x14ac:dyDescent="0.25">
      <c r="B66" s="13">
        <v>2027</v>
      </c>
      <c r="C66" s="70">
        <f t="shared" ca="1" si="0"/>
        <v>4.6923588229726256</v>
      </c>
      <c r="D66" s="70">
        <f t="shared" ca="1" si="0"/>
        <v>8.2450142376294728</v>
      </c>
      <c r="E66" s="70">
        <f t="shared" ca="1" si="0"/>
        <v>6.1172017576396227</v>
      </c>
      <c r="F66" s="70">
        <f t="shared" ca="1" si="0"/>
        <v>1.888084018583136</v>
      </c>
      <c r="G66" s="464">
        <f t="shared" ca="1" si="0"/>
        <v>3.7097922239673506</v>
      </c>
    </row>
    <row r="67" spans="2:7" x14ac:dyDescent="0.25">
      <c r="B67" s="13">
        <v>2028</v>
      </c>
      <c r="C67" s="70">
        <f t="shared" ca="1" si="0"/>
        <v>2.7379445204084583</v>
      </c>
      <c r="D67" s="70">
        <f t="shared" ca="1" si="0"/>
        <v>-8.5799117050675591</v>
      </c>
      <c r="E67" s="70">
        <f t="shared" ca="1" si="0"/>
        <v>-0.29481609589597502</v>
      </c>
      <c r="F67" s="70">
        <f t="shared" ca="1" si="0"/>
        <v>1.217666708223647</v>
      </c>
      <c r="G67" s="464">
        <f t="shared" ca="1" si="0"/>
        <v>3.5390144223524769</v>
      </c>
    </row>
    <row r="68" spans="2:7" x14ac:dyDescent="0.25">
      <c r="B68" s="13">
        <v>2029</v>
      </c>
      <c r="C68" s="70">
        <f t="shared" ca="1" si="0"/>
        <v>2.1021381634444003</v>
      </c>
      <c r="D68" s="70">
        <f t="shared" ca="1" si="0"/>
        <v>2.0684552247192292</v>
      </c>
      <c r="E68" s="70">
        <f t="shared" ca="1" si="0"/>
        <v>8.4345467611290914E-2</v>
      </c>
      <c r="F68" s="70">
        <f t="shared" ca="1" si="0"/>
        <v>0.75364526696441447</v>
      </c>
      <c r="G68" s="464">
        <f t="shared" ca="1" si="0"/>
        <v>3.3330386369649525</v>
      </c>
    </row>
    <row r="69" spans="2:7" x14ac:dyDescent="0.25">
      <c r="B69" s="13">
        <v>2030</v>
      </c>
      <c r="C69" s="70">
        <f t="shared" ca="1" si="0"/>
        <v>2.0945973205303003</v>
      </c>
      <c r="D69" s="70">
        <f t="shared" ca="1" si="0"/>
        <v>2.4265006564746008</v>
      </c>
      <c r="E69" s="70">
        <f t="shared" ca="1" si="0"/>
        <v>0.96903324752229403</v>
      </c>
      <c r="F69" s="70">
        <f t="shared" ca="1" si="0"/>
        <v>0.69689734441588658</v>
      </c>
      <c r="G69" s="464">
        <f t="shared" ca="1" si="0"/>
        <v>3.0829332362598492</v>
      </c>
    </row>
    <row r="70" spans="2:7" x14ac:dyDescent="0.25">
      <c r="B70" s="13">
        <v>2031</v>
      </c>
      <c r="C70" s="70">
        <f t="shared" ca="1" si="0"/>
        <v>2.1847745321513843</v>
      </c>
      <c r="D70" s="70">
        <f t="shared" ca="1" si="0"/>
        <v>1.8745738245752264</v>
      </c>
      <c r="E70" s="70">
        <f t="shared" ca="1" si="0"/>
        <v>1.9871857973128682</v>
      </c>
      <c r="F70" s="70">
        <f t="shared" ca="1" si="0"/>
        <v>0.61730446816142259</v>
      </c>
      <c r="G70" s="464">
        <f t="shared" ca="1" si="0"/>
        <v>3.0685033752753719</v>
      </c>
    </row>
    <row r="71" spans="2:7" x14ac:dyDescent="0.25">
      <c r="B71" s="233" t="s">
        <v>147</v>
      </c>
      <c r="C71" s="462">
        <f ca="1">AVERAGE(OFFSET(C$6,4*(ROW()-ROW(C$71)),0, 4, 1))</f>
        <v>1.7535885839915888</v>
      </c>
      <c r="D71" s="462">
        <f t="shared" ref="D71:G83" ca="1" si="2">AVERAGE(OFFSET(D$6,4*(ROW()-ROW(D$71)),0, 4, 1))</f>
        <v>4.9139499660486177</v>
      </c>
      <c r="E71" s="462">
        <f t="shared" ca="1" si="2"/>
        <v>0.43284196328412794</v>
      </c>
      <c r="F71" s="462">
        <f t="shared" ca="1" si="2"/>
        <v>1.0005164557232715</v>
      </c>
      <c r="G71" s="463">
        <f t="shared" ca="1" si="2"/>
        <v>2.2976201417701292</v>
      </c>
    </row>
    <row r="72" spans="2:7" x14ac:dyDescent="0.25">
      <c r="B72" s="13" t="s">
        <v>148</v>
      </c>
      <c r="C72" s="70">
        <f t="shared" ref="C72:C83" ca="1" si="3">AVERAGE(OFFSET(C$6,4*(ROW()-ROW(C$71)),0, 4, 1))</f>
        <v>0.75392231883130156</v>
      </c>
      <c r="D72" s="70">
        <f t="shared" ca="1" si="2"/>
        <v>-7.289815210326072</v>
      </c>
      <c r="E72" s="70">
        <f t="shared" ca="1" si="2"/>
        <v>-9.8563726400721077</v>
      </c>
      <c r="F72" s="70">
        <f t="shared" ca="1" si="2"/>
        <v>1.0288594256279371</v>
      </c>
      <c r="G72" s="464">
        <f t="shared" ca="1" si="2"/>
        <v>1.5235723052383299</v>
      </c>
    </row>
    <row r="73" spans="2:7" x14ac:dyDescent="0.25">
      <c r="B73" s="13" t="s">
        <v>149</v>
      </c>
      <c r="C73" s="70">
        <f t="shared" ca="1" si="3"/>
        <v>2.079763864955825</v>
      </c>
      <c r="D73" s="70">
        <f t="shared" ca="1" si="2"/>
        <v>12.064223397263325</v>
      </c>
      <c r="E73" s="70">
        <f t="shared" ca="1" si="2"/>
        <v>21.951499775164407</v>
      </c>
      <c r="F73" s="70">
        <f t="shared" ca="1" si="2"/>
        <v>3.6606671228548491</v>
      </c>
      <c r="G73" s="464">
        <f t="shared" ca="1" si="2"/>
        <v>3.1319909564470843</v>
      </c>
    </row>
    <row r="74" spans="2:7" x14ac:dyDescent="0.25">
      <c r="B74" s="13" t="s">
        <v>150</v>
      </c>
      <c r="C74" s="70">
        <f t="shared" ca="1" si="3"/>
        <v>11.271906930607077</v>
      </c>
      <c r="D74" s="70">
        <f t="shared" ca="1" si="2"/>
        <v>80.543580239895192</v>
      </c>
      <c r="E74" s="70">
        <f t="shared" ca="1" si="2"/>
        <v>23.62856913855553</v>
      </c>
      <c r="F74" s="70">
        <f t="shared" ca="1" si="2"/>
        <v>6.5346360351866304</v>
      </c>
      <c r="G74" s="464">
        <f t="shared" ca="1" si="2"/>
        <v>6.2873382538723881</v>
      </c>
    </row>
    <row r="75" spans="2:7" x14ac:dyDescent="0.25">
      <c r="B75" s="13" t="s">
        <v>151</v>
      </c>
      <c r="C75" s="70">
        <f t="shared" ca="1" si="3"/>
        <v>11.169458393277793</v>
      </c>
      <c r="D75" s="70">
        <f t="shared" ca="1" si="2"/>
        <v>-2.6253932016484605</v>
      </c>
      <c r="E75" s="70">
        <f t="shared" ca="1" si="2"/>
        <v>-12.075912641318052</v>
      </c>
      <c r="F75" s="70">
        <f t="shared" ca="1" si="2"/>
        <v>5.543029517603804</v>
      </c>
      <c r="G75" s="464">
        <f t="shared" ca="1" si="2"/>
        <v>6.5994133266841395</v>
      </c>
    </row>
    <row r="76" spans="2:7" x14ac:dyDescent="0.25">
      <c r="B76" s="13" t="s">
        <v>152</v>
      </c>
      <c r="C76" s="70">
        <f t="shared" ca="1" si="3"/>
        <v>3.1788239458093059</v>
      </c>
      <c r="D76" s="70">
        <f t="shared" ca="1" si="2"/>
        <v>-16.333730280203611</v>
      </c>
      <c r="E76" s="70">
        <f t="shared" ca="1" si="2"/>
        <v>-4.1129091821914292</v>
      </c>
      <c r="F76" s="70">
        <f t="shared" ca="1" si="2"/>
        <v>1.5154887184629096</v>
      </c>
      <c r="G76" s="464">
        <f t="shared" ca="1" si="2"/>
        <v>5.350669511954198</v>
      </c>
    </row>
    <row r="77" spans="2:7" x14ac:dyDescent="0.25">
      <c r="B77" s="13" t="s">
        <v>153</v>
      </c>
      <c r="C77" s="70">
        <f t="shared" ca="1" si="3"/>
        <v>4.517056851608614</v>
      </c>
      <c r="D77" s="70">
        <f t="shared" ca="1" si="2"/>
        <v>6.1980054259572146</v>
      </c>
      <c r="E77" s="70">
        <f t="shared" ca="1" si="2"/>
        <v>-3.211444549689138</v>
      </c>
      <c r="F77" s="70">
        <f t="shared" ca="1" si="2"/>
        <v>1.441288302657967</v>
      </c>
      <c r="G77" s="464">
        <f t="shared" ca="1" si="2"/>
        <v>5.0615216237992193</v>
      </c>
    </row>
    <row r="78" spans="2:7" x14ac:dyDescent="0.25">
      <c r="B78" s="13" t="s">
        <v>154</v>
      </c>
      <c r="C78" s="70">
        <f t="shared" ca="1" si="3"/>
        <v>3.0196256521981599</v>
      </c>
      <c r="D78" s="70">
        <f t="shared" ca="1" si="2"/>
        <v>2.1760835973049231</v>
      </c>
      <c r="E78" s="70">
        <f t="shared" ca="1" si="2"/>
        <v>27.269009539641832</v>
      </c>
      <c r="F78" s="70">
        <f t="shared" ca="1" si="2"/>
        <v>1.1795006062638336</v>
      </c>
      <c r="G78" s="464">
        <f t="shared" ca="1" si="2"/>
        <v>3.6482275164924971</v>
      </c>
    </row>
    <row r="79" spans="2:7" x14ac:dyDescent="0.25">
      <c r="B79" s="13" t="s">
        <v>155</v>
      </c>
      <c r="C79" s="70">
        <f t="shared" ca="1" si="3"/>
        <v>4.4612105147488812</v>
      </c>
      <c r="D79" s="70">
        <f t="shared" ca="1" si="2"/>
        <v>2.7713632964132002</v>
      </c>
      <c r="E79" s="70">
        <f t="shared" ca="1" si="2"/>
        <v>1.6835634377881936E-2</v>
      </c>
      <c r="F79" s="70">
        <f t="shared" ca="1" si="2"/>
        <v>1.9531497953906518</v>
      </c>
      <c r="G79" s="464">
        <f t="shared" ca="1" si="2"/>
        <v>3.7208589375745502</v>
      </c>
    </row>
    <row r="80" spans="2:7" x14ac:dyDescent="0.25">
      <c r="B80" s="13" t="s">
        <v>156</v>
      </c>
      <c r="C80" s="70">
        <f t="shared" ca="1" si="3"/>
        <v>2.3997291336451951</v>
      </c>
      <c r="D80" s="70">
        <f t="shared" ca="1" si="2"/>
        <v>-6.6831038257757376</v>
      </c>
      <c r="E80" s="70">
        <f t="shared" ca="1" si="2"/>
        <v>-0.25405903783137507</v>
      </c>
      <c r="F80" s="70">
        <f t="shared" ca="1" si="2"/>
        <v>0.97767322712181137</v>
      </c>
      <c r="G80" s="464">
        <f t="shared" ca="1" si="2"/>
        <v>3.5050075818045148</v>
      </c>
    </row>
    <row r="81" spans="2:7" x14ac:dyDescent="0.25">
      <c r="B81" s="13" t="s">
        <v>157</v>
      </c>
      <c r="C81" s="70">
        <f t="shared" ca="1" si="3"/>
        <v>2.0887889132960966</v>
      </c>
      <c r="D81" s="70">
        <f t="shared" ca="1" si="2"/>
        <v>4.0560658869876534</v>
      </c>
      <c r="E81" s="70">
        <f t="shared" ca="1" si="2"/>
        <v>0.27711550908174343</v>
      </c>
      <c r="F81" s="70">
        <f t="shared" ca="1" si="2"/>
        <v>0.72988593289757819</v>
      </c>
      <c r="G81" s="464">
        <f t="shared" ca="1" si="2"/>
        <v>3.2554421070961737</v>
      </c>
    </row>
    <row r="82" spans="2:7" x14ac:dyDescent="0.25">
      <c r="B82" s="13" t="s">
        <v>158</v>
      </c>
      <c r="C82" s="70">
        <f t="shared" ca="1" si="3"/>
        <v>2.1181486989584775</v>
      </c>
      <c r="D82" s="70">
        <f t="shared" ca="1" si="2"/>
        <v>1.6158903550762438</v>
      </c>
      <c r="E82" s="70">
        <f t="shared" ca="1" si="2"/>
        <v>1.3578659211733235</v>
      </c>
      <c r="F82" s="70">
        <f t="shared" ca="1" si="2"/>
        <v>0.66330857407864707</v>
      </c>
      <c r="G82" s="464">
        <f t="shared" ca="1" si="2"/>
        <v>3.0701971432502027</v>
      </c>
    </row>
    <row r="83" spans="2:7" ht="15.75" thickBot="1" x14ac:dyDescent="0.3">
      <c r="B83" s="213" t="s">
        <v>649</v>
      </c>
      <c r="C83" s="465">
        <f t="shared" ca="1" si="3"/>
        <v>2.1763496734934327</v>
      </c>
      <c r="D83" s="465">
        <f t="shared" ca="1" si="2"/>
        <v>1.9249840705366783</v>
      </c>
      <c r="E83" s="465">
        <f t="shared" ca="1" si="2"/>
        <v>1.9703485911697349</v>
      </c>
      <c r="F83" s="465">
        <f t="shared" ca="1" si="2"/>
        <v>0.61631559379295431</v>
      </c>
      <c r="G83" s="466">
        <f t="shared" ca="1" si="2"/>
        <v>3.06962634633669</v>
      </c>
    </row>
    <row r="85" spans="2:7" x14ac:dyDescent="0.25">
      <c r="B85"/>
    </row>
    <row r="105" spans="1:8" s="2" customFormat="1" ht="15.75" x14ac:dyDescent="0.25">
      <c r="A105" s="7"/>
      <c r="B105" s="17"/>
      <c r="C105" s="17"/>
      <c r="D105" s="17"/>
      <c r="E105" s="17"/>
      <c r="F105" s="17"/>
      <c r="G105" s="17"/>
      <c r="H105" s="116"/>
    </row>
    <row r="106" spans="1:8" s="2" customFormat="1" ht="15.75" x14ac:dyDescent="0.25">
      <c r="A106" s="7"/>
      <c r="B106" s="17"/>
      <c r="C106" s="17"/>
      <c r="D106" s="17"/>
      <c r="E106" s="17"/>
      <c r="F106" s="17"/>
      <c r="G106" s="17"/>
      <c r="H106" s="116"/>
    </row>
    <row r="107" spans="1:8" s="2" customFormat="1" ht="15.75" x14ac:dyDescent="0.25">
      <c r="A107" s="7"/>
      <c r="B107" s="17"/>
      <c r="C107" s="17"/>
      <c r="D107" s="17"/>
      <c r="E107" s="17"/>
      <c r="F107" s="17"/>
      <c r="G107" s="17"/>
      <c r="H107" s="116"/>
    </row>
    <row r="108" spans="1:8" s="2" customFormat="1" ht="15.75" x14ac:dyDescent="0.25">
      <c r="A108" s="7"/>
      <c r="B108" s="17"/>
      <c r="C108" s="17"/>
      <c r="D108" s="17"/>
      <c r="E108" s="17"/>
      <c r="F108" s="17"/>
      <c r="G108" s="17"/>
      <c r="H108" s="116"/>
    </row>
    <row r="152" ht="15" customHeight="1" x14ac:dyDescent="0.25"/>
    <row r="153" ht="15" customHeight="1" x14ac:dyDescent="0.25"/>
    <row r="154" ht="21.6" customHeight="1" x14ac:dyDescent="0.25"/>
    <row r="155" ht="15" customHeight="1" x14ac:dyDescent="0.25"/>
    <row r="209" spans="1:1" x14ac:dyDescent="0.25">
      <c r="A209" s="18"/>
    </row>
    <row r="210" spans="1:1" x14ac:dyDescent="0.25">
      <c r="A210" s="18"/>
    </row>
    <row r="259" spans="8:8" ht="15" customHeight="1" x14ac:dyDescent="0.25"/>
    <row r="271" spans="8:8" x14ac:dyDescent="0.25">
      <c r="H271" s="202"/>
    </row>
    <row r="315" ht="24" customHeight="1" x14ac:dyDescent="0.25"/>
    <row r="316" ht="37.5" customHeight="1" x14ac:dyDescent="0.25"/>
  </sheetData>
  <mergeCells count="2">
    <mergeCell ref="B2:G2"/>
    <mergeCell ref="C3:G3"/>
  </mergeCells>
  <phoneticPr fontId="91" type="noConversion"/>
  <hyperlinks>
    <hyperlink ref="A1" location="Contents!A1" display="Back to contents" xr:uid="{B692F941-52FC-47AA-BA55-76F812BB4D47}"/>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rowBreaks count="1" manualBreakCount="1">
    <brk id="109" min="1" max="9"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CF9C5-FF3F-4AF3-95D7-C82B07B7D25E}">
  <sheetPr codeName="Sheet22">
    <tabColor theme="5"/>
  </sheetPr>
  <dimension ref="A1:S296"/>
  <sheetViews>
    <sheetView zoomScaleNormal="100" zoomScaleSheetLayoutView="100" workbookViewId="0"/>
  </sheetViews>
  <sheetFormatPr defaultColWidth="11.44140625" defaultRowHeight="15" x14ac:dyDescent="0.25"/>
  <cols>
    <col min="1" max="1" width="9.21875" style="17" customWidth="1"/>
    <col min="2" max="2" width="13.109375" style="17" customWidth="1"/>
    <col min="3" max="3" width="16.21875" style="17" customWidth="1"/>
    <col min="4" max="4" width="17.77734375" style="17" customWidth="1"/>
    <col min="5" max="5" width="21.21875" style="17" customWidth="1"/>
    <col min="6" max="6" width="21.44140625" style="17" customWidth="1"/>
    <col min="7" max="7" width="21.77734375" style="17" customWidth="1"/>
    <col min="8" max="16384" width="11.44140625" style="17"/>
  </cols>
  <sheetData>
    <row r="1" spans="1:9" ht="35.1" customHeight="1" thickBot="1" x14ac:dyDescent="0.35">
      <c r="A1" s="9" t="s">
        <v>22</v>
      </c>
      <c r="B1" s="277"/>
      <c r="C1" s="525"/>
      <c r="D1" s="277"/>
      <c r="E1" s="277"/>
      <c r="F1" s="277"/>
      <c r="G1" s="277"/>
      <c r="I1" s="24"/>
    </row>
    <row r="2" spans="1:9" ht="19.5" customHeight="1" thickBot="1" x14ac:dyDescent="0.3">
      <c r="B2" s="554" t="s">
        <v>641</v>
      </c>
      <c r="C2" s="637"/>
      <c r="D2" s="637"/>
      <c r="E2" s="637"/>
      <c r="F2" s="637"/>
      <c r="G2" s="555"/>
    </row>
    <row r="3" spans="1:9" ht="33" customHeight="1" x14ac:dyDescent="0.25">
      <c r="B3" s="174"/>
      <c r="C3" s="98" t="s">
        <v>636</v>
      </c>
      <c r="D3" s="98" t="s">
        <v>637</v>
      </c>
      <c r="E3" s="98" t="s">
        <v>638</v>
      </c>
      <c r="F3" s="98" t="s">
        <v>639</v>
      </c>
      <c r="G3" s="197" t="s">
        <v>640</v>
      </c>
    </row>
    <row r="4" spans="1:9" x14ac:dyDescent="0.25">
      <c r="B4" s="13">
        <v>2019</v>
      </c>
      <c r="C4" s="151">
        <v>140</v>
      </c>
      <c r="D4" s="151">
        <v>30</v>
      </c>
      <c r="E4" s="151">
        <v>30</v>
      </c>
      <c r="F4" s="151">
        <v>410</v>
      </c>
      <c r="G4" s="159">
        <v>390</v>
      </c>
    </row>
    <row r="5" spans="1:9" x14ac:dyDescent="0.25">
      <c r="B5" s="13">
        <v>2020</v>
      </c>
      <c r="C5" s="151">
        <v>140</v>
      </c>
      <c r="D5" s="151">
        <v>30</v>
      </c>
      <c r="E5" s="151">
        <v>30</v>
      </c>
      <c r="F5" s="151">
        <v>390</v>
      </c>
      <c r="G5" s="159">
        <v>410</v>
      </c>
    </row>
    <row r="6" spans="1:9" x14ac:dyDescent="0.25">
      <c r="B6" s="13">
        <f t="shared" ref="B6:B8" si="0">B5+1</f>
        <v>2021</v>
      </c>
      <c r="C6" s="151">
        <v>160</v>
      </c>
      <c r="D6" s="151">
        <v>30</v>
      </c>
      <c r="E6" s="151">
        <v>30</v>
      </c>
      <c r="F6" s="151">
        <v>400</v>
      </c>
      <c r="G6" s="159">
        <v>380</v>
      </c>
    </row>
    <row r="7" spans="1:9" x14ac:dyDescent="0.25">
      <c r="B7" s="13">
        <f t="shared" si="0"/>
        <v>2022</v>
      </c>
      <c r="C7" s="151">
        <v>170</v>
      </c>
      <c r="D7" s="151">
        <v>30</v>
      </c>
      <c r="E7" s="151">
        <v>30</v>
      </c>
      <c r="F7" s="151">
        <v>390</v>
      </c>
      <c r="G7" s="159">
        <v>380</v>
      </c>
    </row>
    <row r="8" spans="1:9" x14ac:dyDescent="0.25">
      <c r="B8" s="13">
        <f t="shared" si="0"/>
        <v>2023</v>
      </c>
      <c r="C8" s="151">
        <v>160</v>
      </c>
      <c r="D8" s="151">
        <v>50</v>
      </c>
      <c r="E8" s="151">
        <v>30</v>
      </c>
      <c r="F8" s="151">
        <v>370</v>
      </c>
      <c r="G8" s="159">
        <v>390</v>
      </c>
    </row>
    <row r="9" spans="1:9" x14ac:dyDescent="0.25">
      <c r="B9" s="13">
        <v>2024</v>
      </c>
      <c r="C9" s="151">
        <v>150</v>
      </c>
      <c r="D9" s="151">
        <v>40</v>
      </c>
      <c r="E9" s="151">
        <v>30</v>
      </c>
      <c r="F9" s="151">
        <v>370</v>
      </c>
      <c r="G9" s="159">
        <v>410</v>
      </c>
    </row>
    <row r="10" spans="1:9" x14ac:dyDescent="0.25">
      <c r="B10" s="13">
        <v>2025</v>
      </c>
      <c r="C10" s="151">
        <v>150</v>
      </c>
      <c r="D10" s="151">
        <v>30</v>
      </c>
      <c r="E10" s="151">
        <v>30</v>
      </c>
      <c r="F10" s="151">
        <v>370</v>
      </c>
      <c r="G10" s="159">
        <v>420</v>
      </c>
    </row>
    <row r="11" spans="1:9" x14ac:dyDescent="0.25">
      <c r="B11" s="13">
        <v>2026</v>
      </c>
      <c r="C11" s="151">
        <v>150</v>
      </c>
      <c r="D11" s="151">
        <v>30</v>
      </c>
      <c r="E11" s="151">
        <v>30</v>
      </c>
      <c r="F11" s="151">
        <v>360</v>
      </c>
      <c r="G11" s="159">
        <v>440</v>
      </c>
    </row>
    <row r="12" spans="1:9" x14ac:dyDescent="0.25">
      <c r="B12" s="13">
        <v>2027</v>
      </c>
      <c r="C12" s="151">
        <v>150</v>
      </c>
      <c r="D12" s="151">
        <v>30</v>
      </c>
      <c r="E12" s="151">
        <v>30</v>
      </c>
      <c r="F12" s="151">
        <v>360</v>
      </c>
      <c r="G12" s="159">
        <v>440</v>
      </c>
    </row>
    <row r="13" spans="1:9" x14ac:dyDescent="0.25">
      <c r="B13" s="13">
        <v>2028</v>
      </c>
      <c r="C13" s="151">
        <v>150</v>
      </c>
      <c r="D13" s="151">
        <v>30</v>
      </c>
      <c r="E13" s="151">
        <v>30</v>
      </c>
      <c r="F13" s="151">
        <v>360</v>
      </c>
      <c r="G13" s="159">
        <v>440</v>
      </c>
    </row>
    <row r="14" spans="1:9" x14ac:dyDescent="0.25">
      <c r="B14" s="13">
        <v>2029</v>
      </c>
      <c r="C14" s="151">
        <v>150</v>
      </c>
      <c r="D14" s="151">
        <v>30</v>
      </c>
      <c r="E14" s="151">
        <v>30</v>
      </c>
      <c r="F14" s="151">
        <v>360</v>
      </c>
      <c r="G14" s="159">
        <v>440</v>
      </c>
    </row>
    <row r="15" spans="1:9" x14ac:dyDescent="0.25">
      <c r="B15" s="13">
        <v>2030</v>
      </c>
      <c r="C15" s="151">
        <v>150</v>
      </c>
      <c r="D15" s="151">
        <v>30</v>
      </c>
      <c r="E15" s="151">
        <v>30</v>
      </c>
      <c r="F15" s="151">
        <v>360</v>
      </c>
      <c r="G15" s="159">
        <v>440</v>
      </c>
    </row>
    <row r="16" spans="1:9" x14ac:dyDescent="0.25">
      <c r="B16" s="13">
        <v>2031</v>
      </c>
      <c r="C16" s="151">
        <v>150</v>
      </c>
      <c r="D16" s="151">
        <v>30</v>
      </c>
      <c r="E16" s="151">
        <v>30</v>
      </c>
      <c r="F16" s="151">
        <v>360</v>
      </c>
      <c r="G16" s="159">
        <v>440</v>
      </c>
    </row>
    <row r="17" spans="2:7" x14ac:dyDescent="0.25">
      <c r="B17" s="13">
        <v>2032</v>
      </c>
      <c r="C17" s="151">
        <v>150</v>
      </c>
      <c r="D17" s="151">
        <v>30</v>
      </c>
      <c r="E17" s="151">
        <v>30</v>
      </c>
      <c r="F17" s="151">
        <v>360</v>
      </c>
      <c r="G17" s="159">
        <v>440</v>
      </c>
    </row>
    <row r="18" spans="2:7" x14ac:dyDescent="0.25">
      <c r="B18" s="345" t="s">
        <v>289</v>
      </c>
      <c r="C18" s="346"/>
      <c r="D18" s="346"/>
      <c r="E18" s="346"/>
      <c r="F18" s="346"/>
      <c r="G18" s="347"/>
    </row>
    <row r="19" spans="2:7" ht="12.75" customHeight="1" thickBot="1" x14ac:dyDescent="0.3">
      <c r="B19" s="348" t="s">
        <v>651</v>
      </c>
      <c r="C19" s="132"/>
      <c r="D19" s="132"/>
      <c r="E19" s="132"/>
      <c r="F19" s="132"/>
      <c r="G19" s="349"/>
    </row>
    <row r="85" spans="1:19" s="2" customFormat="1" ht="15.75" x14ac:dyDescent="0.25">
      <c r="A85" s="7"/>
      <c r="B85" s="17"/>
      <c r="C85" s="17"/>
      <c r="D85" s="17"/>
      <c r="E85" s="17"/>
      <c r="F85" s="17"/>
      <c r="G85" s="17"/>
      <c r="H85" s="116"/>
      <c r="I85" s="116"/>
      <c r="J85" s="116"/>
      <c r="K85" s="116"/>
      <c r="L85" s="116"/>
      <c r="N85" s="116"/>
      <c r="O85" s="116"/>
      <c r="R85" s="27"/>
      <c r="S85" s="27"/>
    </row>
    <row r="86" spans="1:19" s="2" customFormat="1" ht="15.75" x14ac:dyDescent="0.25">
      <c r="A86" s="7"/>
      <c r="B86" s="17"/>
      <c r="C86" s="17"/>
      <c r="D86" s="17"/>
      <c r="E86" s="17"/>
      <c r="F86" s="17"/>
      <c r="G86" s="17"/>
      <c r="H86" s="116"/>
      <c r="I86" s="116"/>
      <c r="J86" s="116"/>
      <c r="K86" s="116"/>
      <c r="L86" s="116"/>
      <c r="N86" s="116"/>
      <c r="O86" s="116"/>
      <c r="R86" s="27"/>
      <c r="S86" s="27"/>
    </row>
    <row r="87" spans="1:19" s="2" customFormat="1" ht="15.75" x14ac:dyDescent="0.25">
      <c r="A87" s="7"/>
      <c r="B87" s="17"/>
      <c r="C87" s="17"/>
      <c r="D87" s="17"/>
      <c r="E87" s="17"/>
      <c r="F87" s="17"/>
      <c r="G87" s="17"/>
      <c r="H87" s="116"/>
      <c r="I87" s="116"/>
      <c r="J87" s="116"/>
      <c r="K87" s="116"/>
      <c r="L87" s="116"/>
      <c r="N87" s="116"/>
      <c r="O87" s="116"/>
      <c r="R87" s="27"/>
      <c r="S87" s="27"/>
    </row>
    <row r="88" spans="1:19" s="2" customFormat="1" ht="15.75" x14ac:dyDescent="0.25">
      <c r="A88" s="7"/>
      <c r="B88" s="17"/>
      <c r="C88" s="17"/>
      <c r="D88" s="17"/>
      <c r="E88" s="17"/>
      <c r="F88" s="17"/>
      <c r="G88" s="17"/>
      <c r="H88" s="116"/>
      <c r="I88" s="116"/>
      <c r="J88" s="116"/>
      <c r="K88" s="116"/>
      <c r="L88" s="116"/>
      <c r="N88" s="116"/>
      <c r="O88" s="116"/>
      <c r="R88" s="27"/>
      <c r="S88" s="27"/>
    </row>
    <row r="132" ht="15" customHeight="1" x14ac:dyDescent="0.25"/>
    <row r="133" ht="15" customHeight="1" x14ac:dyDescent="0.25"/>
    <row r="134" ht="21.6" customHeight="1" x14ac:dyDescent="0.25"/>
    <row r="135" ht="15" customHeight="1" x14ac:dyDescent="0.25"/>
    <row r="165" spans="9:11" x14ac:dyDescent="0.25">
      <c r="I165" s="25"/>
      <c r="J165" s="25"/>
    </row>
    <row r="166" spans="9:11" x14ac:dyDescent="0.25">
      <c r="I166" s="25"/>
      <c r="J166" s="25"/>
    </row>
    <row r="167" spans="9:11" x14ac:dyDescent="0.25">
      <c r="I167" s="25"/>
      <c r="J167" s="25"/>
    </row>
    <row r="168" spans="9:11" x14ac:dyDescent="0.25">
      <c r="I168" s="25"/>
      <c r="J168" s="25"/>
    </row>
    <row r="169" spans="9:11" x14ac:dyDescent="0.25">
      <c r="I169" s="25"/>
      <c r="J169" s="25"/>
    </row>
    <row r="170" spans="9:11" x14ac:dyDescent="0.25">
      <c r="I170" s="25"/>
      <c r="J170" s="25"/>
    </row>
    <row r="171" spans="9:11" x14ac:dyDescent="0.25">
      <c r="I171" s="25"/>
      <c r="J171" s="25"/>
      <c r="K171" s="26"/>
    </row>
    <row r="189" spans="1:1" x14ac:dyDescent="0.25">
      <c r="A189" s="18"/>
    </row>
    <row r="190" spans="1:1" x14ac:dyDescent="0.25">
      <c r="A190" s="18"/>
    </row>
    <row r="239" ht="15" customHeight="1" x14ac:dyDescent="0.25"/>
    <row r="251" spans="8:9" x14ac:dyDescent="0.25">
      <c r="H251" s="202"/>
      <c r="I251" s="203"/>
    </row>
    <row r="295" ht="24" customHeight="1" x14ac:dyDescent="0.25"/>
    <row r="296" ht="37.5" customHeight="1" x14ac:dyDescent="0.25"/>
  </sheetData>
  <mergeCells count="1">
    <mergeCell ref="B2:G2"/>
  </mergeCells>
  <hyperlinks>
    <hyperlink ref="A1" location="Contents!A1" display="Back to contents" xr:uid="{386925CE-6400-4364-B443-D7926EA85B9D}"/>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rowBreaks count="1" manualBreakCount="1">
    <brk id="89" min="1" max="9"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42565-AA8C-45E3-9B47-8EB937827202}">
  <sheetPr codeName="Sheet23">
    <tabColor theme="5"/>
  </sheetPr>
  <dimension ref="A1:K105"/>
  <sheetViews>
    <sheetView showGridLines="0" zoomScaleNormal="100" workbookViewId="0"/>
  </sheetViews>
  <sheetFormatPr defaultRowHeight="15" x14ac:dyDescent="0.25"/>
  <cols>
    <col min="1" max="1" width="9.21875" customWidth="1"/>
    <col min="2" max="3" width="15" customWidth="1"/>
  </cols>
  <sheetData>
    <row r="1" spans="1:8" ht="35.1" customHeight="1" thickBot="1" x14ac:dyDescent="0.3">
      <c r="A1" s="9" t="s">
        <v>22</v>
      </c>
      <c r="C1" s="525"/>
    </row>
    <row r="2" spans="1:8" ht="33.75" customHeight="1" thickBot="1" x14ac:dyDescent="0.3">
      <c r="B2" s="679" t="s">
        <v>642</v>
      </c>
      <c r="C2" s="680"/>
    </row>
    <row r="3" spans="1:8" ht="33.75" customHeight="1" x14ac:dyDescent="0.25">
      <c r="B3" s="341"/>
      <c r="C3" s="197" t="s">
        <v>650</v>
      </c>
    </row>
    <row r="4" spans="1:8" ht="15.75" customHeight="1" x14ac:dyDescent="0.25">
      <c r="B4" s="51" t="s">
        <v>59</v>
      </c>
      <c r="C4" s="69">
        <v>45.63666666666667</v>
      </c>
    </row>
    <row r="5" spans="1:8" ht="15.75" customHeight="1" x14ac:dyDescent="0.25">
      <c r="B5" s="51" t="s">
        <v>60</v>
      </c>
      <c r="C5" s="69">
        <v>43.97999999999999</v>
      </c>
    </row>
    <row r="6" spans="1:8" ht="15.75" customHeight="1" x14ac:dyDescent="0.25">
      <c r="B6" s="51" t="s">
        <v>61</v>
      </c>
      <c r="C6" s="69">
        <v>42.436666666666675</v>
      </c>
    </row>
    <row r="7" spans="1:8" ht="15.75" customHeight="1" x14ac:dyDescent="0.25">
      <c r="B7" s="51" t="s">
        <v>62</v>
      </c>
      <c r="C7" s="69">
        <v>48.786666666666662</v>
      </c>
    </row>
    <row r="8" spans="1:8" ht="15.75" customHeight="1" x14ac:dyDescent="0.25">
      <c r="B8" s="51" t="s">
        <v>63</v>
      </c>
      <c r="C8" s="69">
        <v>54.766666666666673</v>
      </c>
    </row>
    <row r="9" spans="1:8" ht="15.75" customHeight="1" x14ac:dyDescent="0.25">
      <c r="B9" s="51" t="s">
        <v>64</v>
      </c>
      <c r="C9" s="69">
        <v>49.166666666666664</v>
      </c>
    </row>
    <row r="10" spans="1:8" ht="15.75" customHeight="1" x14ac:dyDescent="0.25">
      <c r="B10" s="51" t="s">
        <v>65</v>
      </c>
      <c r="C10" s="69">
        <v>48.556666666666665</v>
      </c>
    </row>
    <row r="11" spans="1:8" ht="15.75" customHeight="1" x14ac:dyDescent="0.25">
      <c r="B11" s="51" t="s">
        <v>66</v>
      </c>
      <c r="C11" s="69">
        <v>50.693333333333328</v>
      </c>
      <c r="H11" s="351"/>
    </row>
    <row r="12" spans="1:8" ht="15.75" customHeight="1" x14ac:dyDescent="0.25">
      <c r="B12" s="51" t="s">
        <v>67</v>
      </c>
      <c r="C12" s="69">
        <v>45.743333333333325</v>
      </c>
      <c r="H12" s="351"/>
    </row>
    <row r="13" spans="1:8" ht="15.75" customHeight="1" x14ac:dyDescent="0.25">
      <c r="B13" s="51" t="s">
        <v>68</v>
      </c>
      <c r="C13" s="69">
        <v>39.353333333333325</v>
      </c>
    </row>
    <row r="14" spans="1:8" ht="15.75" customHeight="1" x14ac:dyDescent="0.25">
      <c r="B14" s="51" t="s">
        <v>69</v>
      </c>
      <c r="C14" s="69">
        <v>38.896666666666675</v>
      </c>
    </row>
    <row r="15" spans="1:8" ht="15.75" customHeight="1" x14ac:dyDescent="0.25">
      <c r="B15" s="51" t="s">
        <v>70</v>
      </c>
      <c r="C15" s="69">
        <v>45.733333333333341</v>
      </c>
    </row>
    <row r="16" spans="1:8" ht="15.75" customHeight="1" x14ac:dyDescent="0.25">
      <c r="B16" s="51" t="s">
        <v>71</v>
      </c>
      <c r="C16" s="69">
        <v>41.21</v>
      </c>
    </row>
    <row r="17" spans="2:3" ht="15.75" customHeight="1" x14ac:dyDescent="0.25">
      <c r="B17" s="51" t="s">
        <v>72</v>
      </c>
      <c r="C17" s="69">
        <v>42.28</v>
      </c>
    </row>
    <row r="18" spans="2:3" ht="15.75" customHeight="1" x14ac:dyDescent="0.25">
      <c r="B18" s="51" t="s">
        <v>73</v>
      </c>
      <c r="C18" s="69">
        <v>41.7</v>
      </c>
    </row>
    <row r="19" spans="2:3" ht="15.75" customHeight="1" x14ac:dyDescent="0.25">
      <c r="B19" s="51" t="s">
        <v>74</v>
      </c>
      <c r="C19" s="69">
        <v>37.79</v>
      </c>
    </row>
    <row r="20" spans="2:3" ht="15.75" customHeight="1" x14ac:dyDescent="0.25">
      <c r="B20" s="51" t="s">
        <v>75</v>
      </c>
      <c r="C20" s="69">
        <v>35.186666666666667</v>
      </c>
    </row>
    <row r="21" spans="2:3" ht="15.75" customHeight="1" x14ac:dyDescent="0.25">
      <c r="B21" s="51" t="s">
        <v>76</v>
      </c>
      <c r="C21" s="69">
        <v>35.496666666666663</v>
      </c>
    </row>
    <row r="22" spans="2:3" ht="15.75" customHeight="1" x14ac:dyDescent="0.25">
      <c r="B22" s="51" t="s">
        <v>77</v>
      </c>
      <c r="C22" s="69">
        <v>42.013333333333328</v>
      </c>
    </row>
    <row r="23" spans="2:3" ht="15.75" customHeight="1" x14ac:dyDescent="0.25">
      <c r="B23" s="51" t="s">
        <v>78</v>
      </c>
      <c r="C23" s="69">
        <v>57.813333333333333</v>
      </c>
    </row>
    <row r="24" spans="2:3" ht="15.75" customHeight="1" x14ac:dyDescent="0.25">
      <c r="B24" s="51" t="s">
        <v>79</v>
      </c>
      <c r="C24" s="69">
        <v>48.283333333333331</v>
      </c>
    </row>
    <row r="25" spans="2:3" ht="15.75" customHeight="1" x14ac:dyDescent="0.25">
      <c r="B25" s="51" t="s">
        <v>80</v>
      </c>
      <c r="C25" s="69">
        <v>41.006666666666675</v>
      </c>
    </row>
    <row r="26" spans="2:3" ht="15.75" customHeight="1" x14ac:dyDescent="0.25">
      <c r="B26" s="51" t="s">
        <v>81</v>
      </c>
      <c r="C26" s="69">
        <v>44.52000000000001</v>
      </c>
    </row>
    <row r="27" spans="2:3" ht="15.75" customHeight="1" x14ac:dyDescent="0.25">
      <c r="B27" s="51" t="s">
        <v>82</v>
      </c>
      <c r="C27" s="69">
        <v>51.436666666666675</v>
      </c>
    </row>
    <row r="28" spans="2:3" ht="15.75" customHeight="1" x14ac:dyDescent="0.25">
      <c r="B28" s="51" t="s">
        <v>83</v>
      </c>
      <c r="C28" s="69">
        <v>53.77000000000001</v>
      </c>
    </row>
    <row r="29" spans="2:3" ht="15.75" customHeight="1" x14ac:dyDescent="0.25">
      <c r="B29" s="51" t="s">
        <v>84</v>
      </c>
      <c r="C29" s="69">
        <v>52.99666666666667</v>
      </c>
    </row>
    <row r="30" spans="2:3" ht="15.75" customHeight="1" x14ac:dyDescent="0.25">
      <c r="B30" s="51" t="s">
        <v>85</v>
      </c>
      <c r="C30" s="69">
        <v>62.413333333333334</v>
      </c>
    </row>
    <row r="31" spans="2:3" ht="15.75" customHeight="1" x14ac:dyDescent="0.25">
      <c r="B31" s="51" t="s">
        <v>86</v>
      </c>
      <c r="C31" s="69">
        <v>63.756666666666661</v>
      </c>
    </row>
    <row r="32" spans="2:3" ht="15.75" customHeight="1" x14ac:dyDescent="0.25">
      <c r="B32" s="51" t="s">
        <v>87</v>
      </c>
      <c r="C32" s="69">
        <v>52.593333333333327</v>
      </c>
    </row>
    <row r="33" spans="2:3" ht="15.75" customHeight="1" x14ac:dyDescent="0.25">
      <c r="B33" s="51" t="s">
        <v>88</v>
      </c>
      <c r="C33" s="69">
        <v>41.54</v>
      </c>
    </row>
    <row r="34" spans="2:3" ht="15.75" customHeight="1" x14ac:dyDescent="0.25">
      <c r="B34" s="51" t="s">
        <v>89</v>
      </c>
      <c r="C34" s="69">
        <v>39.599999999999994</v>
      </c>
    </row>
    <row r="35" spans="2:3" ht="15.75" customHeight="1" x14ac:dyDescent="0.25">
      <c r="B35" s="51" t="s">
        <v>90</v>
      </c>
      <c r="C35" s="69">
        <v>41.24</v>
      </c>
    </row>
    <row r="36" spans="2:3" ht="15.75" customHeight="1" x14ac:dyDescent="0.25">
      <c r="B36" s="51" t="s">
        <v>91</v>
      </c>
      <c r="C36" s="69">
        <v>33.72999999999999</v>
      </c>
    </row>
    <row r="37" spans="2:3" ht="15.75" customHeight="1" x14ac:dyDescent="0.25">
      <c r="B37" s="51" t="s">
        <v>92</v>
      </c>
      <c r="C37" s="69">
        <v>25.52</v>
      </c>
    </row>
    <row r="38" spans="2:3" ht="15.75" customHeight="1" x14ac:dyDescent="0.25">
      <c r="B38" s="51" t="s">
        <v>93</v>
      </c>
      <c r="C38" s="69">
        <v>38.153333333333329</v>
      </c>
    </row>
    <row r="39" spans="2:3" ht="15.75" customHeight="1" x14ac:dyDescent="0.25">
      <c r="B39" s="51" t="s">
        <v>94</v>
      </c>
      <c r="C39" s="69">
        <v>50.349999999999994</v>
      </c>
    </row>
    <row r="40" spans="2:3" ht="15.75" customHeight="1" x14ac:dyDescent="0.25">
      <c r="B40" s="51" t="s">
        <v>95</v>
      </c>
      <c r="C40" s="69">
        <v>68.193333333333342</v>
      </c>
    </row>
    <row r="41" spans="2:3" ht="15.75" customHeight="1" x14ac:dyDescent="0.25">
      <c r="B41" s="51" t="s">
        <v>96</v>
      </c>
      <c r="C41" s="69">
        <v>75.576666666666654</v>
      </c>
    </row>
    <row r="42" spans="2:3" ht="15.75" customHeight="1" x14ac:dyDescent="0.25">
      <c r="B42" s="51" t="s">
        <v>97</v>
      </c>
      <c r="C42" s="69">
        <v>144.58333333333334</v>
      </c>
    </row>
    <row r="43" spans="2:3" ht="15.75" customHeight="1" x14ac:dyDescent="0.25">
      <c r="B43" s="51" t="s">
        <v>98</v>
      </c>
      <c r="C43" s="69">
        <v>221.51333333333332</v>
      </c>
    </row>
    <row r="44" spans="2:3" ht="15.75" customHeight="1" x14ac:dyDescent="0.25">
      <c r="B44" s="51" t="s">
        <v>99</v>
      </c>
      <c r="C44" s="69">
        <v>212.34666666666664</v>
      </c>
    </row>
    <row r="45" spans="2:3" ht="15.75" customHeight="1" x14ac:dyDescent="0.25">
      <c r="B45" s="51" t="s">
        <v>100</v>
      </c>
      <c r="C45" s="69">
        <v>156.86333333333334</v>
      </c>
    </row>
    <row r="46" spans="2:3" ht="15.75" customHeight="1" x14ac:dyDescent="0.25">
      <c r="B46" s="51" t="s">
        <v>101</v>
      </c>
      <c r="C46" s="69">
        <v>299.94666666666666</v>
      </c>
    </row>
    <row r="47" spans="2:3" ht="15.75" customHeight="1" x14ac:dyDescent="0.25">
      <c r="B47" s="51" t="s">
        <v>102</v>
      </c>
      <c r="C47" s="69">
        <v>178.23333333333335</v>
      </c>
    </row>
    <row r="48" spans="2:3" ht="15.75" customHeight="1" x14ac:dyDescent="0.25">
      <c r="B48" s="51" t="s">
        <v>103</v>
      </c>
      <c r="C48" s="69">
        <v>126.38</v>
      </c>
    </row>
    <row r="49" spans="2:5" ht="15.75" customHeight="1" x14ac:dyDescent="0.25">
      <c r="B49" s="51" t="s">
        <v>104</v>
      </c>
      <c r="C49" s="69">
        <v>92.160000000000011</v>
      </c>
    </row>
    <row r="50" spans="2:5" ht="15.75" customHeight="1" x14ac:dyDescent="0.25">
      <c r="B50" s="51" t="s">
        <v>105</v>
      </c>
      <c r="C50" s="69">
        <v>85.756666666666661</v>
      </c>
    </row>
    <row r="51" spans="2:5" ht="15.75" customHeight="1" x14ac:dyDescent="0.25">
      <c r="B51" s="51" t="s">
        <v>106</v>
      </c>
      <c r="C51" s="69">
        <v>84.910000000000011</v>
      </c>
    </row>
    <row r="52" spans="2:5" ht="15.75" customHeight="1" x14ac:dyDescent="0.25">
      <c r="B52" s="51" t="s">
        <v>107</v>
      </c>
      <c r="C52" s="69">
        <v>66.206666666666663</v>
      </c>
    </row>
    <row r="53" spans="2:5" ht="15.75" customHeight="1" x14ac:dyDescent="0.25">
      <c r="B53" s="51" t="s">
        <v>108</v>
      </c>
      <c r="C53" s="69">
        <v>69.713333333333324</v>
      </c>
    </row>
    <row r="54" spans="2:5" ht="15.75" customHeight="1" x14ac:dyDescent="0.25">
      <c r="B54" s="51" t="s">
        <v>109</v>
      </c>
      <c r="C54" s="69">
        <v>68.756666666666661</v>
      </c>
    </row>
    <row r="55" spans="2:5" ht="15.75" customHeight="1" x14ac:dyDescent="0.25">
      <c r="B55" s="51" t="s">
        <v>110</v>
      </c>
      <c r="C55" s="69">
        <v>98.093333333333334</v>
      </c>
    </row>
    <row r="56" spans="2:5" ht="15.75" customHeight="1" x14ac:dyDescent="0.25">
      <c r="B56" s="51" t="s">
        <v>111</v>
      </c>
      <c r="C56" s="69">
        <v>106.64</v>
      </c>
    </row>
    <row r="57" spans="2:5" ht="15.75" customHeight="1" x14ac:dyDescent="0.25">
      <c r="B57" s="51" t="s">
        <v>112</v>
      </c>
      <c r="C57" s="69">
        <v>77.430000000000021</v>
      </c>
      <c r="E57" s="456"/>
    </row>
    <row r="58" spans="2:5" ht="15.75" customHeight="1" x14ac:dyDescent="0.25">
      <c r="B58" s="51" t="s">
        <v>113</v>
      </c>
      <c r="C58" s="69">
        <v>74.873333333333349</v>
      </c>
      <c r="E58" s="456"/>
    </row>
    <row r="59" spans="2:5" ht="15.75" customHeight="1" x14ac:dyDescent="0.25">
      <c r="B59" s="51" t="s">
        <v>114</v>
      </c>
      <c r="C59" s="69">
        <v>76.79000000000002</v>
      </c>
      <c r="E59" s="456"/>
    </row>
    <row r="60" spans="2:5" ht="15.75" customHeight="1" x14ac:dyDescent="0.25">
      <c r="B60" s="51" t="s">
        <v>115</v>
      </c>
      <c r="C60" s="69">
        <v>90.413333333333341</v>
      </c>
      <c r="E60" s="456"/>
    </row>
    <row r="61" spans="2:5" ht="15.75" customHeight="1" x14ac:dyDescent="0.25">
      <c r="B61" s="51" t="s">
        <v>116</v>
      </c>
      <c r="C61" s="69">
        <v>100.44333333333334</v>
      </c>
      <c r="E61" s="456"/>
    </row>
    <row r="62" spans="2:5" ht="15.75" customHeight="1" x14ac:dyDescent="0.25">
      <c r="B62" s="51" t="s">
        <v>117</v>
      </c>
      <c r="C62" s="69">
        <v>119.3690033444816</v>
      </c>
      <c r="E62" s="456"/>
    </row>
    <row r="63" spans="2:5" ht="15.75" customHeight="1" x14ac:dyDescent="0.25">
      <c r="B63" s="51" t="s">
        <v>118</v>
      </c>
      <c r="C63" s="69">
        <v>125.88666666666668</v>
      </c>
      <c r="E63" s="456"/>
    </row>
    <row r="64" spans="2:5" ht="15.75" customHeight="1" x14ac:dyDescent="0.25">
      <c r="B64" s="51" t="s">
        <v>119</v>
      </c>
      <c r="C64" s="69">
        <v>122.36033333333334</v>
      </c>
      <c r="E64" s="456"/>
    </row>
    <row r="65" spans="2:5" ht="15.75" customHeight="1" x14ac:dyDescent="0.25">
      <c r="B65" s="51" t="s">
        <v>120</v>
      </c>
      <c r="C65" s="69">
        <v>85.345000000000013</v>
      </c>
      <c r="E65" s="456"/>
    </row>
    <row r="66" spans="2:5" ht="15.75" customHeight="1" x14ac:dyDescent="0.25">
      <c r="B66" s="51" t="s">
        <v>121</v>
      </c>
      <c r="C66" s="69">
        <v>81.195333333333338</v>
      </c>
      <c r="E66" s="456"/>
    </row>
    <row r="67" spans="2:5" ht="15.75" customHeight="1" x14ac:dyDescent="0.25">
      <c r="B67" s="51" t="s">
        <v>122</v>
      </c>
      <c r="C67" s="69">
        <v>83.126666666666651</v>
      </c>
      <c r="E67" s="456"/>
    </row>
    <row r="68" spans="2:5" ht="15.75" customHeight="1" x14ac:dyDescent="0.25">
      <c r="B68" s="51" t="s">
        <v>123</v>
      </c>
      <c r="C68" s="69">
        <v>87.883666666666656</v>
      </c>
      <c r="E68" s="456"/>
    </row>
    <row r="69" spans="2:5" ht="15.75" customHeight="1" x14ac:dyDescent="0.25">
      <c r="B69" s="51" t="s">
        <v>124</v>
      </c>
      <c r="C69" s="69">
        <v>65.196000000000012</v>
      </c>
      <c r="E69" s="456"/>
    </row>
    <row r="70" spans="2:5" ht="15.75" customHeight="1" x14ac:dyDescent="0.25">
      <c r="B70" s="51" t="s">
        <v>125</v>
      </c>
      <c r="C70" s="69">
        <v>64.379000000000005</v>
      </c>
      <c r="E70" s="456"/>
    </row>
    <row r="71" spans="2:5" ht="15.75" customHeight="1" x14ac:dyDescent="0.25">
      <c r="B71" s="51" t="s">
        <v>126</v>
      </c>
      <c r="C71" s="69">
        <v>73.386999999999986</v>
      </c>
      <c r="E71" s="456"/>
    </row>
    <row r="72" spans="2:5" ht="15.75" customHeight="1" x14ac:dyDescent="0.25">
      <c r="B72" s="51" t="s">
        <v>127</v>
      </c>
      <c r="C72" s="69">
        <v>71.89233333333334</v>
      </c>
      <c r="E72" s="456"/>
    </row>
    <row r="73" spans="2:5" ht="15.75" customHeight="1" x14ac:dyDescent="0.25">
      <c r="B73" s="51" t="s">
        <v>128</v>
      </c>
      <c r="C73" s="69">
        <v>63.104999999999997</v>
      </c>
      <c r="E73" s="456"/>
    </row>
    <row r="74" spans="2:5" ht="15.75" customHeight="1" x14ac:dyDescent="0.25">
      <c r="B74" s="51" t="s">
        <v>129</v>
      </c>
      <c r="C74" s="69">
        <v>62.693333333333328</v>
      </c>
      <c r="E74" s="456"/>
    </row>
    <row r="75" spans="2:5" ht="15.75" customHeight="1" x14ac:dyDescent="0.25">
      <c r="B75" s="51" t="s">
        <v>130</v>
      </c>
      <c r="C75" s="69">
        <v>71.836666666666659</v>
      </c>
      <c r="E75" s="456"/>
    </row>
    <row r="76" spans="2:5" ht="15.75" customHeight="1" x14ac:dyDescent="0.25">
      <c r="B76" s="344" t="s">
        <v>131</v>
      </c>
      <c r="C76" s="69">
        <v>71.37466666666667</v>
      </c>
      <c r="E76" s="456"/>
    </row>
    <row r="77" spans="2:5" ht="15.75" customHeight="1" x14ac:dyDescent="0.25">
      <c r="B77" s="344" t="s">
        <v>132</v>
      </c>
      <c r="C77" s="69">
        <v>68.15287905630295</v>
      </c>
      <c r="E77" s="456"/>
    </row>
    <row r="78" spans="2:5" ht="15.75" customHeight="1" x14ac:dyDescent="0.25">
      <c r="B78" s="344" t="s">
        <v>133</v>
      </c>
      <c r="C78" s="69">
        <v>68.514245738191235</v>
      </c>
      <c r="E78" s="456"/>
    </row>
    <row r="79" spans="2:5" ht="15.75" customHeight="1" x14ac:dyDescent="0.25">
      <c r="B79" s="344" t="s">
        <v>134</v>
      </c>
      <c r="C79" s="69">
        <v>68.877529879563525</v>
      </c>
      <c r="E79" s="456"/>
    </row>
    <row r="80" spans="2:5" ht="15.75" customHeight="1" x14ac:dyDescent="0.25">
      <c r="B80" s="344" t="s">
        <v>135</v>
      </c>
      <c r="C80" s="69">
        <v>69.242736745544178</v>
      </c>
      <c r="E80" s="456"/>
    </row>
    <row r="81" spans="2:5" ht="15.75" customHeight="1" x14ac:dyDescent="0.25">
      <c r="B81" s="344" t="s">
        <v>645</v>
      </c>
      <c r="C81" s="69">
        <v>69.609875394849794</v>
      </c>
      <c r="E81" s="456"/>
    </row>
    <row r="82" spans="2:5" ht="15.75" customHeight="1" x14ac:dyDescent="0.25">
      <c r="B82" s="344" t="s">
        <v>646</v>
      </c>
      <c r="C82" s="69">
        <v>69.978957379902411</v>
      </c>
      <c r="E82" s="456"/>
    </row>
    <row r="83" spans="2:5" ht="15.75" customHeight="1" x14ac:dyDescent="0.25">
      <c r="B83" s="344" t="s">
        <v>647</v>
      </c>
      <c r="C83" s="69">
        <v>70.349995425978491</v>
      </c>
      <c r="E83" s="456"/>
    </row>
    <row r="84" spans="2:5" ht="15.75" customHeight="1" x14ac:dyDescent="0.25">
      <c r="B84" s="344" t="s">
        <v>648</v>
      </c>
      <c r="C84" s="69">
        <v>70.723002090369732</v>
      </c>
      <c r="E84" s="456"/>
    </row>
    <row r="85" spans="2:5" x14ac:dyDescent="0.25">
      <c r="B85" s="454">
        <v>2012</v>
      </c>
      <c r="C85" s="455">
        <f ca="1">AVERAGE(OFFSET(C$4,(ROW()-ROW(B$85))*4,0,4,1))</f>
        <v>45.21</v>
      </c>
    </row>
    <row r="86" spans="2:5" x14ac:dyDescent="0.25">
      <c r="B86" s="51">
        <v>2013</v>
      </c>
      <c r="C86" s="69">
        <f t="shared" ref="C86:C103" ca="1" si="0">AVERAGE(OFFSET(C$4,(ROW()-ROW(B$85))*4,0,4,1))</f>
        <v>50.795833333333334</v>
      </c>
    </row>
    <row r="87" spans="2:5" x14ac:dyDescent="0.25">
      <c r="B87" s="51">
        <v>2014</v>
      </c>
      <c r="C87" s="69">
        <f t="shared" ca="1" si="0"/>
        <v>42.431666666666665</v>
      </c>
    </row>
    <row r="88" spans="2:5" x14ac:dyDescent="0.25">
      <c r="B88" s="51">
        <v>2015</v>
      </c>
      <c r="C88" s="69">
        <f t="shared" ca="1" si="0"/>
        <v>40.745000000000005</v>
      </c>
    </row>
    <row r="89" spans="2:5" x14ac:dyDescent="0.25">
      <c r="B89" s="51">
        <v>2016</v>
      </c>
      <c r="C89" s="69">
        <f t="shared" ca="1" si="0"/>
        <v>42.627499999999998</v>
      </c>
    </row>
    <row r="90" spans="2:5" x14ac:dyDescent="0.25">
      <c r="B90" s="51">
        <v>2017</v>
      </c>
      <c r="C90" s="69">
        <f t="shared" ca="1" si="0"/>
        <v>46.311666666666667</v>
      </c>
    </row>
    <row r="91" spans="2:5" x14ac:dyDescent="0.25">
      <c r="B91" s="51">
        <v>2018</v>
      </c>
      <c r="C91" s="69">
        <f t="shared" ca="1" si="0"/>
        <v>58.234166666666667</v>
      </c>
    </row>
    <row r="92" spans="2:5" x14ac:dyDescent="0.25">
      <c r="B92" s="51">
        <v>2019</v>
      </c>
      <c r="C92" s="69">
        <f t="shared" ca="1" si="0"/>
        <v>43.743333333333332</v>
      </c>
    </row>
    <row r="93" spans="2:5" x14ac:dyDescent="0.25">
      <c r="B93" s="51">
        <v>2020</v>
      </c>
      <c r="C93" s="69">
        <f t="shared" ca="1" si="0"/>
        <v>36.938333333333325</v>
      </c>
    </row>
    <row r="94" spans="2:5" x14ac:dyDescent="0.25">
      <c r="B94" s="51">
        <v>2021</v>
      </c>
      <c r="C94" s="69">
        <f t="shared" ca="1" si="0"/>
        <v>127.46666666666667</v>
      </c>
    </row>
    <row r="95" spans="2:5" x14ac:dyDescent="0.25">
      <c r="B95" s="51">
        <v>2022</v>
      </c>
      <c r="C95" s="69">
        <f t="shared" ca="1" si="0"/>
        <v>211.8475</v>
      </c>
    </row>
    <row r="96" spans="2:5" x14ac:dyDescent="0.25">
      <c r="B96" s="51">
        <v>2023</v>
      </c>
      <c r="C96" s="69">
        <f t="shared" ca="1" si="0"/>
        <v>97.301666666666677</v>
      </c>
    </row>
    <row r="97" spans="2:11" x14ac:dyDescent="0.25">
      <c r="B97" s="51">
        <v>2024</v>
      </c>
      <c r="C97" s="69">
        <f t="shared" ca="1" si="0"/>
        <v>75.692499999999995</v>
      </c>
    </row>
    <row r="98" spans="2:11" x14ac:dyDescent="0.25">
      <c r="B98" s="51">
        <v>2025</v>
      </c>
      <c r="C98" s="69">
        <f t="shared" ca="1" si="0"/>
        <v>83.933333333333351</v>
      </c>
    </row>
    <row r="99" spans="2:11" x14ac:dyDescent="0.25">
      <c r="B99" s="51">
        <v>2026</v>
      </c>
      <c r="C99" s="69">
        <f t="shared" ca="1" si="0"/>
        <v>109.02808416945373</v>
      </c>
    </row>
    <row r="100" spans="2:11" x14ac:dyDescent="0.25">
      <c r="B100" s="51">
        <v>2027</v>
      </c>
      <c r="C100" s="69">
        <f t="shared" ca="1" si="0"/>
        <v>93.006833333333333</v>
      </c>
    </row>
    <row r="101" spans="2:11" x14ac:dyDescent="0.25">
      <c r="B101" s="51">
        <v>2028</v>
      </c>
      <c r="C101" s="69">
        <f t="shared" ca="1" si="0"/>
        <v>72.711416666666665</v>
      </c>
    </row>
    <row r="102" spans="2:11" x14ac:dyDescent="0.25">
      <c r="B102" s="51">
        <v>2029</v>
      </c>
      <c r="C102" s="69">
        <f t="shared" ca="1" si="0"/>
        <v>67.381833333333333</v>
      </c>
    </row>
    <row r="103" spans="2:11" x14ac:dyDescent="0.25">
      <c r="B103" s="51">
        <v>2030</v>
      </c>
      <c r="C103" s="69">
        <f t="shared" ca="1" si="0"/>
        <v>69.229830335181106</v>
      </c>
    </row>
    <row r="104" spans="2:11" ht="15.75" thickBot="1" x14ac:dyDescent="0.3">
      <c r="B104" s="51">
        <v>2031</v>
      </c>
      <c r="C104" s="350">
        <f t="shared" ref="C104" ca="1" si="1">AVERAGE(OFFSET(C$4,(ROW()-ROW(B$85))*4,0,4,1))</f>
        <v>69.795391236568719</v>
      </c>
    </row>
    <row r="105" spans="2:11" ht="55.9" customHeight="1" thickBot="1" x14ac:dyDescent="0.3">
      <c r="B105" s="677" t="s">
        <v>643</v>
      </c>
      <c r="C105" s="678"/>
      <c r="D105" s="352"/>
      <c r="E105" s="353"/>
      <c r="F105" s="353"/>
      <c r="G105" s="353"/>
      <c r="H105" s="353"/>
      <c r="I105" s="353"/>
      <c r="J105" s="353"/>
      <c r="K105" s="353"/>
    </row>
  </sheetData>
  <mergeCells count="2">
    <mergeCell ref="B105:C105"/>
    <mergeCell ref="B2:C2"/>
  </mergeCells>
  <phoneticPr fontId="91" type="noConversion"/>
  <hyperlinks>
    <hyperlink ref="A1" location="Contents!A1" display="Back to contents" xr:uid="{A88F5489-0E46-4210-A8FA-137868496E4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2C96ACA46833F4AB1D2CC4806521168" ma:contentTypeVersion="16" ma:contentTypeDescription="Create a new document." ma:contentTypeScope="" ma:versionID="79f908cf4e90f160875085e7739a17b2">
  <xsd:schema xmlns:xsd="http://www.w3.org/2001/XMLSchema" xmlns:xs="http://www.w3.org/2001/XMLSchema" xmlns:p="http://schemas.microsoft.com/office/2006/metadata/properties" xmlns:ns2="948fa257-3e14-4b75-aa1a-a7f998a43203" xmlns:ns3="cbf196e1-5475-4219-bccf-433101613419" targetNamespace="http://schemas.microsoft.com/office/2006/metadata/properties" ma:root="true" ma:fieldsID="2c1f67c917442b5ef3663deebdf58122" ns2:_="" ns3:_="">
    <xsd:import namespace="948fa257-3e14-4b75-aa1a-a7f998a43203"/>
    <xsd:import namespace="cbf196e1-5475-4219-bccf-4331016134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Comments" minOccurs="0"/>
                <xsd:element ref="ns2:_Flow_SignoffStatu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8fa257-3e14-4b75-aa1a-a7f998a432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Comments" ma:index="12" nillable="true" ma:displayName="Comments" ma:format="Dropdown" ma:internalName="Comments">
      <xsd:simpleType>
        <xsd:restriction base="dms:Note">
          <xsd:maxLength value="255"/>
        </xsd:restriction>
      </xsd:simpleType>
    </xsd:element>
    <xsd:element name="_Flow_SignoffStatus" ma:index="13" nillable="true" ma:displayName="Sign-off status" ma:internalName="_x0024_Resources_x003a_core_x002c_Signoff_Status">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002b6cd-6bc3-456d-8dd0-19fe32dddaf9"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f196e1-5475-4219-bccf-43310161341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74da1153-f629-4049-9f79-97e51e6e5933}" ma:internalName="TaxCatchAll" ma:showField="CatchAllData" ma:web="cbf196e1-5475-4219-bccf-4331016134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s xmlns="948fa257-3e14-4b75-aa1a-a7f998a43203" xsi:nil="true"/>
    <lcf76f155ced4ddcb4097134ff3c332f xmlns="948fa257-3e14-4b75-aa1a-a7f998a43203">
      <Terms xmlns="http://schemas.microsoft.com/office/infopath/2007/PartnerControls"/>
    </lcf76f155ced4ddcb4097134ff3c332f>
    <_Flow_SignoffStatus xmlns="948fa257-3e14-4b75-aa1a-a7f998a43203" xsi:nil="true"/>
    <TaxCatchAll xmlns="cbf196e1-5475-4219-bccf-433101613419" xsi:nil="true"/>
  </documentManagement>
</p:properties>
</file>

<file path=customXml/itemProps1.xml><?xml version="1.0" encoding="utf-8"?>
<ds:datastoreItem xmlns:ds="http://schemas.openxmlformats.org/officeDocument/2006/customXml" ds:itemID="{3EF546A2-A5A2-4EE5-91D0-49BC3F0771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8fa257-3e14-4b75-aa1a-a7f998a43203"/>
    <ds:schemaRef ds:uri="cbf196e1-5475-4219-bccf-4331016134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50A6425-AE8F-4878-B03C-61E5B465B13A}">
  <ds:schemaRefs>
    <ds:schemaRef ds:uri="http://schemas.microsoft.com/sharepoint/v3/contenttype/forms"/>
  </ds:schemaRefs>
</ds:datastoreItem>
</file>

<file path=customXml/itemProps3.xml><?xml version="1.0" encoding="utf-8"?>
<ds:datastoreItem xmlns:ds="http://schemas.openxmlformats.org/officeDocument/2006/customXml" ds:itemID="{DBCB50D2-6103-4B63-857C-0ACB852786A3}">
  <ds:schemaRefs>
    <ds:schemaRef ds:uri="948fa257-3e14-4b75-aa1a-a7f998a43203"/>
    <ds:schemaRef ds:uri="cbf196e1-5475-4219-bccf-433101613419"/>
    <ds:schemaRef ds:uri="http://schemas.microsoft.com/office/infopath/2007/PartnerControls"/>
    <ds:schemaRef ds:uri="http://purl.org/dc/terms/"/>
    <ds:schemaRef ds:uri="http://purl.org/dc/elements/1.1/"/>
    <ds:schemaRef ds:uri="http://schemas.openxmlformats.org/package/2006/metadata/core-properties"/>
    <ds:schemaRef ds:uri="http://schemas.microsoft.com/office/2006/metadata/properties"/>
    <ds:schemaRef ds:uri="http://schemas.microsoft.com/office/2006/documentManagement/types"/>
    <ds:schemaRef ds:uri="http://purl.org/dc/dcmitype/"/>
    <ds:schemaRef ds:uri="http://www.w3.org/XML/1998/namespace"/>
  </ds:schemaRefs>
</ds:datastoreItem>
</file>

<file path=docMetadata/LabelInfo.xml><?xml version="1.0" encoding="utf-8"?>
<clbl:labelList xmlns:clbl="http://schemas.microsoft.com/office/2020/mipLabelMetadata">
  <clbl:label id="{ed1644c5-05e0-49e6-bc39-fcf7ac51c18c}" enabled="0" method="" siteId="{ed1644c5-05e0-49e6-bc39-fcf7ac51c18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19</vt:i4>
      </vt:variant>
    </vt:vector>
  </HeadingPairs>
  <TitlesOfParts>
    <vt:vector size="42" baseType="lpstr">
      <vt:lpstr>Contents</vt:lpstr>
      <vt:lpstr>1.1</vt:lpstr>
      <vt:lpstr>1.2</vt:lpstr>
      <vt:lpstr>1.3</vt:lpstr>
      <vt:lpstr>1.4</vt:lpstr>
      <vt:lpstr>1.5</vt:lpstr>
      <vt:lpstr>1.6</vt:lpstr>
      <vt:lpstr>1.7</vt:lpstr>
      <vt:lpstr>1.8</vt:lpstr>
      <vt:lpstr>1.9</vt:lpstr>
      <vt:lpstr>1.10</vt:lpstr>
      <vt:lpstr>1.11</vt:lpstr>
      <vt:lpstr>1.11b</vt:lpstr>
      <vt:lpstr>1.12</vt:lpstr>
      <vt:lpstr>1.13</vt:lpstr>
      <vt:lpstr>1.14</vt:lpstr>
      <vt:lpstr>1.15</vt:lpstr>
      <vt:lpstr>1.16</vt:lpstr>
      <vt:lpstr>1.17</vt:lpstr>
      <vt:lpstr>1.18</vt:lpstr>
      <vt:lpstr>1.19</vt:lpstr>
      <vt:lpstr>1.19b</vt:lpstr>
      <vt:lpstr>1.20</vt:lpstr>
      <vt:lpstr>'1.1'!Print_Area</vt:lpstr>
      <vt:lpstr>'1.11'!Print_Area</vt:lpstr>
      <vt:lpstr>'1.11b'!Print_Area</vt:lpstr>
      <vt:lpstr>'1.12'!Print_Area</vt:lpstr>
      <vt:lpstr>'1.13'!Print_Area</vt:lpstr>
      <vt:lpstr>'1.14'!Print_Area</vt:lpstr>
      <vt:lpstr>'1.15'!Print_Area</vt:lpstr>
      <vt:lpstr>'1.16'!Print_Area</vt:lpstr>
      <vt:lpstr>'1.18'!Print_Area</vt:lpstr>
      <vt:lpstr>'1.19'!Print_Area</vt:lpstr>
      <vt:lpstr>'1.19b'!Print_Area</vt:lpstr>
      <vt:lpstr>'1.2'!Print_Area</vt:lpstr>
      <vt:lpstr>'1.3'!Print_Area</vt:lpstr>
      <vt:lpstr>'1.4'!Print_Area</vt:lpstr>
      <vt:lpstr>'1.5'!Print_Area</vt:lpstr>
      <vt:lpstr>'1.6'!Print_Area</vt:lpstr>
      <vt:lpstr>'1.7'!Print_Area</vt:lpstr>
      <vt:lpstr>'1.9'!Print_Area</vt:lpstr>
      <vt:lpstr>Contents!Print_Area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Harriet Price</dc:creator>
  <cp:keywords/>
  <dc:description/>
  <cp:lastModifiedBy>Rawlings, Joshua - OBR</cp:lastModifiedBy>
  <cp:revision/>
  <cp:lastPrinted>2026-02-26T09:38:58Z</cp:lastPrinted>
  <dcterms:created xsi:type="dcterms:W3CDTF">2010-11-27T22:19:23Z</dcterms:created>
  <dcterms:modified xsi:type="dcterms:W3CDTF">2026-10-27T15:26:43Z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0x01010042C96ACA46833F4AB1D2CC4806521168</vt:lpwstr>
  </property>
  <property fmtid="{D5CDD505-2E9C-101B-9397-08002B2CF9AE}" pid="3" name="MediaServiceImageTags">
    <vt:lpwstr/>
  </property>
</Properties>
</file>