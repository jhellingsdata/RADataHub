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codeName="ThisWorkbook"/>
  <mc:AlternateContent xmlns:mc="http://schemas.openxmlformats.org/markup-compatibility/2006">
    <mc:Choice Requires="x15">
      <x15ac:absPath xmlns:x15ac="http://schemas.microsoft.com/office/spreadsheetml/2010/11/ac" url="https://tris42.sharepoint.com/sites/OBR/Shared Documents/Outputs_and_Publications/EFO/2026_Autumn/Delivery/WEBSITE/2. WebCATS/"/>
    </mc:Choice>
  </mc:AlternateContent>
  <xr:revisionPtr revIDLastSave="447" documentId="8_{F6E6631F-E5B2-47E5-9805-E8482AC60C97}" xr6:coauthVersionLast="47" xr6:coauthVersionMax="47" xr10:uidLastSave="{02F489FE-05D1-4F08-8930-23B239CF41EE}"/>
  <bookViews>
    <workbookView xWindow="960" yWindow="1040" windowWidth="21600" windowHeight="11240" tabRatio="875" xr2:uid="{EB59E219-CB48-4DC4-A249-9A2B91D00918}"/>
  </bookViews>
  <sheets>
    <sheet name="Contents" sheetId="33" r:id="rId1"/>
    <sheet name="Annex A" sheetId="34" r:id="rId2"/>
    <sheet name="TA.1" sheetId="19" r:id="rId3"/>
    <sheet name="TA.2" sheetId="20" r:id="rId4"/>
    <sheet name="TA.3" sheetId="21" r:id="rId5"/>
    <sheet name="TA.4" sheetId="22" r:id="rId6"/>
    <sheet name="TA.5" sheetId="23" r:id="rId7"/>
    <sheet name="TA.6" sheetId="24" r:id="rId8"/>
    <sheet name="TA.7" sheetId="25" r:id="rId9"/>
    <sheet name="TA.8" sheetId="26" r:id="rId10"/>
    <sheet name="TA.9" sheetId="27" r:id="rId11"/>
    <sheet name="TA.10" sheetId="28" r:id="rId12"/>
    <sheet name="TA.11" sheetId="29" r:id="rId13"/>
    <sheet name="TA.12" sheetId="30" r:id="rId14"/>
  </sheets>
  <definedNames>
    <definedName name="\A">#REF!</definedName>
    <definedName name="\B">#REF!</definedName>
    <definedName name="\e">#REF!</definedName>
    <definedName name="\I">#REF!</definedName>
    <definedName name="\l">#REF!</definedName>
    <definedName name="\p">#REF!</definedName>
    <definedName name="\Q">#REF!</definedName>
    <definedName name="\s">#REF!</definedName>
    <definedName name="\T">#REF!</definedName>
    <definedName name="\UPDATE">#REF!</definedName>
    <definedName name="\z">#REF!</definedName>
    <definedName name="___xlc_DefaultDisplayOption___" hidden="1">"caption"</definedName>
    <definedName name="___xlc_DisplayNullValuesAs___" hidden="1">"___xlc_DisplayNullValuesAs_empty___"</definedName>
    <definedName name="___xlc_PromptForInsertOnDrill___" hidden="1">FALSE</definedName>
    <definedName name="___xlc_SuppressNULLSOnDrill___" hidden="1">TRUE</definedName>
    <definedName name="___xlc_SuppressZerosOnDrill___" hidden="1">FALSE</definedName>
    <definedName name="__05MAY11">#REF!</definedName>
    <definedName name="__123Graph_A" hidden="1">#REF!</definedName>
    <definedName name="__123Graph_AALLTAX" hidden="1">#REF!</definedName>
    <definedName name="__123Graph_ACFSINDIV" hidden="1">#REF!</definedName>
    <definedName name="__123Graph_AChart1" hidden="1">#REF!</definedName>
    <definedName name="__123Graph_ACHGSPD1" hidden="1">#REF!</definedName>
    <definedName name="__123Graph_ACHGSPD2" hidden="1">#REF!</definedName>
    <definedName name="__123Graph_ACurrent" hidden="1">#REF!</definedName>
    <definedName name="__123Graph_AEFF" hidden="1">#REF!</definedName>
    <definedName name="__123Graph_AGR14PBF1" hidden="1">#REF!</definedName>
    <definedName name="__123Graph_AHOMEVAT" hidden="1">#REF!</definedName>
    <definedName name="__123Graph_AIMPORT" hidden="1">#REF!</definedName>
    <definedName name="__123Graph_ALBFFIN" hidden="1">#REF!</definedName>
    <definedName name="__123Graph_ALBFFIN2" hidden="1">#REF!</definedName>
    <definedName name="__123Graph_ALBFHIC2" hidden="1">#REF!</definedName>
    <definedName name="__123Graph_ALCB" hidden="1">#REF!</definedName>
    <definedName name="__123Graph_ANACFIN" hidden="1">#REF!</definedName>
    <definedName name="__123Graph_ANACHIC" hidden="1">#REF!</definedName>
    <definedName name="__123Graph_APDNUMBERS" hidden="1">#REF!</definedName>
    <definedName name="__123Graph_APDTRENDS" hidden="1">#REF!</definedName>
    <definedName name="__123Graph_APIC" hidden="1">#REF!</definedName>
    <definedName name="__123Graph_ATOBREV" hidden="1">#REF!</definedName>
    <definedName name="__123Graph_ATOTAL" hidden="1">#REF!</definedName>
    <definedName name="__123Graph_B" hidden="1">#REF!</definedName>
    <definedName name="__123Graph_BCFSINDIV" hidden="1">#REF!</definedName>
    <definedName name="__123Graph_BCFSUK" hidden="1">#REF!</definedName>
    <definedName name="__123Graph_BChart1" hidden="1">#REF!</definedName>
    <definedName name="__123Graph_BCHGSPD1" hidden="1">#REF!</definedName>
    <definedName name="__123Graph_BCHGSPD2" hidden="1">#REF!</definedName>
    <definedName name="__123Graph_BCurrent" hidden="1">#REF!</definedName>
    <definedName name="__123Graph_BEFF" hidden="1">#REF!</definedName>
    <definedName name="__123Graph_BHOMEVAT" hidden="1">#REF!</definedName>
    <definedName name="__123Graph_BIMPORT" hidden="1">#REF!</definedName>
    <definedName name="__123Graph_BLBF" hidden="1">#REF!</definedName>
    <definedName name="__123Graph_BLBFFIN" hidden="1">#REF!</definedName>
    <definedName name="__123Graph_BLBFFIN_NEW" hidden="1">#REF!</definedName>
    <definedName name="__123Graph_BLCB" hidden="1">#REF!</definedName>
    <definedName name="__123Graph_BPDTRENDS" hidden="1">#REF!</definedName>
    <definedName name="__123Graph_BPIC" hidden="1">#REF!</definedName>
    <definedName name="__123Graph_BTOTAL" hidden="1">#REF!</definedName>
    <definedName name="__123Graph_C" hidden="1">#REF!</definedName>
    <definedName name="__123Graph_CACT13BUD" hidden="1">#REF!</definedName>
    <definedName name="__123Graph_CCFSINDIV" hidden="1">#REF!</definedName>
    <definedName name="__123Graph_CCFSUK" hidden="1">#REF!</definedName>
    <definedName name="__123Graph_CChart1" hidden="1">#REF!</definedName>
    <definedName name="__123Graph_CCurrent" hidden="1">#REF!</definedName>
    <definedName name="__123Graph_CEFF" hidden="1">#REF!</definedName>
    <definedName name="__123Graph_CGR14PBF1" hidden="1">#REF!</definedName>
    <definedName name="__123Graph_CLBF" hidden="1">#REF!</definedName>
    <definedName name="__123Graph_CPIC" hidden="1">#REF!</definedName>
    <definedName name="__123Graph_D" hidden="1">#REF!</definedName>
    <definedName name="__123Graph_DACT13BUD" hidden="1">#REF!</definedName>
    <definedName name="__123Graph_DCFSINDIV" hidden="1">#REF!</definedName>
    <definedName name="__123Graph_DCFSUK" hidden="1">#REF!</definedName>
    <definedName name="__123Graph_DChart1" hidden="1">#REF!</definedName>
    <definedName name="__123Graph_DCurrent" hidden="1">#REF!</definedName>
    <definedName name="__123Graph_DEFF" hidden="1">#REF!</definedName>
    <definedName name="__123Graph_DEFF2" hidden="1">#REF!</definedName>
    <definedName name="__123Graph_DGR14PBF1" hidden="1">#REF!</definedName>
    <definedName name="__123Graph_DLBF" hidden="1">#REF!</definedName>
    <definedName name="__123Graph_DPIC" hidden="1">#REF!</definedName>
    <definedName name="__123Graph_DTOTAL" hidden="1">#REF!</definedName>
    <definedName name="__123Graph_E" hidden="1">#REF!</definedName>
    <definedName name="__123Graph_EACT13BUD" hidden="1">#REF!</definedName>
    <definedName name="__123Graph_ECFSINDIV" hidden="1">#REF!</definedName>
    <definedName name="__123Graph_ECFSUK" hidden="1">#REF!</definedName>
    <definedName name="__123Graph_EChart1" hidden="1">#REF!</definedName>
    <definedName name="__123Graph_ECurrent" hidden="1">#REF!</definedName>
    <definedName name="__123Graph_EEFF" hidden="1">#REF!</definedName>
    <definedName name="__123Graph_EEFFHIC" hidden="1">#REF!</definedName>
    <definedName name="__123Graph_EGR14PBF1" hidden="1">#REF!</definedName>
    <definedName name="__123Graph_ELBF" hidden="1">#REF!</definedName>
    <definedName name="__123Graph_EPIC" hidden="1">#REF!</definedName>
    <definedName name="__123Graph_F" hidden="1">#REF!</definedName>
    <definedName name="__123Graph_FACT13BUD" hidden="1">#REF!</definedName>
    <definedName name="__123Graph_FCFSUK" hidden="1">#REF!</definedName>
    <definedName name="__123Graph_FChart1" hidden="1">#REF!</definedName>
    <definedName name="__123Graph_FCurrent" hidden="1">#REF!</definedName>
    <definedName name="__123Graph_FEFF" hidden="1">#REF!</definedName>
    <definedName name="__123Graph_FEFFHIC" hidden="1">#REF!</definedName>
    <definedName name="__123Graph_FGR14PBF1" hidden="1">#REF!</definedName>
    <definedName name="__123Graph_FLBF" hidden="1">#REF!</definedName>
    <definedName name="__123Graph_FPIC" hidden="1">#REF!</definedName>
    <definedName name="__123Graph_G" hidden="1">#REF!</definedName>
    <definedName name="__123Graph_LBL_ARESID" hidden="1">#REF!</definedName>
    <definedName name="__123Graph_LBL_BRESID" hidden="1">#REF!</definedName>
    <definedName name="__123Graph_X" hidden="1">#REF!</definedName>
    <definedName name="__123Graph_XACTHIC" hidden="1">#REF!</definedName>
    <definedName name="__123Graph_XALLTAX" hidden="1">#REF!</definedName>
    <definedName name="__123Graph_XChart1" hidden="1">#REF!</definedName>
    <definedName name="__123Graph_XCHGSPD1" hidden="1">#REF!</definedName>
    <definedName name="__123Graph_XCHGSPD2" hidden="1">#REF!</definedName>
    <definedName name="__123Graph_XCurrent" hidden="1">#REF!</definedName>
    <definedName name="__123Graph_XEFF" hidden="1">#REF!</definedName>
    <definedName name="__123Graph_XGR14PBF1" hidden="1">#REF!</definedName>
    <definedName name="__123Graph_XHOMEVAT" hidden="1">#REF!</definedName>
    <definedName name="__123Graph_XIMPORT" hidden="1">#REF!</definedName>
    <definedName name="__123Graph_XLBF" hidden="1">#REF!</definedName>
    <definedName name="__123Graph_XLBFFIN2" hidden="1">#REF!</definedName>
    <definedName name="__123Graph_XLBFHIC" hidden="1">#REF!</definedName>
    <definedName name="__123Graph_XLBFHIC2" hidden="1">#REF!</definedName>
    <definedName name="__123Graph_XLCB" hidden="1">#REF!</definedName>
    <definedName name="__123Graph_XNACFIN" hidden="1">#REF!</definedName>
    <definedName name="__123Graph_XNACHIC" hidden="1">#REF!</definedName>
    <definedName name="__123Graph_XPDNUMBERS" hidden="1">#REF!</definedName>
    <definedName name="__123Graph_XPDTRENDS" hidden="1">#REF!</definedName>
    <definedName name="__123Graph_XPIC" hidden="1">#REF!</definedName>
    <definedName name="__123Graph_XSTAG2ALL" hidden="1">#REF!</definedName>
    <definedName name="__123Graph_XSTAG2EC" hidden="1">#REF!</definedName>
    <definedName name="__123Graph_XTOBREV" hidden="1">#REF!</definedName>
    <definedName name="__123Graph_XTOTAL" hidden="1">#REF!</definedName>
    <definedName name="__PC1">#REF!</definedName>
    <definedName name="_1_">#REF!</definedName>
    <definedName name="_1__123Graph_ACHART_15" hidden="1">#REF!</definedName>
    <definedName name="_1__123Graph_XTOB" hidden="1">#REF!</definedName>
    <definedName name="_1_0">#REF!</definedName>
    <definedName name="_10__123Graph_XCHART_15" hidden="1">#REF!</definedName>
    <definedName name="_123" hidden="1">#REF!</definedName>
    <definedName name="_123Graph_APIC" hidden="1">#REF!</definedName>
    <definedName name="_123Graph_FLBT" hidden="1">#REF!</definedName>
    <definedName name="_1377_0">#REF!</definedName>
    <definedName name="_2_">#REF!</definedName>
    <definedName name="_2__123Graph_BCHART_10" hidden="1">#REF!</definedName>
    <definedName name="_2__123Graph_XTOB" hidden="1">#REF!</definedName>
    <definedName name="_2_0">#REF!</definedName>
    <definedName name="_2004_Data_entered">#REF!</definedName>
    <definedName name="_2012_13_Q1">#REF!</definedName>
    <definedName name="_2012_13_Q2">#REF!</definedName>
    <definedName name="_2754_0ecm">#REF!</definedName>
    <definedName name="_2ecm">#REF!</definedName>
    <definedName name="_3__123Graph_BCHART_13" hidden="1">#REF!</definedName>
    <definedName name="_3_0ecm">#REF!</definedName>
    <definedName name="_3ecw">#REF!</definedName>
    <definedName name="_4__123Graph_BCHART_15" hidden="1">#REF!</definedName>
    <definedName name="_4_0ecm">#REF!</definedName>
    <definedName name="_4131_0ecw">#REF!</definedName>
    <definedName name="_5__123Graph_CCHART_10" hidden="1">#REF!</definedName>
    <definedName name="_5_0ecw">#REF!</definedName>
    <definedName name="_567" hidden="1">#REF!</definedName>
    <definedName name="_586Home_" hidden="1">#REF!</definedName>
    <definedName name="_6__123Graph_CCHART_13" hidden="1">#REF!</definedName>
    <definedName name="_6_0ecw">#REF!</definedName>
    <definedName name="_7__123Graph_CCHART_15" hidden="1">#REF!</definedName>
    <definedName name="_8__123Graph_XCHART_10" hidden="1">#REF!</definedName>
    <definedName name="_9__123Graph_XCHART_13" hidden="1">#REF!</definedName>
    <definedName name="_a190000">#REF!</definedName>
    <definedName name="_AtRisk_SimSetting_AutomaticallyGenerateReports" hidden="1">FALSE</definedName>
    <definedName name="_AtRisk_SimSetting_AutomaticResultsDisplayMode" hidden="1">0</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GoalSeekTargetValue" hidden="1">0</definedName>
    <definedName name="_AtRisk_SimSetting_LiveUpdate" hidden="1">TRUE</definedName>
    <definedName name="_AtRisk_SimSetting_LiveUpdatePeriod" hidden="1">-1</definedName>
    <definedName name="_AtRisk_SimSetting_MacroMode" hidden="1">0</definedName>
    <definedName name="_AtRisk_SimSetting_MacroRecalculationBehavior" hidden="1">0</definedName>
    <definedName name="_AtRisk_SimSetting_MultipleCPUManualCount" hidden="1">4</definedName>
    <definedName name="_AtRisk_SimSetting_MultipleCPUMode" hidden="1">0</definedName>
    <definedName name="_AtRisk_SimSetting_RandomNumberGenerator" hidden="1">0</definedName>
    <definedName name="_AtRisk_SimSetting_ReportOptionCustomItemsCount" hidden="1">0</definedName>
    <definedName name="_AtRisk_SimSetting_ReportOptionDataMode" hidden="1">1</definedName>
    <definedName name="_AtRisk_SimSetting_ReportOptionReportMultiSimType" hidden="1">1</definedName>
    <definedName name="_AtRisk_SimSetting_ReportOptionReportPlacement" hidden="1">1</definedName>
    <definedName name="_AtRisk_SimSetting_ReportOptionReportSelection" hidden="1">0</definedName>
    <definedName name="_AtRisk_SimSetting_ReportOptionReportsFileType" hidden="1">1</definedName>
    <definedName name="_AtRisk_SimSetting_ReportOptionReportStyle" hidden="1">1</definedName>
    <definedName name="_AtRisk_SimSetting_ReportOptionSelectiveQR" hidden="1">FALSE</definedName>
    <definedName name="_AtRisk_SimSetting_ReportsList" hidden="1">0</definedName>
    <definedName name="_AtRisk_SimSetting_ShowSimulationProgressWindow" hidden="1">TRUE</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ActiveSimulationNumber" hidden="1">1</definedName>
    <definedName name="_AtRisk_SimSetting_StdRecalcBehavior" hidden="1">1</definedName>
    <definedName name="_AtRisk_SimSetting_StdRecalcWithoutRiskStatic" hidden="1">0</definedName>
    <definedName name="_AtRisk_SimSetting_StdRecalcWithoutRiskStaticPercentile" hidden="1">0.5</definedName>
    <definedName name="_AUG2">#REF!</definedName>
    <definedName name="_Chart2" hidden="1">#REF!</definedName>
    <definedName name="_DEC2">#REF!</definedName>
    <definedName name="_FEB2">#REF!</definedName>
    <definedName name="_Fill" hidden="1">#REF!</definedName>
    <definedName name="_JAN2">#REF!</definedName>
    <definedName name="_JH2" hidden="1">{#N/A,#N/A,FALSE,"TMCOMP96";#N/A,#N/A,FALSE,"MAT96";#N/A,#N/A,FALSE,"FANDA96";#N/A,#N/A,FALSE,"INTRAN96";#N/A,#N/A,FALSE,"NAA9697";#N/A,#N/A,FALSE,"ECWEBB";#N/A,#N/A,FALSE,"MFT96";#N/A,#N/A,FALSE,"CTrecon"}</definedName>
    <definedName name="_Key1" hidden="1">#REF!</definedName>
    <definedName name="_MAY2">#REF!</definedName>
    <definedName name="_MJgraph10" hidden="1">{#N/A,#N/A,FALSE,"TMCOMP96";#N/A,#N/A,FALSE,"MAT96";#N/A,#N/A,FALSE,"FANDA96";#N/A,#N/A,FALSE,"INTRAN96";#N/A,#N/A,FALSE,"NAA9697";#N/A,#N/A,FALSE,"ECWEBB";#N/A,#N/A,FALSE,"MFT96";#N/A,#N/A,FALSE,"CTrecon"}</definedName>
    <definedName name="_MJgraph11">#REF!</definedName>
    <definedName name="_MJgraph12">#REF!</definedName>
    <definedName name="_MJgraph13">#REF!</definedName>
    <definedName name="_MJgraph2" hidden="1">#REF!</definedName>
    <definedName name="_MJgraph3" hidden="1">#REF!</definedName>
    <definedName name="_MJgraph4" hidden="1">#REF!</definedName>
    <definedName name="_MJgraph5" hidden="1">{#N/A,#N/A,FALSE,"TMCOMP96";#N/A,#N/A,FALSE,"MAT96";#N/A,#N/A,FALSE,"FANDA96";#N/A,#N/A,FALSE,"INTRAN96";#N/A,#N/A,FALSE,"NAA9697";#N/A,#N/A,FALSE,"ECWEBB";#N/A,#N/A,FALSE,"MFT96";#N/A,#N/A,FALSE,"CTrecon"}</definedName>
    <definedName name="_MJgraph6" hidden="1">{#N/A,#N/A,FALSE,"TMCOMP96";#N/A,#N/A,FALSE,"MAT96";#N/A,#N/A,FALSE,"FANDA96";#N/A,#N/A,FALSE,"INTRAN96";#N/A,#N/A,FALSE,"NAA9697";#N/A,#N/A,FALSE,"ECWEBB";#N/A,#N/A,FALSE,"MFT96";#N/A,#N/A,FALSE,"CTrecon"}</definedName>
    <definedName name="_MJgraph7" hidden="1">{#N/A,#N/A,FALSE,"TMCOMP96";#N/A,#N/A,FALSE,"MAT96";#N/A,#N/A,FALSE,"FANDA96";#N/A,#N/A,FALSE,"INTRAN96";#N/A,#N/A,FALSE,"NAA9697";#N/A,#N/A,FALSE,"ECWEBB";#N/A,#N/A,FALSE,"MFT96";#N/A,#N/A,FALSE,"CTrecon"}</definedName>
    <definedName name="_MJgraph8" hidden="1">{#N/A,#N/A,FALSE,"TMCOMP96";#N/A,#N/A,FALSE,"MAT96";#N/A,#N/A,FALSE,"FANDA96";#N/A,#N/A,FALSE,"INTRAN96";#N/A,#N/A,FALSE,"NAA9697";#N/A,#N/A,FALSE,"ECWEBB";#N/A,#N/A,FALSE,"MFT96";#N/A,#N/A,FALSE,"CTrecon"}</definedName>
    <definedName name="_MJgraph9" hidden="1">{#N/A,#N/A,FALSE,"TMCOMP96";#N/A,#N/A,FALSE,"MAT96";#N/A,#N/A,FALSE,"FANDA96";#N/A,#N/A,FALSE,"INTRAN96";#N/A,#N/A,FALSE,"NAA9697";#N/A,#N/A,FALSE,"ECWEBB";#N/A,#N/A,FALSE,"MFT96";#N/A,#N/A,FALSE,"CTrecon"}</definedName>
    <definedName name="_MJgraphs" hidden="1">#REF!</definedName>
    <definedName name="_NIF1513">#REF!</definedName>
    <definedName name="_NIF6002">#REF!</definedName>
    <definedName name="_NIF8504">#REF!</definedName>
    <definedName name="_NOV2">#REF!</definedName>
    <definedName name="_OCT2">#REF!</definedName>
    <definedName name="_Order1" hidden="1">255</definedName>
    <definedName name="_Order2" hidden="1">255</definedName>
    <definedName name="_PC1">#REF!</definedName>
    <definedName name="_Regression_Int" hidden="1">1</definedName>
    <definedName name="_Regression_Out" hidden="1">#REF!</definedName>
    <definedName name="_Regression_X" hidden="1">#REF!</definedName>
    <definedName name="_Regression_Y" hidden="1">#REF!</definedName>
    <definedName name="_Sort" hidden="1">#REF!</definedName>
    <definedName name="_Ti1" hidden="1">{#N/A,#N/A,FALSE,"TMCOMP96";#N/A,#N/A,FALSE,"MAT96";#N/A,#N/A,FALSE,"FANDA96";#N/A,#N/A,FALSE,"INTRAN96";#N/A,#N/A,FALSE,"NAA9697";#N/A,#N/A,FALSE,"ECWEBB";#N/A,#N/A,FALSE,"MFT96";#N/A,#N/A,FALSE,"CTrecon"}</definedName>
    <definedName name="a">#REF!</definedName>
    <definedName name="aaa" hidden="1">#REF!</definedName>
    <definedName name="aaaaa" hidden="1">#REF!</definedName>
    <definedName name="aaaaaaaaaa" hidden="1">#REF!</definedName>
    <definedName name="aaaaaaaaaaa" hidden="1">#REF!</definedName>
    <definedName name="About_these_data">#REF!</definedName>
    <definedName name="Accommodation">#REF!</definedName>
    <definedName name="Action">#REF!</definedName>
    <definedName name="Air_Travel">#REF!</definedName>
    <definedName name="alcohol">#REF!</definedName>
    <definedName name="Alcohol_Idiosyncratic_Effects">#REF!</definedName>
    <definedName name="ALCOHOLS_CPI">#REF!</definedName>
    <definedName name="ALCOHOLS_pr">#REF!</definedName>
    <definedName name="ALCOHOLS_rcons">#REF!</definedName>
    <definedName name="AME">OFFSET(#REF!,0,0,MAX(#REF!),1)</definedName>
    <definedName name="Analysis">#REF!</definedName>
    <definedName name="annuals">#REF!</definedName>
    <definedName name="apd">#REF!</definedName>
    <definedName name="APD_gdpm">#REF!</definedName>
    <definedName name="APD_Idiosyncratic_Effects">#REF!</definedName>
    <definedName name="APD_pr">#REF!</definedName>
    <definedName name="APF_PSND_Effects">#REF!</definedName>
    <definedName name="APH_base">#REF!</definedName>
    <definedName name="APH_change">#REF!</definedName>
    <definedName name="APH_change_lag1">#REF!</definedName>
    <definedName name="APH_scenario">#REF!</definedName>
    <definedName name="aph_table32">#REF!</definedName>
    <definedName name="APR_2012">#REF!</definedName>
    <definedName name="APR_2013">#REF!</definedName>
    <definedName name="APRIL">#REF!</definedName>
    <definedName name="APRIL2">#REF!</definedName>
    <definedName name="area2018">#REF!</definedName>
    <definedName name="asdas" hidden="1">{#N/A,#N/A,FALSE,"TMCOMP96";#N/A,#N/A,FALSE,"MAT96";#N/A,#N/A,FALSE,"FANDA96";#N/A,#N/A,FALSE,"INTRAN96";#N/A,#N/A,FALSE,"NAA9697";#N/A,#N/A,FALSE,"ECWEBB";#N/A,#N/A,FALSE,"MFT96";#N/A,#N/A,FALSE,"CTrecon"}</definedName>
    <definedName name="asdas2" hidden="1">{#N/A,#N/A,FALSE,"TMCOMP96";#N/A,#N/A,FALSE,"MAT96";#N/A,#N/A,FALSE,"FANDA96";#N/A,#N/A,FALSE,"INTRAN96";#N/A,#N/A,FALSE,"NAA9697";#N/A,#N/A,FALSE,"ECWEBB";#N/A,#N/A,FALSE,"MFT96";#N/A,#N/A,FALSE,"CTrecon"}</definedName>
    <definedName name="ASDASFD" hidden="1">{#N/A,#N/A,FALSE,"TMCOMP96";#N/A,#N/A,FALSE,"MAT96";#N/A,#N/A,FALSE,"FANDA96";#N/A,#N/A,FALSE,"INTRAN96";#N/A,#N/A,FALSE,"NAA9697";#N/A,#N/A,FALSE,"ECWEBB";#N/A,#N/A,FALSE,"MFT96";#N/A,#N/A,FALSE,"CTrecon"}</definedName>
    <definedName name="asdasx" hidden="1">{#N/A,#N/A,FALSE,"TMCOMP96";#N/A,#N/A,FALSE,"MAT96";#N/A,#N/A,FALSE,"FANDA96";#N/A,#N/A,FALSE,"INTRAN96";#N/A,#N/A,FALSE,"NAA9697";#N/A,#N/A,FALSE,"ECWEBB";#N/A,#N/A,FALSE,"MFT96";#N/A,#N/A,FALSE,"CTrecon"}</definedName>
    <definedName name="ASDF" hidden="1">{#N/A,#N/A,FALSE,"TMCOMP96";#N/A,#N/A,FALSE,"MAT96";#N/A,#N/A,FALSE,"FANDA96";#N/A,#N/A,FALSE,"INTRAN96";#N/A,#N/A,FALSE,"NAA9697";#N/A,#N/A,FALSE,"ECWEBB";#N/A,#N/A,FALSE,"MFT96";#N/A,#N/A,FALSE,"CTrecon"}</definedName>
    <definedName name="ASDFA" hidden="1">{#N/A,#N/A,FALSE,"TMCOMP96";#N/A,#N/A,FALSE,"MAT96";#N/A,#N/A,FALSE,"FANDA96";#N/A,#N/A,FALSE,"INTRAN96";#N/A,#N/A,FALSE,"NAA9697";#N/A,#N/A,FALSE,"ECWEBB";#N/A,#N/A,FALSE,"MFT96";#N/A,#N/A,FALSE,"CTrecon"}</definedName>
    <definedName name="ASFD" hidden="1">{#N/A,#N/A,FALSE,"TMCOMP96";#N/A,#N/A,FALSE,"MAT96";#N/A,#N/A,FALSE,"FANDA96";#N/A,#N/A,FALSE,"INTRAN96";#N/A,#N/A,FALSE,"NAA9697";#N/A,#N/A,FALSE,"ECWEBB";#N/A,#N/A,FALSE,"MFT96";#N/A,#N/A,FALSE,"CTrecon"}</definedName>
    <definedName name="ASFRs">#REF!</definedName>
    <definedName name="asset_parameter">#REF!</definedName>
    <definedName name="Astartpg">#REF!</definedName>
    <definedName name="AUC_AN_CDEL_Balance">#REF!</definedName>
    <definedName name="AUC_AN_CDEL_Category">#REF!</definedName>
    <definedName name="AUG">#REF!</definedName>
    <definedName name="AUG_2012">#REF!</definedName>
    <definedName name="AUG_2013">#REF!</definedName>
    <definedName name="_xlnm.Auto_Open">#REF!</definedName>
    <definedName name="Autumn">#REF!</definedName>
    <definedName name="AVON">#REF!</definedName>
    <definedName name="b" hidden="1">{#N/A,#N/A,FALSE,"CGBR95C"}</definedName>
    <definedName name="B_MoJ" hidden="1">#REF!</definedName>
    <definedName name="Baseline" hidden="1">#REF!</definedName>
    <definedName name="bb" hidden="1">#REF!</definedName>
    <definedName name="bbb" hidden="1">#REF!</definedName>
    <definedName name="BEDS">#REF!</definedName>
    <definedName name="BERKS">#REF!</definedName>
    <definedName name="Births">#REF!</definedName>
    <definedName name="blankkk" hidden="1">#REF!</definedName>
    <definedName name="blankold" hidden="1">#REF!</definedName>
    <definedName name="BLPH1" hidden="1">#REF!</definedName>
    <definedName name="BLPH2" hidden="1">#REF!</definedName>
    <definedName name="BLPH3" hidden="1">#REF!</definedName>
    <definedName name="BLPH4" hidden="1">#REF!</definedName>
    <definedName name="BLPH5" hidden="1">#REF!</definedName>
    <definedName name="BLUE">#REF!</definedName>
    <definedName name="BLUE1">#REF!</definedName>
    <definedName name="BLUE10">#REF!</definedName>
    <definedName name="BLUE2">#REF!</definedName>
    <definedName name="BLUE3">#REF!</definedName>
    <definedName name="BLUE4">#REF!</definedName>
    <definedName name="BLUE5">#REF!</definedName>
    <definedName name="BLUE6">#REF!</definedName>
    <definedName name="BLUE7">#REF!</definedName>
    <definedName name="BLUE8">#N/A</definedName>
    <definedName name="BLUE9">#N/A</definedName>
    <definedName name="bnmmnvmn" hidden="1">#REF!</definedName>
    <definedName name="Breakdown">#REF!</definedName>
    <definedName name="BUCKS">#REF!</definedName>
    <definedName name="BUDGET">#REF!</definedName>
    <definedName name="BULL">#REF!</definedName>
    <definedName name="byl">#REF!</definedName>
    <definedName name="C_">#REF!</definedName>
    <definedName name="C_Table_01">#REF!</definedName>
    <definedName name="C_Table_02">#REF!</definedName>
    <definedName name="C_Table_03">#REF!</definedName>
    <definedName name="C_Table_04">#REF!</definedName>
    <definedName name="C_Table_05">#REF!</definedName>
    <definedName name="C_Table_06">#REF!</definedName>
    <definedName name="C_Table_07">#REF!</definedName>
    <definedName name="C_Table_08">#REF!</definedName>
    <definedName name="C_Table_09">#REF!</definedName>
    <definedName name="C_Table_10">#REF!</definedName>
    <definedName name="C_Table_11">#REF!</definedName>
    <definedName name="C_Table_12">#REF!</definedName>
    <definedName name="C_Table_13">#REF!</definedName>
    <definedName name="C_Table_14">#REF!</definedName>
    <definedName name="C_Table_14a">#REF!</definedName>
    <definedName name="C_Table_15">#REF!</definedName>
    <definedName name="C_Table_16">#REF!</definedName>
    <definedName name="C_Table_17">#REF!</definedName>
    <definedName name="C_Table_18">#REF!</definedName>
    <definedName name="C_Table_19">#REF!</definedName>
    <definedName name="C_Table_20">#REF!</definedName>
    <definedName name="C_Table_21">#REF!</definedName>
    <definedName name="C_Table_22">#REF!</definedName>
    <definedName name="C_Table_23">#REF!</definedName>
    <definedName name="C_Table_24a">#REF!</definedName>
    <definedName name="C_Table_24b">#REF!</definedName>
    <definedName name="C_Table_24c">#REF!</definedName>
    <definedName name="C_Table_24d">#REF!</definedName>
    <definedName name="C_Table_25">#REF!</definedName>
    <definedName name="C_Table_26">#REF!</definedName>
    <definedName name="C_table_99">#REF!</definedName>
    <definedName name="c_table32">#REF!</definedName>
    <definedName name="CAMBS">#REF!</definedName>
    <definedName name="CapAME">#REF!</definedName>
    <definedName name="CapDEL">#REF!</definedName>
    <definedName name="Car_Hire">#REF!</definedName>
    <definedName name="Category">#REF!</definedName>
    <definedName name="cb_gas_export_route_lookup">#REF!</definedName>
    <definedName name="CC">#REF!</definedName>
    <definedName name="CDEL">OFFSET(#REF!,0,0,MAX(#REF!),1)</definedName>
    <definedName name="cdida">#REF!</definedName>
    <definedName name="cdidq">#REF!</definedName>
    <definedName name="cdids1">#REF!</definedName>
    <definedName name="CG">!#REF!</definedName>
    <definedName name="CGCapDEL">#REF!</definedName>
    <definedName name="cgt">#REF!</definedName>
    <definedName name="CGT_aph">#REF!</definedName>
    <definedName name="CGT_eqpr">#REF!</definedName>
    <definedName name="CGT_Idiosyncratic_Effects">#REF!</definedName>
    <definedName name="CGT_pd">#REF!</definedName>
    <definedName name="ch">#REF!</definedName>
    <definedName name="Changes">#REF!</definedName>
    <definedName name="CHESHIRE">#REF!</definedName>
    <definedName name="claimant_count">#REF!</definedName>
    <definedName name="CLASSIFICATION">#REF!</definedName>
    <definedName name="CLEVELAND">#REF!</definedName>
    <definedName name="CLWYD">#REF!</definedName>
    <definedName name="cnom_base">#REF!</definedName>
    <definedName name="cnom_change">#REF!</definedName>
    <definedName name="cnom_scenario">#REF!</definedName>
    <definedName name="COMBINE">#REF!</definedName>
    <definedName name="components_by_LA">#REF!</definedName>
    <definedName name="con_bbl_per_tonne">#REF!</definedName>
    <definedName name="Constructed_tracker">#REF!</definedName>
    <definedName name="Control">#REF!</definedName>
    <definedName name="Controls">#REF!</definedName>
    <definedName name="Conv2.1">#REF!</definedName>
    <definedName name="Conv4.1">#REF!</definedName>
    <definedName name="Conv4.11">#REF!</definedName>
    <definedName name="Conv4.12">#REF!</definedName>
    <definedName name="Conv4.13">#REF!</definedName>
    <definedName name="Conv4.2">#REF!</definedName>
    <definedName name="Conv4.3">#REF!</definedName>
    <definedName name="Conv4.4">#REF!</definedName>
    <definedName name="Conv4.5">#REF!</definedName>
    <definedName name="Conv4.6">#REF!</definedName>
    <definedName name="ConvA1">#REF!</definedName>
    <definedName name="ConvA2">#REF!</definedName>
    <definedName name="ConvA3">#REF!</definedName>
    <definedName name="ConvB1">#REF!</definedName>
    <definedName name="ConvB2">#REF!</definedName>
    <definedName name="CORNWALL">#REF!</definedName>
    <definedName name="Cost_element_name">#REF!</definedName>
    <definedName name="COUNTER">#REF!</definedName>
    <definedName name="COVID">#REF!</definedName>
    <definedName name="CPI_base">#REF!</definedName>
    <definedName name="cpi_effect">#REF!</definedName>
    <definedName name="cpi_index_table10">#REF!</definedName>
    <definedName name="CPI_scenario">#REF!</definedName>
    <definedName name="cpi_table1">#REF!</definedName>
    <definedName name="CPIinflation_base">#REF!</definedName>
    <definedName name="CPIinflation_scenario">#REF!</definedName>
    <definedName name="creal_base">#REF!</definedName>
    <definedName name="creal_change">#REF!</definedName>
    <definedName name="creal_scenario">#REF!</definedName>
    <definedName name="creal_table2">#REF!</definedName>
    <definedName name="CSR_CDEL">#REF!</definedName>
    <definedName name="CSR_RDEL">#REF!</definedName>
    <definedName name="CT" hidden="1">#REF!</definedName>
    <definedName name="CT_eqpr">#REF!</definedName>
    <definedName name="CT_GFCF">#REF!</definedName>
    <definedName name="CT_NNSGTP">#REF!</definedName>
    <definedName name="CTNABS" hidden="1">#REF!</definedName>
    <definedName name="CUMBRIA">#REF!</definedName>
    <definedName name="CUMBUDGET">#REF!</definedName>
    <definedName name="CUMOUTTURN">#REF!</definedName>
    <definedName name="CUMPROFILE">#REF!</definedName>
    <definedName name="CUMTOTAL">#REF!</definedName>
    <definedName name="cxfjhncvbncvbn" hidden="1">#REF!</definedName>
    <definedName name="D">#REF!</definedName>
    <definedName name="DASCFTAB">#REF!</definedName>
    <definedName name="data">#REF!</definedName>
    <definedName name="Data_col1">#REF!</definedName>
    <definedName name="Data_col2">#REF!</definedName>
    <definedName name="Data_col3">#REF!</definedName>
    <definedName name="data2">#REF!</definedName>
    <definedName name="dataa">#REF!</definedName>
    <definedName name="_xlnm.Database">#REF!</definedName>
    <definedName name="DataDate">#REF!</definedName>
    <definedName name="DATAFOR">#REF!</definedName>
    <definedName name="dataq">#REF!</definedName>
    <definedName name="datazone">#REF!</definedName>
    <definedName name="Dates">#REF!</definedName>
    <definedName name="datesa">#REF!</definedName>
    <definedName name="datesq">#REF!</definedName>
    <definedName name="Days">#REF!</definedName>
    <definedName name="ddd" hidden="1">{#N/A,#N/A,FALSE,"CGBR95C"}</definedName>
    <definedName name="dddd" hidden="1">{#N/A,#N/A,FALSE,"CGBR95C"}</definedName>
    <definedName name="dddddd" hidden="1">#REF!</definedName>
    <definedName name="ddddddd" hidden="1">{#N/A,#N/A,FALSE,"CGBR95C"}</definedName>
    <definedName name="dddddddddddd" hidden="1">{#N/A,#N/A,FALSE,"CGBR95C"}</definedName>
    <definedName name="dDebtFacilities">#REF!</definedName>
    <definedName name="DEATHNF">#REF!</definedName>
    <definedName name="Deaths">#REF!</definedName>
    <definedName name="DeathsF">#REF!</definedName>
    <definedName name="DeathsM">#REF!</definedName>
    <definedName name="DeathsP">#REF!</definedName>
    <definedName name="DEC">#REF!</definedName>
    <definedName name="DEC_2012">#REF!</definedName>
    <definedName name="decline">#REF!</definedName>
    <definedName name="decline_126">#REF!</definedName>
    <definedName name="decline_190">#REF!</definedName>
    <definedName name="DELAME">!#REF!</definedName>
    <definedName name="DEPR">#REF!</definedName>
    <definedName name="DERBYSHIRE">#REF!</definedName>
    <definedName name="DEVON">#REF!</definedName>
    <definedName name="df" hidden="1">#REF!</definedName>
    <definedName name="dfdaf" hidden="1">#REF!</definedName>
    <definedName name="dfdf" hidden="1">#REF!</definedName>
    <definedName name="dfdfadfe" hidden="1">#REF!</definedName>
    <definedName name="dfg" hidden="1">{#N/A,#N/A,FALSE,"TMCOMP96";#N/A,#N/A,FALSE,"MAT96";#N/A,#N/A,FALSE,"FANDA96";#N/A,#N/A,FALSE,"INTRAN96";#N/A,#N/A,FALSE,"NAA9697";#N/A,#N/A,FALSE,"ECWEBB";#N/A,#N/A,FALSE,"MFT96";#N/A,#N/A,FALSE,"CTrecon"}</definedName>
    <definedName name="dfgae" hidden="1">{#N/A,#N/A,FALSE,"TMCOMP96";#N/A,#N/A,FALSE,"MAT96";#N/A,#N/A,FALSE,"FANDA96";#N/A,#N/A,FALSE,"INTRAN96";#N/A,#N/A,FALSE,"NAA9697";#N/A,#N/A,FALSE,"ECWEBB";#N/A,#N/A,FALSE,"MFT96";#N/A,#N/A,FALSE,"CTrecon"}</definedName>
    <definedName name="dfgdfg" hidden="1">{#N/A,#N/A,FALSE,"CGBR95C"}</definedName>
    <definedName name="dfgg" hidden="1">#REF!</definedName>
    <definedName name="dfgujh" hidden="1">#REF!</definedName>
    <definedName name="dfrgfdgs" hidden="1">{#N/A,#N/A,FALSE,"TMCOMP96";#N/A,#N/A,FALSE,"MAT96";#N/A,#N/A,FALSE,"FANDA96";#N/A,#N/A,FALSE,"INTRAN96";#N/A,#N/A,FALSE,"NAA9697";#N/A,#N/A,FALSE,"ECWEBB";#N/A,#N/A,FALSE,"MFT96";#N/A,#N/A,FALSE,"CTrecon"}</definedName>
    <definedName name="dfsgsdf" hidden="1">{#N/A,#N/A,FALSE,"TMCOMP96";#N/A,#N/A,FALSE,"MAT96";#N/A,#N/A,FALSE,"FANDA96";#N/A,#N/A,FALSE,"INTRAN96";#N/A,#N/A,FALSE,"NAA9697";#N/A,#N/A,FALSE,"ECWEBB";#N/A,#N/A,FALSE,"MFT96";#N/A,#N/A,FALSE,"CTrecon"}</definedName>
    <definedName name="dFunctionCodes">#REF!</definedName>
    <definedName name="dggh">#REF!</definedName>
    <definedName name="dgsgf" hidden="1">{#N/A,#N/A,FALSE,"TMCOMP96";#N/A,#N/A,FALSE,"MAT96";#N/A,#N/A,FALSE,"FANDA96";#N/A,#N/A,FALSE,"INTRAN96";#N/A,#N/A,FALSE,"NAA9697";#N/A,#N/A,FALSE,"ECWEBB";#N/A,#N/A,FALSE,"MFT96";#N/A,#N/A,FALSE,"CTrecon"}</definedName>
    <definedName name="dgsgf2" hidden="1">{#N/A,#N/A,FALSE,"TMCOMP96";#N/A,#N/A,FALSE,"MAT96";#N/A,#N/A,FALSE,"FANDA96";#N/A,#N/A,FALSE,"INTRAN96";#N/A,#N/A,FALSE,"NAA9697";#N/A,#N/A,FALSE,"ECWEBB";#N/A,#N/A,FALSE,"MFT96";#N/A,#N/A,FALSE,"CTrecon"}</definedName>
    <definedName name="dHistCPs">#REF!</definedName>
    <definedName name="DIR">#REF!</definedName>
    <definedName name="DirData">#REF!</definedName>
    <definedName name="Direct">#REF!</definedName>
    <definedName name="directorate">#REF!</definedName>
    <definedName name="Directoratelive">#REF!</definedName>
    <definedName name="Disability_benefits_CPI">#REF!</definedName>
    <definedName name="Disability_benefits_idiosyncratic">#REF!</definedName>
    <definedName name="Distribution" hidden="1">#REF!</definedName>
    <definedName name="distribution1" hidden="1">#REF!</definedName>
    <definedName name="DORSET">#REF!</definedName>
    <definedName name="dsfgdfg" hidden="1">{#N/A,#N/A,FALSE,"TMCOMP96";#N/A,#N/A,FALSE,"MAT96";#N/A,#N/A,FALSE,"FANDA96";#N/A,#N/A,FALSE,"INTRAN96";#N/A,#N/A,FALSE,"NAA9697";#N/A,#N/A,FALSE,"ECWEBB";#N/A,#N/A,FALSE,"MFT96";#N/A,#N/A,FALSE,"CTrecon"}</definedName>
    <definedName name="dsfgdsfgfdsg" hidden="1">{#N/A,#N/A,FALSE,"TMCOMP96";#N/A,#N/A,FALSE,"MAT96";#N/A,#N/A,FALSE,"FANDA96";#N/A,#N/A,FALSE,"INTRAN96";#N/A,#N/A,FALSE,"NAA9697";#N/A,#N/A,FALSE,"ECWEBB";#N/A,#N/A,FALSE,"MFT96";#N/A,#N/A,FALSE,"CTrecon"}</definedName>
    <definedName name="dsfgdsg" hidden="1">{#N/A,#N/A,FALSE,"TMCOMP96";#N/A,#N/A,FALSE,"MAT96";#N/A,#N/A,FALSE,"FANDA96";#N/A,#N/A,FALSE,"INTRAN96";#N/A,#N/A,FALSE,"NAA9697";#N/A,#N/A,FALSE,"ECWEBB";#N/A,#N/A,FALSE,"MFT96";#N/A,#N/A,FALSE,"CTrecon"}</definedName>
    <definedName name="dSourceCodes">#REF!</definedName>
    <definedName name="DURHAM">#REF!</definedName>
    <definedName name="dwl_data">#REF!</definedName>
    <definedName name="dwl_data_fy">#REF!</definedName>
    <definedName name="dwl_data_P09b">#REF!</definedName>
    <definedName name="dwl_dates">#REF!</definedName>
    <definedName name="dwl_dates_fy">#REF!</definedName>
    <definedName name="dwl_dates_P09b">#REF!</definedName>
    <definedName name="dwl_vars">#REF!</definedName>
    <definedName name="dwl_vars_P09b">#REF!</definedName>
    <definedName name="DYFED">#REF!</definedName>
    <definedName name="e">#REF!</definedName>
    <definedName name="E_SUSSEX">#REF!</definedName>
    <definedName name="earnings_effect">#REF!</definedName>
    <definedName name="ECnames">#REF!</definedName>
    <definedName name="ecscost">#REF!</definedName>
    <definedName name="ee">#REF!</definedName>
    <definedName name="eeapp">#REF!</definedName>
    <definedName name="eee">#REF!</definedName>
    <definedName name="eeeee">#REF!</definedName>
    <definedName name="EFO" hidden="1">#REF!</definedName>
    <definedName name="EINC">#REF!</definedName>
    <definedName name="Elast_ALCOHOLS_creal">#REF!</definedName>
    <definedName name="Elast_APD_gdpm">#REF!</definedName>
    <definedName name="Elast_APD_pr">#REF!</definedName>
    <definedName name="Elast_Attendance_Allowance_CPI">#REF!</definedName>
    <definedName name="Elast_Carer__Allowance_CPI">#REF!</definedName>
    <definedName name="Elast_CT_eqpr">#REF!</definedName>
    <definedName name="Elast_CT_IF">#REF!</definedName>
    <definedName name="Elast_CT_nnsgtp">#REF!</definedName>
    <definedName name="Elast_Employment_and_Support_Allowance_CPI">#REF!</definedName>
    <definedName name="Elast_FUEL_DUTY_gdpm">#REF!</definedName>
    <definedName name="Elast_FUEL_DUTY_pbrent">#REF!</definedName>
    <definedName name="Elast_Housing_Benefit_CPI">#REF!</definedName>
    <definedName name="Elast_Housing_Benefit_earn">#REF!</definedName>
    <definedName name="Elast_Housing_Benefit_RPI">#REF!</definedName>
    <definedName name="Elast_Housing_Benefit_TL">#REF!</definedName>
    <definedName name="Elast_HSC_Earn">#REF!</definedName>
    <definedName name="Elast_HSC_employ">#REF!</definedName>
    <definedName name="Elast_IHT_aph">#REF!</definedName>
    <definedName name="Elast_IHT_eqpr">#REF!</definedName>
    <definedName name="Elast_INTEREST_AND_DIVIDENDS_r">#REF!</definedName>
    <definedName name="Elast_IPT_eqpr">#REF!</definedName>
    <definedName name="Elast_JSA_Unemployment">#REF!</definedName>
    <definedName name="Elast_New_State_Pension_CPI">#REF!</definedName>
    <definedName name="Elast_NICS_Employee_earn">#REF!</definedName>
    <definedName name="Elast_NICS_Employer_earn">#REF!</definedName>
    <definedName name="Elast_OFFSHORE_CT_pbrent">#REF!</definedName>
    <definedName name="ELAST_OFFSHORE_CT_RXD">#REF!</definedName>
    <definedName name="Elast_PAYE_earn">#REF!</definedName>
    <definedName name="Elast_PAYE_ETLFS">#REF!</definedName>
    <definedName name="Elast_Pension_Credit_CPI">#REF!</definedName>
    <definedName name="Elast_Pension_Credit_earn">#REF!</definedName>
    <definedName name="Elast_Pensions_TL">#REF!</definedName>
    <definedName name="Elast_Personal_Independence_Payment_CPI">#REF!</definedName>
    <definedName name="Elast_PUBLIC_SECTOR_PENSIONS_cpi">#REF!</definedName>
    <definedName name="Elast_SA_rdep">#REF!</definedName>
    <definedName name="Elast_SDLT_aph">#REF!</definedName>
    <definedName name="Elast_SDLT_pd">#REF!</definedName>
    <definedName name="Elast_STAMPS_eqpr">#REF!</definedName>
    <definedName name="Elast_State_Pension_CPI">#REF!</definedName>
    <definedName name="Elast_Statutory_Maternity_Pay_CPI">#REF!</definedName>
    <definedName name="Elast_Statutory_Maternity_Pay_earn">#REF!</definedName>
    <definedName name="Elast_STUDENT_LOANS_17_18_pr">#REF!</definedName>
    <definedName name="Elast_STUDENT_LOANS_18_19_pr">#REF!</definedName>
    <definedName name="Elast_STUDENT_LOANS_19_20_pr">#REF!</definedName>
    <definedName name="Elast_STUDENT_LOANS_20_21_pr">#REF!</definedName>
    <definedName name="Elast_STUDENT_LOANS_22_23_pr">#REF!</definedName>
    <definedName name="Elast_STUDENT_LOANS_23_24_pr">#REF!</definedName>
    <definedName name="Elast_TAX_CREDITS_cc">#REF!</definedName>
    <definedName name="Elast_TAX_CREDITS_earn">#REF!</definedName>
    <definedName name="Elast_Universal_Credit_CPI">#REF!</definedName>
    <definedName name="Elast_Universal_Credit_earn">#REF!</definedName>
    <definedName name="Elast_VAT_cnom">#REF!</definedName>
    <definedName name="Elast_VAT_mgdpnsa">#REF!</definedName>
    <definedName name="Elast_welfare_empl">#REF!</definedName>
    <definedName name="Elast_welfare_unemp">#REF!</definedName>
    <definedName name="employ_level">#REF!</definedName>
    <definedName name="Employment_and_Support_Allowance_CPI">#REF!</definedName>
    <definedName name="endt1">#REF!</definedName>
    <definedName name="endt10">#REF!</definedName>
    <definedName name="endt10and11">#REF!</definedName>
    <definedName name="endt11">#REF!</definedName>
    <definedName name="endt11and12">#REF!</definedName>
    <definedName name="endt12">#REF!</definedName>
    <definedName name="endt12and13">#REF!</definedName>
    <definedName name="endt13">#REF!</definedName>
    <definedName name="endt1b">#REF!</definedName>
    <definedName name="endt1C">#REF!</definedName>
    <definedName name="endt2">#REF!</definedName>
    <definedName name="endt3">#REF!</definedName>
    <definedName name="endt3and4">#REF!</definedName>
    <definedName name="endt4">#REF!</definedName>
    <definedName name="endt4p">#REF!</definedName>
    <definedName name="endt5">#REF!</definedName>
    <definedName name="endt5and6">#REF!</definedName>
    <definedName name="endt7">#REF!</definedName>
    <definedName name="endt7and8">#REF!</definedName>
    <definedName name="endt8">#REF!</definedName>
    <definedName name="endt9">#REF!</definedName>
    <definedName name="endt9and10">#REF!</definedName>
    <definedName name="EQPR_base">#REF!</definedName>
    <definedName name="EQPR_change">#REF!</definedName>
    <definedName name="EQPR_change_lag1">#REF!</definedName>
    <definedName name="EQPR_scenario">#REF!</definedName>
    <definedName name="eqpr_table32">#REF!</definedName>
    <definedName name="ERASE">#REF!</definedName>
    <definedName name="erwer">#REF!</definedName>
    <definedName name="ESA_idiosyncratic">#REF!</definedName>
    <definedName name="ESSEX">#REF!</definedName>
    <definedName name="ETLFS_base">#REF!</definedName>
    <definedName name="ETLFS_change">#REF!</definedName>
    <definedName name="ETLFS_growth_base">#REF!</definedName>
    <definedName name="ETLFS_growth_scenario">#REF!</definedName>
    <definedName name="ETLFS_scenario">#REF!</definedName>
    <definedName name="etlfs_table32">#REF!</definedName>
    <definedName name="Ev">#REF!</definedName>
    <definedName name="Excel_BuiltIn__FilterDatabase_1">#REF!</definedName>
    <definedName name="Excel_BuiltIn__FilterDatabase_1_1">#REF!</definedName>
    <definedName name="Excess_fares">#REF!</definedName>
    <definedName name="exch_rate">#REF!</definedName>
    <definedName name="export_route_lookup_area">#REF!</definedName>
    <definedName name="_xlnm.Extract">#REF!</definedName>
    <definedName name="ExtraProfiles" hidden="1">#REF!</definedName>
    <definedName name="ExtraProfiless" hidden="1">#REF!</definedName>
    <definedName name="f" hidden="1">#REF!</definedName>
    <definedName name="FDDD" hidden="1">{#N/A,#N/A,FALSE,"TMCOMP96";#N/A,#N/A,FALSE,"MAT96";#N/A,#N/A,FALSE,"FANDA96";#N/A,#N/A,FALSE,"INTRAN96";#N/A,#N/A,FALSE,"NAA9697";#N/A,#N/A,FALSE,"ECWEBB";#N/A,#N/A,FALSE,"MFT96";#N/A,#N/A,FALSE,"CTrecon"}</definedName>
    <definedName name="fdgfgfd" hidden="1">{#N/A,#N/A,FALSE,"TMCOMP96";#N/A,#N/A,FALSE,"MAT96";#N/A,#N/A,FALSE,"FANDA96";#N/A,#N/A,FALSE,"INTRAN96";#N/A,#N/A,FALSE,"NAA9697";#N/A,#N/A,FALSE,"ECWEBB";#N/A,#N/A,FALSE,"MFT96";#N/A,#N/A,FALSE,"CTrecon"}</definedName>
    <definedName name="fdsgfdg" hidden="1">#REF!</definedName>
    <definedName name="FEB">#REF!</definedName>
    <definedName name="FEB_2012">#REF!</definedName>
    <definedName name="females_UK">#REF!</definedName>
    <definedName name="fffffffff" hidden="1">{#N/A,#N/A,FALSE,"CGBR95C"}</definedName>
    <definedName name="fg" hidden="1">{#N/A,#N/A,FALSE,"TMCOMP96";#N/A,#N/A,FALSE,"MAT96";#N/A,#N/A,FALSE,"FANDA96";#N/A,#N/A,FALSE,"INTRAN96";#N/A,#N/A,FALSE,"NAA9697";#N/A,#N/A,FALSE,"ECWEBB";#N/A,#N/A,FALSE,"MFT96";#N/A,#N/A,FALSE,"CTrecon"}</definedName>
    <definedName name="fgdd" hidden="1">{#N/A,#N/A,FALSE,"TMCOMP96";#N/A,#N/A,FALSE,"MAT96";#N/A,#N/A,FALSE,"FANDA96";#N/A,#N/A,FALSE,"INTRAN96";#N/A,#N/A,FALSE,"NAA9697";#N/A,#N/A,FALSE,"ECWEBB";#N/A,#N/A,FALSE,"MFT96";#N/A,#N/A,FALSE,"CTrecon"}</definedName>
    <definedName name="fgdgd" hidden="1">{#N/A,#N/A,FALSE,"TMCOMP96";#N/A,#N/A,FALSE,"MAT96";#N/A,#N/A,FALSE,"FANDA96";#N/A,#N/A,FALSE,"INTRAN96";#N/A,#N/A,FALSE,"NAA9697";#N/A,#N/A,FALSE,"ECWEBB";#N/A,#N/A,FALSE,"MFT96";#N/A,#N/A,FALSE,"CTrecon"}</definedName>
    <definedName name="fgfd" hidden="1">{#N/A,#N/A,FALSE,"TMCOMP96";#N/A,#N/A,FALSE,"MAT96";#N/A,#N/A,FALSE,"FANDA96";#N/A,#N/A,FALSE,"INTRAN96";#N/A,#N/A,FALSE,"NAA9697";#N/A,#N/A,FALSE,"ECWEBB";#N/A,#N/A,FALSE,"MFT96";#N/A,#N/A,FALSE,"CTrecon"}</definedName>
    <definedName name="fgg" hidden="1">{#N/A,#N/A,FALSE,"TMCOMP96";#N/A,#N/A,FALSE,"MAT96";#N/A,#N/A,FALSE,"FANDA96";#N/A,#N/A,FALSE,"INTRAN96";#N/A,#N/A,FALSE,"NAA9697";#N/A,#N/A,FALSE,"ECWEBB";#N/A,#N/A,FALSE,"MFT96";#N/A,#N/A,FALSE,"CTrecon"}</definedName>
    <definedName name="fgh">#REF!</definedName>
    <definedName name="fghfgh" hidden="1">{#N/A,#N/A,FALSE,"TMCOMP96";#N/A,#N/A,FALSE,"MAT96";#N/A,#N/A,FALSE,"FANDA96";#N/A,#N/A,FALSE,"INTRAN96";#N/A,#N/A,FALSE,"NAA9697";#N/A,#N/A,FALSE,"ECWEBB";#N/A,#N/A,FALSE,"MFT96";#N/A,#N/A,FALSE,"CTrecon"}</definedName>
    <definedName name="fhg" hidden="1">#REF!</definedName>
    <definedName name="FIELD">#REF!</definedName>
    <definedName name="Field_names_area">#REF!</definedName>
    <definedName name="FILE">#REF!</definedName>
    <definedName name="fill_area">#N/A</definedName>
    <definedName name="Filter">#REF!</definedName>
    <definedName name="First_3C">#REF!</definedName>
    <definedName name="Fiscal_year_period">#REF!</definedName>
    <definedName name="fiscalevent">#REF!</definedName>
    <definedName name="fiscalevent2">#REF!</definedName>
    <definedName name="Fnc_Qtr">#REF!</definedName>
    <definedName name="Fnc_Year">#REF!</definedName>
    <definedName name="Folder">#REF!</definedName>
    <definedName name="Footnote1">#REF!</definedName>
    <definedName name="Footnote2">#REF!</definedName>
    <definedName name="Footnote3">#REF!</definedName>
    <definedName name="Forecast">#REF!</definedName>
    <definedName name="ForecastColumn">#REF!</definedName>
    <definedName name="ForecastRow">#REF!</definedName>
    <definedName name="Foreign_travel">#REF!</definedName>
    <definedName name="formatCol">#REF!</definedName>
    <definedName name="formatRow">#REF!</definedName>
    <definedName name="formBT">#REF!</definedName>
    <definedName name="Fornote">#REF!</definedName>
    <definedName name="FP">#REF!</definedName>
    <definedName name="FTRANDATAFY">#REF!</definedName>
    <definedName name="FTRANDATEFY">#REF!</definedName>
    <definedName name="FTRANVAR">#REF!</definedName>
    <definedName name="fudge_factor">#REF!</definedName>
    <definedName name="fudge_factor_136">#REF!</definedName>
    <definedName name="fudge_factor_15">#REF!</definedName>
    <definedName name="fudge_factor_174">#REF!</definedName>
    <definedName name="fudge_factor_177">#REF!</definedName>
    <definedName name="fudge_factor_191">#REF!</definedName>
    <definedName name="fudge_factor_207">#REF!</definedName>
    <definedName name="fudge_factor_229">#REF!</definedName>
    <definedName name="fudge_factor_48">#REF!</definedName>
    <definedName name="fudge_factor_61">#REF!</definedName>
    <definedName name="fudge_factor_72">#REF!</definedName>
    <definedName name="fuel_duty">#REF!</definedName>
    <definedName name="FUEL_DUTY_gdpm">#REF!</definedName>
    <definedName name="Fuel_Duty_Idiosyncratic_Effects">#REF!</definedName>
    <definedName name="FUEL_DUTY_pbrent">#REF!</definedName>
    <definedName name="FUEL_DUTY_pr">#REF!</definedName>
    <definedName name="fyu" hidden="1">#REF!</definedName>
    <definedName name="g" hidden="1">#REF!</definedName>
    <definedName name="gap_table1">#REF!</definedName>
    <definedName name="Gas_1P_replacement">#REF!</definedName>
    <definedName name="Gas_2P_replacement">#REF!</definedName>
    <definedName name="Gas_3P_replacement">#REF!</definedName>
    <definedName name="GDPM_base">#REF!</definedName>
    <definedName name="GDPM_change">#REF!</definedName>
    <definedName name="GDPM_scenario">#REF!</definedName>
    <definedName name="gdpm_table32">#REF!</definedName>
    <definedName name="General_CDEL">OFFSET(#REF!,0,0,MAX(#REF!)-1,1)</definedName>
    <definedName name="General_RDEL">OFFSET(#REF!,0,0,MAX(#REF!)-1,1)</definedName>
    <definedName name="GEOG9703">#REF!</definedName>
    <definedName name="gf" hidden="1">#REF!</definedName>
    <definedName name="gfd" hidden="1">#REF!</definedName>
    <definedName name="gg" hidden="1">#REF!</definedName>
    <definedName name="ghdfdfgdfg" hidden="1">#REF!</definedName>
    <definedName name="ghj" hidden="1">{#N/A,#N/A,FALSE,"TMCOMP96";#N/A,#N/A,FALSE,"MAT96";#N/A,#N/A,FALSE,"FANDA96";#N/A,#N/A,FALSE,"INTRAN96";#N/A,#N/A,FALSE,"NAA9697";#N/A,#N/A,FALSE,"ECWEBB";#N/A,#N/A,FALSE,"MFT96";#N/A,#N/A,FALSE,"CTrecon"}</definedName>
    <definedName name="ghk" hidden="1">#REF!</definedName>
    <definedName name="GLOS">#REF!</definedName>
    <definedName name="GovCalc">#REF!</definedName>
    <definedName name="GPS_Fees">#REF!</definedName>
    <definedName name="Grade">#REF!</definedName>
    <definedName name="GRAPH">#REF!</definedName>
    <definedName name="GRAPHS">#REF!</definedName>
    <definedName name="GTR_MAN">#REF!</definedName>
    <definedName name="GWENT">#REF!</definedName>
    <definedName name="GWYNEDD">#REF!</definedName>
    <definedName name="H" hidden="1">#REF!</definedName>
    <definedName name="hag">#REF!</definedName>
    <definedName name="HANTS">#REF!</definedName>
    <definedName name="HEREFORD_W">#REF!</definedName>
    <definedName name="HERTS">#REF!</definedName>
    <definedName name="hfrse4" hidden="1">{#N/A,#N/A,FALSE,"TMCOMP96";#N/A,#N/A,FALSE,"MAT96";#N/A,#N/A,FALSE,"FANDA96";#N/A,#N/A,FALSE,"INTRAN96";#N/A,#N/A,FALSE,"NAA9697";#N/A,#N/A,FALSE,"ECWEBB";#N/A,#N/A,FALSE,"MFT96";#N/A,#N/A,FALSE,"CTrecon"}</definedName>
    <definedName name="hgjk" hidden="1">#REF!</definedName>
    <definedName name="hguj" hidden="1">{#N/A,#N/A,FALSE,"TMCOMP96";#N/A,#N/A,FALSE,"MAT96";#N/A,#N/A,FALSE,"FANDA96";#N/A,#N/A,FALSE,"INTRAN96";#N/A,#N/A,FALSE,"NAA9697";#N/A,#N/A,FALSE,"ECWEBB";#N/A,#N/A,FALSE,"MFT96";#N/A,#N/A,FALSE,"CTrecon"}</definedName>
    <definedName name="hh" hidden="1">#REF!</definedName>
    <definedName name="hhhhhhh" hidden="1">{#N/A,#N/A,FALSE,"CGBR95C"}</definedName>
    <definedName name="Historical">#REF!</definedName>
    <definedName name="hmrc_welfare">#REF!</definedName>
    <definedName name="HMRC_WELFARE___19_20_cpi">#REF!</definedName>
    <definedName name="HMRC_WELFARE__18_19_cpi">#REF!</definedName>
    <definedName name="HMRC_Welfare_Idiosyncratic_Effects">#REF!</definedName>
    <definedName name="HoD">#REF!</definedName>
    <definedName name="Holidays">#REF!</definedName>
    <definedName name="Hor">#REF!</definedName>
    <definedName name="Horizontal">#REF!</definedName>
    <definedName name="HPI" hidden="1">#REF!</definedName>
    <definedName name="HSC_EARN">#REF!</definedName>
    <definedName name="HSC_EMPLOY">#REF!</definedName>
    <definedName name="HSC_Levy">#REF!</definedName>
    <definedName name="HTML_CodePage" hidden="1">1</definedName>
    <definedName name="HTML_Control" hidden="1">{"'Claimants'!$B$2:$E$38"}</definedName>
    <definedName name="HTML_Description" hidden="1">"Recipients of Attendance Allowance 1971-2000"</definedName>
    <definedName name="HTML_Email" hidden="1">""</definedName>
    <definedName name="HTML_Header" hidden="1">""</definedName>
    <definedName name="HTML_LastUpdate" hidden="1">"22/08/2000"</definedName>
    <definedName name="HTML_LineAfter" hidden="1">TRUE</definedName>
    <definedName name="HTML_LineBefore" hidden="1">TRUE</definedName>
    <definedName name="HTML_Name" hidden="1">""</definedName>
    <definedName name="HTML_OBDlg2" hidden="1">TRUE</definedName>
    <definedName name="HTML_OBDlg4" hidden="1">TRUE</definedName>
    <definedName name="HTML_OS" hidden="1">0</definedName>
    <definedName name="HTML_PathFile" hidden="1">"I:\users\personal\shared\Andrew Leicester\Web\aa.htm"</definedName>
    <definedName name="HTML_Title" hidden="1">"Fiscal Facts: Attendance Allowance"</definedName>
    <definedName name="HUMBERSIDE">#REF!</definedName>
    <definedName name="hvbmvbm">#REF!</definedName>
    <definedName name="i" hidden="1">#REF!</definedName>
    <definedName name="I_OF_WIGHT">#REF!</definedName>
    <definedName name="IDK" hidden="1">#REF!</definedName>
    <definedName name="IE_inc_pc_byl">#REF!</definedName>
    <definedName name="IF_base">#REF!</definedName>
    <definedName name="IF_change">#REF!</definedName>
    <definedName name="IF_scenario">#REF!</definedName>
    <definedName name="if_table6">#REF!</definedName>
    <definedName name="iht">#REF!</definedName>
    <definedName name="IHT_aph">#REF!</definedName>
    <definedName name="IHT_eqpr">#REF!</definedName>
    <definedName name="IHT_Idiosyncratic_Effects">#REF!</definedName>
    <definedName name="ilgupPbr">#REF!</definedName>
    <definedName name="imf" hidden="1">#REF!</definedName>
    <definedName name="ImpProb">#REF!</definedName>
    <definedName name="inc_poc_chngs">#REF!</definedName>
    <definedName name="indicator">#REF!</definedName>
    <definedName name="Inflation_cap_base">#REF!</definedName>
    <definedName name="Inflation_cap_scenario">#REF!</definedName>
    <definedName name="initial">#REF!</definedName>
    <definedName name="INPUT">#REF!</definedName>
    <definedName name="INPUT_BOX">#REF!</definedName>
    <definedName name="INSIDEAEF">#REF!</definedName>
    <definedName name="INTEREST_AND_DIVIDENDS_r">#REF!</definedName>
    <definedName name="Interest_Div__Idiosyncratic_Effects">#REF!</definedName>
    <definedName name="interest_dividends">#REF!</definedName>
    <definedName name="International_migration">#REF!</definedName>
    <definedName name="intid">#REF!</definedName>
    <definedName name="ipt">#REF!</definedName>
    <definedName name="IPT_eqpr">#REF!</definedName>
    <definedName name="IPT_Idiosyncratic_Effects">#REF!</definedName>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 name="istar">#REF!</definedName>
    <definedName name="j" hidden="1">#REF!</definedName>
    <definedName name="JAN">#REF!</definedName>
    <definedName name="JAN_2012">#REF!</definedName>
    <definedName name="JanpopF">#REF!</definedName>
    <definedName name="janpopm">#REF!</definedName>
    <definedName name="janpopp">#REF!</definedName>
    <definedName name="jhj" hidden="1">{#N/A,#N/A,FALSE,"TMCOMP96";#N/A,#N/A,FALSE,"MAT96";#N/A,#N/A,FALSE,"FANDA96";#N/A,#N/A,FALSE,"INTRAN96";#N/A,#N/A,FALSE,"NAA9697";#N/A,#N/A,FALSE,"ECWEBB";#N/A,#N/A,FALSE,"MFT96";#N/A,#N/A,FALSE,"CTrecon"}</definedName>
    <definedName name="jhkgh" hidden="1">{#N/A,#N/A,FALSE,"TMCOMP96";#N/A,#N/A,FALSE,"MAT96";#N/A,#N/A,FALSE,"FANDA96";#N/A,#N/A,FALSE,"INTRAN96";#N/A,#N/A,FALSE,"NAA9697";#N/A,#N/A,FALSE,"ECWEBB";#N/A,#N/A,FALSE,"MFT96";#N/A,#N/A,FALSE,"CTrecon"}</definedName>
    <definedName name="jhkgh2" hidden="1">{#N/A,#N/A,FALSE,"TMCOMP96";#N/A,#N/A,FALSE,"MAT96";#N/A,#N/A,FALSE,"FANDA96";#N/A,#N/A,FALSE,"INTRAN96";#N/A,#N/A,FALSE,"NAA9697";#N/A,#N/A,FALSE,"ECWEBB";#N/A,#N/A,FALSE,"MFT96";#N/A,#N/A,FALSE,"CTrecon"}</definedName>
    <definedName name="jhrg" hidden="1">#REF!</definedName>
    <definedName name="jjj" hidden="1">{#N/A,#N/A,FALSE,"TMCOMP96";#N/A,#N/A,FALSE,"MAT96";#N/A,#N/A,FALSE,"FANDA96";#N/A,#N/A,FALSE,"INTRAN96";#N/A,#N/A,FALSE,"NAA9697";#N/A,#N/A,FALSE,"ECWEBB";#N/A,#N/A,FALSE,"MFT96";#N/A,#N/A,FALSE,"CTrecon"}</definedName>
    <definedName name="jjjk" hidden="1">#REF!</definedName>
    <definedName name="jjuy" hidden="1">#REF!</definedName>
    <definedName name="jkyuh" hidden="1">{#N/A,#N/A,FALSE,"TMCOMP96";#N/A,#N/A,FALSE,"MAT96";#N/A,#N/A,FALSE,"FANDA96";#N/A,#N/A,FALSE,"INTRAN96";#N/A,#N/A,FALSE,"NAA9697";#N/A,#N/A,FALSE,"ECWEBB";#N/A,#N/A,FALSE,"MFT96";#N/A,#N/A,FALSE,"CTrecon"}</definedName>
    <definedName name="Job_Type">#REF!</definedName>
    <definedName name="Joule_per_BTU">#REF!</definedName>
    <definedName name="JUL_2012">#REF!</definedName>
    <definedName name="JUL_2013">#REF!</definedName>
    <definedName name="JULY">#REF!</definedName>
    <definedName name="JULY2">#REF!</definedName>
    <definedName name="JUN_2012">#REF!</definedName>
    <definedName name="JUN_2013">#REF!</definedName>
    <definedName name="JUNE">#REF!</definedName>
    <definedName name="JUNE2">#REF!</definedName>
    <definedName name="jyuhj" hidden="1">{#N/A,#N/A,FALSE,"TMCOMP96";#N/A,#N/A,FALSE,"MAT96";#N/A,#N/A,FALSE,"FANDA96";#N/A,#N/A,FALSE,"INTRAN96";#N/A,#N/A,FALSE,"NAA9697";#N/A,#N/A,FALSE,"ECWEBB";#N/A,#N/A,FALSE,"MFT96";#N/A,#N/A,FALSE,"CTrecon"}</definedName>
    <definedName name="jyyhfej" hidden="1">#REF!</definedName>
    <definedName name="k" hidden="1">#REF!</definedName>
    <definedName name="KENT">#REF!</definedName>
    <definedName name="Key">#REF!</definedName>
    <definedName name="kkk" hidden="1">#REF!</definedName>
    <definedName name="l" hidden="1">{#N/A,#N/A,FALSE,"TMCOMP96";#N/A,#N/A,FALSE,"MAT96";#N/A,#N/A,FALSE,"FANDA96";#N/A,#N/A,FALSE,"INTRAN96";#N/A,#N/A,FALSE,"NAA9697";#N/A,#N/A,FALSE,"ECWEBB";#N/A,#N/A,FALSE,"MFT96";#N/A,#N/A,FALSE,"CTrecon"}</definedName>
    <definedName name="LA_List">#REF!</definedName>
    <definedName name="Label">!#REF!</definedName>
    <definedName name="LANCS">#REF!</definedName>
    <definedName name="LAs">#REF!</definedName>
    <definedName name="Last_3C">#REF!</definedName>
    <definedName name="Last_round">#REF!</definedName>
    <definedName name="last_year">#REF!</definedName>
    <definedName name="last_year_alias">#REF!</definedName>
    <definedName name="LastEco">#REF!</definedName>
    <definedName name="lat_data">#REF!</definedName>
    <definedName name="lat_date">#REF!</definedName>
    <definedName name="lat_var">#REF!</definedName>
    <definedName name="lease">#REF!</definedName>
    <definedName name="LEICS">#REF!</definedName>
    <definedName name="LINCS">#REF!</definedName>
    <definedName name="Liquid__Reserves">#REF!</definedName>
    <definedName name="lll" hidden="1">#REF!</definedName>
    <definedName name="LoBDATA">#REF!</definedName>
    <definedName name="Location">#REF!</definedName>
    <definedName name="LONDON">#REF!</definedName>
    <definedName name="Lookup_Sheets">#REF!</definedName>
    <definedName name="M_GLAM">#REF!</definedName>
    <definedName name="m3_per_boe">#REF!</definedName>
    <definedName name="males_UK">#REF!</definedName>
    <definedName name="MAPPING">#REF!</definedName>
    <definedName name="MAPPING2">#REF!</definedName>
    <definedName name="MAR_2012">#REF!</definedName>
    <definedName name="MARCH">#REF!</definedName>
    <definedName name="MARCH2">#REF!</definedName>
    <definedName name="Mary">#REF!</definedName>
    <definedName name="Matrix">#REF!</definedName>
    <definedName name="MAY">#REF!</definedName>
    <definedName name="MAY_2012">#REF!</definedName>
    <definedName name="MAY_2013">#REF!</definedName>
    <definedName name="MERSEYSIDE">#REF!</definedName>
    <definedName name="MGDPNSA_base">#REF!</definedName>
    <definedName name="MGDPNSA_change">#REF!</definedName>
    <definedName name="MGDPNSA_scenario">#REF!</definedName>
    <definedName name="mgdpnsa_table32">#REF!</definedName>
    <definedName name="MI_base">#REF!</definedName>
    <definedName name="MI_change_lag1">#REF!</definedName>
    <definedName name="MI_scenario">#REF!</definedName>
    <definedName name="mi_table32">#REF!</definedName>
    <definedName name="midpopF">#REF!</definedName>
    <definedName name="midpopm">#REF!</definedName>
    <definedName name="midpopp">#REF!</definedName>
    <definedName name="MigrantsF">#REF!</definedName>
    <definedName name="MigrantsM">#REF!</definedName>
    <definedName name="MigrantsM2">#REF!</definedName>
    <definedName name="MigrantsP">#REF!</definedName>
    <definedName name="Migration">#REF!</definedName>
    <definedName name="Mileage">#REF!</definedName>
    <definedName name="mine" hidden="1">{#N/A,#N/A,FALSE,"CGBR95C"}</definedName>
    <definedName name="MIRAS">#REF!</definedName>
    <definedName name="MJgraph" hidden="1">#REF!</definedName>
    <definedName name="MJgraph1" hidden="1">#REF!</definedName>
    <definedName name="mmm" hidden="1">#REF!</definedName>
    <definedName name="Mon">"ANT!A6:EW940"</definedName>
    <definedName name="Month">#REF!</definedName>
    <definedName name="Months">#REF!</definedName>
    <definedName name="MonthVL">#REF!</definedName>
    <definedName name="MPR">#REF!</definedName>
    <definedName name="mxF">#REF!</definedName>
    <definedName name="mxM">#REF!</definedName>
    <definedName name="mxP">#REF!</definedName>
    <definedName name="myNamedRange">#REF!</definedName>
    <definedName name="n" hidden="1">{#N/A,#N/A,FALSE,"TMCOMP96";#N/A,#N/A,FALSE,"MAT96";#N/A,#N/A,FALSE,"FANDA96";#N/A,#N/A,FALSE,"INTRAN96";#N/A,#N/A,FALSE,"NAA9697";#N/A,#N/A,FALSE,"ECWEBB";#N/A,#N/A,FALSE,"MFT96";#N/A,#N/A,FALSE,"CTrecon"}</definedName>
    <definedName name="N_YORKS">#REF!</definedName>
    <definedName name="Name">#REF!</definedName>
    <definedName name="Names">#REF!</definedName>
    <definedName name="NEARNONCASH">#REF!</definedName>
    <definedName name="new" hidden="1">{#N/A,#N/A,FALSE,"TMCOMP96";#N/A,#N/A,FALSE,"MAT96";#N/A,#N/A,FALSE,"FANDA96";#N/A,#N/A,FALSE,"INTRAN96";#N/A,#N/A,FALSE,"NAA9697";#N/A,#N/A,FALSE,"ECWEBB";#N/A,#N/A,FALSE,"MFT96";#N/A,#N/A,FALSE,"CTrecon"}</definedName>
    <definedName name="new_rpi">#REF!</definedName>
    <definedName name="New_State_Pension_CPI">#REF!</definedName>
    <definedName name="newFill_area">#N/A</definedName>
    <definedName name="NGL_bbl_per_tonne">#REF!</definedName>
    <definedName name="nhsa">#REF!</definedName>
    <definedName name="nhsdefs">#REF!</definedName>
    <definedName name="nhsdp">#REF!</definedName>
    <definedName name="nhstot">#REF!</definedName>
    <definedName name="nics">#REF!</definedName>
    <definedName name="NICS_cpi">#REF!</definedName>
    <definedName name="NICS_Employee_earn">#REF!</definedName>
    <definedName name="NICS_Employee_employ">#REF!</definedName>
    <definedName name="NICs_Employer_earn">#REF!</definedName>
    <definedName name="NICS_Employer_employ">#REF!</definedName>
    <definedName name="NICS_Idiosyncratic_Effects">#REF!</definedName>
    <definedName name="nlfo">#REF!</definedName>
    <definedName name="nlfout">#REF!</definedName>
    <definedName name="nlfp">#REF!</definedName>
    <definedName name="nlfpcout">#REF!</definedName>
    <definedName name="nnn" hidden="1">#REF!</definedName>
    <definedName name="NNSGTP_base">#REF!</definedName>
    <definedName name="NNSGTP_change">#REF!</definedName>
    <definedName name="NNSGTP_change_lag1">#REF!</definedName>
    <definedName name="NNSGTP_scenario">#REF!</definedName>
    <definedName name="nnsgtp_table32">#REF!</definedName>
    <definedName name="nnsgva_table30">#REF!</definedName>
    <definedName name="no_member">#REF!</definedName>
    <definedName name="NOCONFLICT" hidden="1">{#N/A,#N/A,FALSE,"TMCOMP96";#N/A,#N/A,FALSE,"MAT96";#N/A,#N/A,FALSE,"FANDA96";#N/A,#N/A,FALSE,"INTRAN96";#N/A,#N/A,FALSE,"NAA9697";#N/A,#N/A,FALSE,"ECWEBB";#N/A,#N/A,FALSE,"MFT96";#N/A,#N/A,FALSE,"CTrecon"}</definedName>
    <definedName name="Nom">#REF!</definedName>
    <definedName name="Nominal">#REF!</definedName>
    <definedName name="Nominals">#REF!</definedName>
    <definedName name="NORFOLK">#REF!</definedName>
    <definedName name="NORTHANTS">#REF!</definedName>
    <definedName name="NORTHUMBERLAND">#REF!</definedName>
    <definedName name="Not_being_used">#REF!</definedName>
    <definedName name="NOTTS">#REF!</definedName>
    <definedName name="NOV">#REF!</definedName>
    <definedName name="NOV_2012">#REF!</definedName>
    <definedName name="num">#REF!</definedName>
    <definedName name="Number">#REF!,#REF!,#REF!,#REF!,#REF!,#REF!,#REF!,#REF!,#REF!,#REF!,#REF!,#REF!</definedName>
    <definedName name="OBR_22EFO" hidden="1">#REF!</definedName>
    <definedName name="OCT">#REF!</definedName>
    <definedName name="OCT_2012">#REF!</definedName>
    <definedName name="OCT_2013">#REF!</definedName>
    <definedName name="offshore_ct">#REF!</definedName>
    <definedName name="Offshore_CT_Idiosyncratic_Effects">#REF!</definedName>
    <definedName name="OFFSHORE_CT_pbrent">#REF!</definedName>
    <definedName name="OFFSHORE_CT_RXD">#REF!</definedName>
    <definedName name="OIL">#REF!</definedName>
    <definedName name="Oil_1P_replacement">#REF!</definedName>
    <definedName name="Oil_2P_replacement">#REF!</definedName>
    <definedName name="Oil_3P_replacement">#REF!</definedName>
    <definedName name="oil_bbl_per_tonne">#REF!</definedName>
    <definedName name="old_rpi">#REF!</definedName>
    <definedName name="ONS_NAA">#REF!</definedName>
    <definedName name="Onshore_CT_Idiosyncratic_Effects">#REF!</definedName>
    <definedName name="oooo" hidden="1">#REF!</definedName>
    <definedName name="Operator_filter">#REF!</definedName>
    <definedName name="Option2" hidden="1">{#N/A,#N/A,FALSE,"TMCOMP96";#N/A,#N/A,FALSE,"MAT96";#N/A,#N/A,FALSE,"FANDA96";#N/A,#N/A,FALSE,"INTRAN96";#N/A,#N/A,FALSE,"NAA9697";#N/A,#N/A,FALSE,"ECWEBB";#N/A,#N/A,FALSE,"MFT96";#N/A,#N/A,FALSE,"CTrecon"}</definedName>
    <definedName name="organisation">#REF!</definedName>
    <definedName name="Oth_COINS_data">#REF!</definedName>
    <definedName name="Other_CPI">#REF!</definedName>
    <definedName name="Other_Earnings">#REF!</definedName>
    <definedName name="Other_TL">#REF!</definedName>
    <definedName name="oto">#REF!</definedName>
    <definedName name="otout">#REF!</definedName>
    <definedName name="otp">#REF!</definedName>
    <definedName name="OUTPUT">#REF!</definedName>
    <definedName name="OUTSIDEAEF">#REF!</definedName>
    <definedName name="OUTTURN">#REF!</definedName>
    <definedName name="OXON">#REF!</definedName>
    <definedName name="P3_">#REF!</definedName>
    <definedName name="PAGE2">#REF!</definedName>
    <definedName name="PAGE3">#REF!</definedName>
    <definedName name="PAGE4">#REF!</definedName>
    <definedName name="PAGE5">#REF!</definedName>
    <definedName name="PAGE6">#REF!</definedName>
    <definedName name="PALL">#REF!</definedName>
    <definedName name="parents">!#REF!</definedName>
    <definedName name="Paste_values">#REF!</definedName>
    <definedName name="PAT">#REF!</definedName>
    <definedName name="paye">#REF!</definedName>
    <definedName name="PAYE_cpi">#REF!</definedName>
    <definedName name="PAYE_earn">#REF!</definedName>
    <definedName name="PAYE_employ">#REF!</definedName>
    <definedName name="PAYE_Idiosyncratic_Effects">#REF!</definedName>
    <definedName name="PBRENT_base">#REF!</definedName>
    <definedName name="PBRENT_change">#REF!</definedName>
    <definedName name="PBRENT_scenario">#REF!</definedName>
    <definedName name="pbrent_table32">#REF!</definedName>
    <definedName name="PCCapDEL">#REF!</definedName>
    <definedName name="pcspsa">#REF!</definedName>
    <definedName name="pcspsdp">#REF!</definedName>
    <definedName name="pcspstot">#REF!</definedName>
    <definedName name="PD_base">#REF!</definedName>
    <definedName name="PD_change">#REF!</definedName>
    <definedName name="PD_change_lag1">#REF!</definedName>
    <definedName name="PD_scenario">#REF!</definedName>
    <definedName name="pd_table32">#REF!</definedName>
    <definedName name="peacekeeping">!#REF!</definedName>
    <definedName name="PEF_ID">#REF!</definedName>
    <definedName name="Pension_CPI">#REF!</definedName>
    <definedName name="Pensionadj">#REF!</definedName>
    <definedName name="Pensions_earn">#REF!</definedName>
    <definedName name="Pensions_idiosyncratic">#REF!</definedName>
    <definedName name="Pensions_TL">#REF!</definedName>
    <definedName name="people">#REF!</definedName>
    <definedName name="Period_Name">#REF!</definedName>
    <definedName name="Personal_Independence_Payment_CPI">#REF!</definedName>
    <definedName name="persons_UK">#REF!</definedName>
    <definedName name="pgapweight">#REF!</definedName>
    <definedName name="PGDP_base">#REF!</definedName>
    <definedName name="PGDP_scenario">#REF!</definedName>
    <definedName name="pgdp_table11">#REF!</definedName>
    <definedName name="Philippa">#REF!</definedName>
    <definedName name="PINDEX">#REF!</definedName>
    <definedName name="PMIRAS">#REF!</definedName>
    <definedName name="PNIFIN">#REF!</definedName>
    <definedName name="PNIFIND">#REF!</definedName>
    <definedName name="PNIFINL">#REF!</definedName>
    <definedName name="PNIFOUT">#REF!</definedName>
    <definedName name="Pop" hidden="1">#REF!</definedName>
    <definedName name="Population" hidden="1">#REF!</definedName>
    <definedName name="Post_Economy">#REF!</definedName>
    <definedName name="potatoe" hidden="1">{#N/A,#N/A,FALSE,"Comp. of IMBEs all bens.  T8";#N/A,#N/A,FALSE,"Comp. of IMBE with provision.T4";#N/A,#N/A,FALSE,"Comp. IMBE with Sep PES.  T6"}</definedName>
    <definedName name="POTHERS">#REF!</definedName>
    <definedName name="POWYS">#REF!</definedName>
    <definedName name="pp" hidden="1">#REF!</definedName>
    <definedName name="PPAYE">#REF!</definedName>
    <definedName name="PPbyMonth">#REF!</definedName>
    <definedName name="ppp" hidden="1">#REF!</definedName>
    <definedName name="PR_base">#REF!</definedName>
    <definedName name="pr_index_table10">#REF!</definedName>
    <definedName name="PR_scenario">#REF!</definedName>
    <definedName name="pr_table1">#REF!</definedName>
    <definedName name="Previous">#REF!</definedName>
    <definedName name="Prince">#REF!</definedName>
    <definedName name="PRinflation_base">#REF!</definedName>
    <definedName name="PRinflation_change">#REF!</definedName>
    <definedName name="PRinflation_scenario">#REF!</definedName>
    <definedName name="print">#REF!</definedName>
    <definedName name="_xlnm.Print_Area">#REF!</definedName>
    <definedName name="_xlnm.Print_Titles">#N/A</definedName>
    <definedName name="PRINT1">#REF!</definedName>
    <definedName name="PRINT2">#REF!</definedName>
    <definedName name="PRINT20">#REF!</definedName>
    <definedName name="PRINT3">#REF!</definedName>
    <definedName name="PRINT4">#REF!</definedName>
    <definedName name="PRINT5">#REF!</definedName>
    <definedName name="PRINT6">#REF!</definedName>
    <definedName name="PRINT7">#REF!</definedName>
    <definedName name="PRINT8">#REF!</definedName>
    <definedName name="PRINTA">#REF!</definedName>
    <definedName name="PRINTC">#REF!</definedName>
    <definedName name="Printtab">#REF!</definedName>
    <definedName name="Printtab10">#REF!</definedName>
    <definedName name="Printtab11">#REF!</definedName>
    <definedName name="Printtab2">#REF!</definedName>
    <definedName name="Printtab3">#REF!</definedName>
    <definedName name="Printtab4">#REF!</definedName>
    <definedName name="Printtab5">#REF!</definedName>
    <definedName name="Printtab6">#REF!</definedName>
    <definedName name="printtab7">#REF!</definedName>
    <definedName name="Printtab8">#REF!</definedName>
    <definedName name="Prodtest" hidden="1">#REF!</definedName>
    <definedName name="PROFILE">#REF!</definedName>
    <definedName name="Profile?_YES_NO_filter">#REF!</definedName>
    <definedName name="Profiles" hidden="1">#REF!</definedName>
    <definedName name="Projections" hidden="1">#REF!</definedName>
    <definedName name="PS_pensions_CPI">#REF!</definedName>
    <definedName name="PS_pensions_earn">#REF!</definedName>
    <definedName name="PSAT_Area">#REF!</definedName>
    <definedName name="PSAT_date">#REF!</definedName>
    <definedName name="PSAT_Name">#REF!</definedName>
    <definedName name="PSCHEDC">#REF!</definedName>
    <definedName name="PSF4CY">#REF!</definedName>
    <definedName name="pstar">#REF!</definedName>
    <definedName name="PTM">#REF!</definedName>
    <definedName name="public_sector_pensions">#REF!</definedName>
    <definedName name="PUBLIC_SECTOR_PENSIONS_cpi">#REF!</definedName>
    <definedName name="q" hidden="1">#REF!</definedName>
    <definedName name="qqq" hidden="1">#REF!</definedName>
    <definedName name="QtrlyData">#REF!</definedName>
    <definedName name="QUARTER">#REF!</definedName>
    <definedName name="Quarters">#REF!</definedName>
    <definedName name="R_base">#REF!</definedName>
    <definedName name="R_change">#REF!</definedName>
    <definedName name="R_scenario">#REF!</definedName>
    <definedName name="r_table1">#REF!</definedName>
    <definedName name="Rail_Travel">#REF!</definedName>
    <definedName name="range">#REF!</definedName>
    <definedName name="range2">#REF!</definedName>
    <definedName name="range3">#REF!</definedName>
    <definedName name="ratio">#REF!</definedName>
    <definedName name="RDEL">OFFSET(#REF!,0,0,MAX(#REF!),1)</definedName>
    <definedName name="RDEP_base">#REF!</definedName>
    <definedName name="RDEP_change">#REF!</definedName>
    <definedName name="RDEP_scenario">#REF!</definedName>
    <definedName name="rdep_table32">#REF!</definedName>
    <definedName name="Rec" hidden="1">{#N/A,#N/A,FALSE,"TMCOMP96";#N/A,#N/A,FALSE,"MAT96";#N/A,#N/A,FALSE,"FANDA96";#N/A,#N/A,FALSE,"INTRAN96";#N/A,#N/A,FALSE,"NAA9697";#N/A,#N/A,FALSE,"ECWEBB";#N/A,#N/A,FALSE,"MFT96";#N/A,#N/A,FALSE,"CTrecon"}</definedName>
    <definedName name="Receipts">OFFSET(#REF!,0,0,MAX(#REF!),1)</definedName>
    <definedName name="ReceiptsColumn">#REF!</definedName>
    <definedName name="ReceiptsRow">#REF!</definedName>
    <definedName name="ReductionTargets">#REF!</definedName>
    <definedName name="REP">#REF!</definedName>
    <definedName name="rerg" hidden="1">#REF!</definedName>
    <definedName name="Res_codes_table">#REF!</definedName>
    <definedName name="ResAME">#REF!</definedName>
    <definedName name="RESCAP">#REF!</definedName>
    <definedName name="ResDEL">#REF!</definedName>
    <definedName name="Reserves_data_sort_area">#REF!</definedName>
    <definedName name="Results" hidden="1">#REF!</definedName>
    <definedName name="RGDATA">#REF!</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7</definedName>
    <definedName name="RiskMatrix">#REF!</definedName>
    <definedName name="RiskMinimizeOnStart" hidden="1">FALSE</definedName>
    <definedName name="RiskMonitorConvergence" hidden="1">FALSE</definedName>
    <definedName name="RiskMultipleCPUSupportEnabled" hidden="1">TRUE</definedName>
    <definedName name="RiskNumIterations" hidden="1">1000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tandardRecalc" hidden="1">2</definedName>
    <definedName name="RiskUpdateDisplay" hidden="1">FALSE</definedName>
    <definedName name="RiskUseDifferentSeedForEachSim" hidden="1">FALSE</definedName>
    <definedName name="RiskUseFixedSeed" hidden="1">FALSE</definedName>
    <definedName name="RiskUseMultipleCPUs" hidden="1">TRUE</definedName>
    <definedName name="rngTable1">#REF!</definedName>
    <definedName name="rngTable2">#REF!</definedName>
    <definedName name="rngTable20">#REF!</definedName>
    <definedName name="rngTable3">#REF!</definedName>
    <definedName name="rngTable4">#REF!</definedName>
    <definedName name="rngTable5">#REF!</definedName>
    <definedName name="rngTable6">#REF!</definedName>
    <definedName name="rngTable7">#REF!</definedName>
    <definedName name="ROUND">#REF!</definedName>
    <definedName name="round_to">#REF!</definedName>
    <definedName name="Row_A">#REF!</definedName>
    <definedName name="Row_B">#REF!</definedName>
    <definedName name="Row_C">#REF!</definedName>
    <definedName name="Row_D">#REF!</definedName>
    <definedName name="Row_E">#REF!</definedName>
    <definedName name="Row_F">#REF!</definedName>
    <definedName name="Row_G">#REF!</definedName>
    <definedName name="Row_H">#REF!</definedName>
    <definedName name="rpi_effect">#REF!</definedName>
    <definedName name="RSXdata">#REF!</definedName>
    <definedName name="rter">#REF!</definedName>
    <definedName name="RXD_base">#REF!</definedName>
    <definedName name="RXD_change">#REF!</definedName>
    <definedName name="RXD_scenario">#REF!</definedName>
    <definedName name="S" hidden="1">#REF!</definedName>
    <definedName name="S_GLAM">#REF!</definedName>
    <definedName name="S_YORKS">#REF!</definedName>
    <definedName name="S1ACP">#REF!,#REF!,#REF!,#REF!,#REF!</definedName>
    <definedName name="S1ACV">#REF!,#REF!,#REF!,#REF!,#REF!,#REF!,#REF!,#REF!,#REF!</definedName>
    <definedName name="S1QCP">#REF!,#REF!,#REF!,#REF!,#REF!</definedName>
    <definedName name="S1QCV">#REF!,#REF!,#REF!,#REF!,#REF!,#REF!,#REF!,#REF!,#REF!</definedName>
    <definedName name="S20_">#REF!</definedName>
    <definedName name="S2ACP">#REF!,#REF!,#REF!,#REF!,#REF!</definedName>
    <definedName name="S2ACV">#REF!,#REF!,#REF!,#REF!,#REF!,#REF!,#REF!,#REF!,#REF!</definedName>
    <definedName name="S2QCP">#REF!,#REF!,#REF!,#REF!,#REF!</definedName>
    <definedName name="S2QCV">#REF!,#REF!,#REF!,#REF!,#REF!,#REF!,#REF!,#REF!,#REF!</definedName>
    <definedName name="S3ACP">#REF!,#REF!,#REF!,#REF!,#REF!</definedName>
    <definedName name="S3ACV">#REF!,#REF!,#REF!,#REF!,#REF!,#REF!,#REF!,#REF!,#REF!</definedName>
    <definedName name="S3QCP">#REF!,#REF!,#REF!,#REF!,#REF!</definedName>
    <definedName name="S3QCV">#REF!,#REF!,#REF!,#REF!,#REF!,#REF!,#REF!,#REF!,#REF!</definedName>
    <definedName name="S4ACP">#REF!,#REF!,#REF!,#REF!,#REF!</definedName>
    <definedName name="S4ACV">#REF!,#REF!,#REF!,#REF!,#REF!,#REF!,#REF!,#REF!,#REF!</definedName>
    <definedName name="S4QCP">#REF!,#REF!,#REF!,#REF!,#REF!</definedName>
    <definedName name="S4QCV">#REF!,#REF!,#REF!,#REF!,#REF!,#REF!,#REF!,#REF!,#REF!</definedName>
    <definedName name="S5ACP">#REF!,#REF!,#REF!,#REF!,#REF!</definedName>
    <definedName name="S5ACV">#REF!,#REF!,#REF!,#REF!,#REF!,#REF!,#REF!,#REF!,#REF!</definedName>
    <definedName name="S5QCP">#REF!,#REF!,#REF!,#REF!,#REF!</definedName>
    <definedName name="S5QCV">#REF!,#REF!,#REF!,#REF!,#REF!,#REF!,#REF!,#REF!,#REF!</definedName>
    <definedName name="S6ACP">#REF!,#REF!,#REF!,#REF!,#REF!</definedName>
    <definedName name="S6ACV">#REF!,#REF!,#REF!,#REF!,#REF!,#REF!,#REF!,#REF!,#REF!</definedName>
    <definedName name="S6QCP">#REF!,#REF!,#REF!,#REF!,#REF!</definedName>
    <definedName name="S6QCV">#REF!,#REF!,#REF!,#REF!,#REF!,#REF!,#REF!,#REF!,#REF!</definedName>
    <definedName name="sa">#REF!</definedName>
    <definedName name="SA_cpi">#REF!</definedName>
    <definedName name="SA_Idiosyncratic_Effects">#REF!</definedName>
    <definedName name="SA_mi">#REF!</definedName>
    <definedName name="SA_NNSGTP">#REF!</definedName>
    <definedName name="SA_rdep">#REF!</definedName>
    <definedName name="sal">#REF!</definedName>
    <definedName name="SAM_CTRY_UK">#REF!</definedName>
    <definedName name="SAPBEXdnldView" hidden="1">"461Z8W8GZ2NCOWL40KSCH2RT2"</definedName>
    <definedName name="SAPBEXsysID" hidden="1">"BWP"</definedName>
    <definedName name="scale_by">#REF!</definedName>
    <definedName name="Scen">#REF!</definedName>
    <definedName name="scf_per_boe">#REF!</definedName>
    <definedName name="SCHD">#REF!</definedName>
    <definedName name="SCOA">!#REF!</definedName>
    <definedName name="Score">#REF!</definedName>
    <definedName name="sdf" hidden="1">{#N/A,#N/A,FALSE,"TMCOMP96";#N/A,#N/A,FALSE,"MAT96";#N/A,#N/A,FALSE,"FANDA96";#N/A,#N/A,FALSE,"INTRAN96";#N/A,#N/A,FALSE,"NAA9697";#N/A,#N/A,FALSE,"ECWEBB";#N/A,#N/A,FALSE,"MFT96";#N/A,#N/A,FALSE,"CTrecon"}</definedName>
    <definedName name="sdff" hidden="1">{#N/A,#N/A,FALSE,"TMCOMP96";#N/A,#N/A,FALSE,"MAT96";#N/A,#N/A,FALSE,"FANDA96";#N/A,#N/A,FALSE,"INTRAN96";#N/A,#N/A,FALSE,"NAA9697";#N/A,#N/A,FALSE,"ECWEBB";#N/A,#N/A,FALSE,"MFT96";#N/A,#N/A,FALSE,"CTrecon"}</definedName>
    <definedName name="sdfg" hidden="1">{#N/A,#N/A,FALSE,"TMCOMP96";#N/A,#N/A,FALSE,"MAT96";#N/A,#N/A,FALSE,"FANDA96";#N/A,#N/A,FALSE,"INTRAN96";#N/A,#N/A,FALSE,"NAA9697";#N/A,#N/A,FALSE,"ECWEBB";#N/A,#N/A,FALSE,"MFT96";#N/A,#N/A,FALSE,"CTrecon"}</definedName>
    <definedName name="sdfgd" hidden="1">#REF!</definedName>
    <definedName name="sdfgdfg" hidden="1">{#N/A,#N/A,FALSE,"TMCOMP96";#N/A,#N/A,FALSE,"MAT96";#N/A,#N/A,FALSE,"FANDA96";#N/A,#N/A,FALSE,"INTRAN96";#N/A,#N/A,FALSE,"NAA9697";#N/A,#N/A,FALSE,"ECWEBB";#N/A,#N/A,FALSE,"MFT96";#N/A,#N/A,FALSE,"CTrecon"}</definedName>
    <definedName name="sdfgds" hidden="1">{#N/A,#N/A,FALSE,"TMCOMP96";#N/A,#N/A,FALSE,"MAT96";#N/A,#N/A,FALSE,"FANDA96";#N/A,#N/A,FALSE,"INTRAN96";#N/A,#N/A,FALSE,"NAA9697";#N/A,#N/A,FALSE,"ECWEBB";#N/A,#N/A,FALSE,"MFT96";#N/A,#N/A,FALSE,"CTrecon"}</definedName>
    <definedName name="sdfgfdg" hidden="1">#REF!</definedName>
    <definedName name="sdgshdg" hidden="1">{#N/A,#N/A,FALSE,"TMCOMP96";#N/A,#N/A,FALSE,"MAT96";#N/A,#N/A,FALSE,"FANDA96";#N/A,#N/A,FALSE,"INTRAN96";#N/A,#N/A,FALSE,"NAA9697";#N/A,#N/A,FALSE,"ECWEBB";#N/A,#N/A,FALSE,"MFT96";#N/A,#N/A,FALSE,"CTrecon"}</definedName>
    <definedName name="sdlt">#REF!</definedName>
    <definedName name="SDLT_aph">#REF!</definedName>
    <definedName name="SDLT_Idiosyncratic_Effects">#REF!</definedName>
    <definedName name="SDLT_pd">#REF!</definedName>
    <definedName name="SECT01">#REF!</definedName>
    <definedName name="SECT02">#REF!</definedName>
    <definedName name="section">#REF!,#REF!</definedName>
    <definedName name="sencount" hidden="1">2</definedName>
    <definedName name="SEP_2012">#REF!</definedName>
    <definedName name="SEP_2013">#REF!</definedName>
    <definedName name="SEPT">#REF!</definedName>
    <definedName name="SEPT2">#REF!</definedName>
    <definedName name="sfad" hidden="1">{#N/A,#N/A,FALSE,"TMCOMP96";#N/A,#N/A,FALSE,"MAT96";#N/A,#N/A,FALSE,"FANDA96";#N/A,#N/A,FALSE,"INTRAN96";#N/A,#N/A,FALSE,"NAA9697";#N/A,#N/A,FALSE,"ECWEBB";#N/A,#N/A,FALSE,"MFT96";#N/A,#N/A,FALSE,"CTrecon"}</definedName>
    <definedName name="SG_data">#REF!</definedName>
    <definedName name="ShadedArea">#REF!,#REF!,#REF!,#REF!,#REF!,#REF!,#REF!,#REF!,#REF!,#REF!</definedName>
    <definedName name="sheet1">#REF!</definedName>
    <definedName name="ShortDate1">#REF!</definedName>
    <definedName name="shortfalls">#REF!</definedName>
    <definedName name="shrinkage">#REF!</definedName>
    <definedName name="shrinkage_174">#REF!</definedName>
    <definedName name="SHROPS">#REF!</definedName>
    <definedName name="SOMERSET">#REF!</definedName>
    <definedName name="Specialism">#REF!</definedName>
    <definedName name="Spendsum">!#REF!</definedName>
    <definedName name="Spring">#REF!</definedName>
    <definedName name="ssssssss" hidden="1">#REF!</definedName>
    <definedName name="sssssssss" hidden="1">#REF!</definedName>
    <definedName name="STAFFS">#REF!</definedName>
    <definedName name="STAMP">#REF!</definedName>
    <definedName name="STAMPS_eqpr">#REF!</definedName>
    <definedName name="START">#REF!</definedName>
    <definedName name="Start_of_Checks">#REF!</definedName>
    <definedName name="State_Pension_CPI">#REF!</definedName>
    <definedName name="Status_3C">#REF!</definedName>
    <definedName name="Statutory_Maternity_Pay_CPI">#REF!</definedName>
    <definedName name="Statutory_Maternity_Pay_earn">#REF!</definedName>
    <definedName name="STOP">#REF!</definedName>
    <definedName name="student_loans">#REF!</definedName>
    <definedName name="STUDENT_LOANS__17_18_pr">#REF!</definedName>
    <definedName name="STUDENT_LOANS__18_19_pr">#REF!</definedName>
    <definedName name="STUDENT_LOANS__19_20_pr">#REF!</definedName>
    <definedName name="STUDENT_LOANS__20_21_pr">#REF!</definedName>
    <definedName name="STUDENT_LOANS__21_22_pr">#REF!</definedName>
    <definedName name="STUDENT_LOANS__22_23_pr">#REF!</definedName>
    <definedName name="STUDENT_LOANS__23_24_pr">#REF!</definedName>
    <definedName name="Student_loans_Idiosyncratic_Effects">#REF!</definedName>
    <definedName name="SUBROU">#REF!</definedName>
    <definedName name="Subsistence">#REF!</definedName>
    <definedName name="subtotal_oil_gas">#REF!</definedName>
    <definedName name="subtotals">#REF!</definedName>
    <definedName name="SUFFOLK">#REF!</definedName>
    <definedName name="Sumif_count">#REF!</definedName>
    <definedName name="Summary2">#REF!</definedName>
    <definedName name="summaryf">#REF!</definedName>
    <definedName name="summarym">#REF!</definedName>
    <definedName name="summaryp">#REF!</definedName>
    <definedName name="Supplementary_tables">#REF!</definedName>
    <definedName name="SURREY">#REF!</definedName>
    <definedName name="Symbol_3C_0">#REF!</definedName>
    <definedName name="Symbol_3C_1">#REF!</definedName>
    <definedName name="Symbol_3C_2">#REF!</definedName>
    <definedName name="Symbol_3C_3">#REF!</definedName>
    <definedName name="Symbol_3C_4">#REF!</definedName>
    <definedName name="T.10" hidden="1">#REF!</definedName>
    <definedName name="T_S_Other">#REF!</definedName>
    <definedName name="T2.4b">#REF!</definedName>
    <definedName name="T4.9i" hidden="1">{#N/A,#N/A,FALSE,"TMCOMP96";#N/A,#N/A,FALSE,"MAT96";#N/A,#N/A,FALSE,"FANDA96";#N/A,#N/A,FALSE,"INTRAN96";#N/A,#N/A,FALSE,"NAA9697";#N/A,#N/A,FALSE,"ECWEBB";#N/A,#N/A,FALSE,"MFT96";#N/A,#N/A,FALSE,"CTrecon"}</definedName>
    <definedName name="T4.9j" hidden="1">{#N/A,#N/A,FALSE,"TMCOMP96";#N/A,#N/A,FALSE,"MAT96";#N/A,#N/A,FALSE,"FANDA96";#N/A,#N/A,FALSE,"INTRAN96";#N/A,#N/A,FALSE,"NAA9697";#N/A,#N/A,FALSE,"ECWEBB";#N/A,#N/A,FALSE,"MFT96";#N/A,#N/A,FALSE,"CTrecon"}</definedName>
    <definedName name="tab">#REF!</definedName>
    <definedName name="TABB1">#REF!</definedName>
    <definedName name="TABB2">#REF!</definedName>
    <definedName name="Table">#REF!</definedName>
    <definedName name="table_1">#REF!</definedName>
    <definedName name="Table_1.1.">#REF!</definedName>
    <definedName name="table_2">#REF!</definedName>
    <definedName name="Table_2.3">#REF!</definedName>
    <definedName name="Table_2.4">#REF!</definedName>
    <definedName name="Table_2.5">#REF!</definedName>
    <definedName name="Table_2.6">#REF!</definedName>
    <definedName name="Table_2.7">#REF!</definedName>
    <definedName name="table_3">#REF!</definedName>
    <definedName name="Table_4.11">#REF!</definedName>
    <definedName name="Table_4.12">#REF!</definedName>
    <definedName name="Table_4.13">#REF!</definedName>
    <definedName name="Table_4.1ch2">#REF!</definedName>
    <definedName name="Table_4.2">#REF!</definedName>
    <definedName name="Table_4.3">#REF!</definedName>
    <definedName name="Table_4.4">#REF!</definedName>
    <definedName name="Table_4.5">#REF!</definedName>
    <definedName name="Table_4.6">#REF!</definedName>
    <definedName name="table_8_full">#REF!</definedName>
    <definedName name="table_8_short">#REF!</definedName>
    <definedName name="table_a">#REF!</definedName>
    <definedName name="Table_A.1">#REF!</definedName>
    <definedName name="Table_A.2">#REF!</definedName>
    <definedName name="Table_A.3">#REF!</definedName>
    <definedName name="table_b">#REF!</definedName>
    <definedName name="Table_B.1">#REF!</definedName>
    <definedName name="Table_B.2">#REF!</definedName>
    <definedName name="Table_B11">#REF!</definedName>
    <definedName name="Table_B11__Net_taxes_and_social_security_contributions_2004_05">#REF!</definedName>
    <definedName name="Table_B24">#REF!</definedName>
    <definedName name="Table_B24__Financing_requirement_forecast">#REF!</definedName>
    <definedName name="Table_B4">#REF!</definedName>
    <definedName name="Table_B4__Estimated_costs_of_Pre_Budget_Report_policy_decisions_and_others_announced_since_Budget_2004_1">#REF!</definedName>
    <definedName name="Table_B5">#REF!</definedName>
    <definedName name="Table_B5__National_insurance_contribution_rates_2005_06">#REF!</definedName>
    <definedName name="Table_B6">#REF!</definedName>
    <definedName name="Table_B6__Income_tax_allowances_2005_06">#REF!</definedName>
    <definedName name="Table_B7">#REF!</definedName>
    <definedName name="Table_B7__Working_and_Child_Tax_Credit_rates_and_thresholds">#REF!</definedName>
    <definedName name="table_c">#REF!</definedName>
    <definedName name="table_d">#REF!</definedName>
    <definedName name="table_e">#REF!</definedName>
    <definedName name="table_f">#REF!</definedName>
    <definedName name="table_g">#REF!</definedName>
    <definedName name="Table_GDP">#REF!</definedName>
    <definedName name="table_h">#REF!</definedName>
    <definedName name="table1bb">#REF!</definedName>
    <definedName name="Table2017">#REF!</definedName>
    <definedName name="Table2018">#REF!</definedName>
    <definedName name="Table2019">#REF!</definedName>
    <definedName name="Table2020">#REF!</definedName>
    <definedName name="table2021">#REF!</definedName>
    <definedName name="table2022">#REF!</definedName>
    <definedName name="TABLEA">#REF!</definedName>
    <definedName name="TableA1">#REF!</definedName>
    <definedName name="TABLEB1">#REF!</definedName>
    <definedName name="TABLEF1">#REF!</definedName>
    <definedName name="TableName">"Dummy"</definedName>
    <definedName name="tablePrefix">#REF!</definedName>
    <definedName name="TAX_CREDITS_CC">#REF!</definedName>
    <definedName name="TAX_CREDITS_earn">#REF!</definedName>
    <definedName name="TAXEDINC">#REF!</definedName>
    <definedName name="Team_names">#REF!</definedName>
    <definedName name="testname" hidden="1">#REF!</definedName>
    <definedName name="therms_per_tonne_oil_equivalent">#REF!</definedName>
    <definedName name="this_year">#REF!</definedName>
    <definedName name="this_year_alias">#REF!</definedName>
    <definedName name="tia" hidden="1">{#N/A,#N/A,FALSE,"TMCOMP96";#N/A,#N/A,FALSE,"MAT96";#N/A,#N/A,FALSE,"FANDA96";#N/A,#N/A,FALSE,"INTRAN96";#N/A,#N/A,FALSE,"NAA9697";#N/A,#N/A,FALSE,"ECWEBB";#N/A,#N/A,FALSE,"MFT96";#N/A,#N/A,FALSE,"CTrecon"}</definedName>
    <definedName name="TITLES">#REF!</definedName>
    <definedName name="TM1REBUILDOPTION">1</definedName>
    <definedName name="tobacco">#REF!</definedName>
    <definedName name="Tobacco___Factor_decomposition">#REF!</definedName>
    <definedName name="Tobacco_CPI">#REF!</definedName>
    <definedName name="Tobacco_Idiosyncratic_Effects">#REF!</definedName>
    <definedName name="TOBACCO_pr">#REF!</definedName>
    <definedName name="Today" hidden="1">#REF!</definedName>
    <definedName name="toolong">#REF!</definedName>
    <definedName name="TOTAL">#REF!</definedName>
    <definedName name="Totalx">#REF!</definedName>
    <definedName name="tpsa">#REF!</definedName>
    <definedName name="tpsdp">#REF!</definedName>
    <definedName name="tpstot">#REF!</definedName>
    <definedName name="TR_Source">#REF!</definedName>
    <definedName name="TR_Source2">#REF!</definedName>
    <definedName name="tr444444444e" hidden="1">{#N/A,#N/A,FALSE,"TMCOMP96";#N/A,#N/A,FALSE,"MAT96";#N/A,#N/A,FALSE,"FANDA96";#N/A,#N/A,FALSE,"INTRAN96";#N/A,#N/A,FALSE,"NAA9697";#N/A,#N/A,FALSE,"ECWEBB";#N/A,#N/A,FALSE,"MFT96";#N/A,#N/A,FALSE,"CTrecon"}</definedName>
    <definedName name="tr44f" hidden="1">{#N/A,#N/A,FALSE,"TMCOMP96";#N/A,#N/A,FALSE,"MAT96";#N/A,#N/A,FALSE,"FANDA96";#N/A,#N/A,FALSE,"INTRAN96";#N/A,#N/A,FALSE,"NAA9697";#N/A,#N/A,FALSE,"ECWEBB";#N/A,#N/A,FALSE,"MFT96";#N/A,#N/A,FALSE,"CTrecon"}</definedName>
    <definedName name="TrackerDept">#REF!</definedName>
    <definedName name="Travel_and_Subsisten">#REF!</definedName>
    <definedName name="Travel_Service_Fees">#REF!</definedName>
    <definedName name="Trend">#REF!</definedName>
    <definedName name="trggh" hidden="1">{#N/A,#N/A,FALSE,"TMCOMP96";#N/A,#N/A,FALSE,"MAT96";#N/A,#N/A,FALSE,"FANDA96";#N/A,#N/A,FALSE,"INTRAN96";#N/A,#N/A,FALSE,"NAA9697";#N/A,#N/A,FALSE,"ECWEBB";#N/A,#N/A,FALSE,"MFT96";#N/A,#N/A,FALSE,"CTrecon"}</definedName>
    <definedName name="Trigger">#REF!</definedName>
    <definedName name="Triple_lock_base">#REF!</definedName>
    <definedName name="triple_lock_effect">#REF!</definedName>
    <definedName name="Triple_lock_scenario">#REF!</definedName>
    <definedName name="ttt" hidden="1">#REF!</definedName>
    <definedName name="tttttttttttttttttt" hidden="1">{#N/A,#N/A,FALSE,"CGBR95C"}</definedName>
    <definedName name="two">#REF!</definedName>
    <definedName name="TYNE_WEAR">#REF!</definedName>
    <definedName name="Type_of_fluid_filter">#REF!</definedName>
    <definedName name="U_base">#REF!</definedName>
    <definedName name="U_change">#REF!</definedName>
    <definedName name="U_scenario">#REF!</definedName>
    <definedName name="UC_CPI">#REF!</definedName>
    <definedName name="UC_earn">#REF!</definedName>
    <definedName name="UC_idiosyncratic">#REF!</definedName>
    <definedName name="UC_unemployment">#REF!</definedName>
    <definedName name="ujyhv" hidden="1">{#N/A,#N/A,FALSE,"TMCOMP96";#N/A,#N/A,FALSE,"MAT96";#N/A,#N/A,FALSE,"FANDA96";#N/A,#N/A,FALSE,"INTRAN96";#N/A,#N/A,FALSE,"NAA9697";#N/A,#N/A,FALSE,"ECWEBB";#N/A,#N/A,FALSE,"MFT96";#N/A,#N/A,FALSE,"CTrecon"}</definedName>
    <definedName name="UK">#REF!</definedName>
    <definedName name="UK_travel">#REF!</definedName>
    <definedName name="ulfs_table1">#REF!</definedName>
    <definedName name="Unemploy_Idiosyncratic_Effects">#REF!</definedName>
    <definedName name="Unused" hidden="1">#REF!</definedName>
    <definedName name="Unused4" hidden="1">#REF!</definedName>
    <definedName name="Unused5" hidden="1">#REF!</definedName>
    <definedName name="Unused7" hidden="1">#REF!</definedName>
    <definedName name="Unussed12" hidden="1">{#N/A,#N/A,FALSE,"TMCOMP96";#N/A,#N/A,FALSE,"MAT96";#N/A,#N/A,FALSE,"FANDA96";#N/A,#N/A,FALSE,"INTRAN96";#N/A,#N/A,FALSE,"NAA9697";#N/A,#N/A,FALSE,"ECWEBB";#N/A,#N/A,FALSE,"MFT96";#N/A,#N/A,FALSE,"CTrecon"}</definedName>
    <definedName name="Unusued11" hidden="1">{#N/A,#N/A,FALSE,"TMCOMP96";#N/A,#N/A,FALSE,"MAT96";#N/A,#N/A,FALSE,"FANDA96";#N/A,#N/A,FALSE,"INTRAN96";#N/A,#N/A,FALSE,"NAA9697";#N/A,#N/A,FALSE,"ECWEBB";#N/A,#N/A,FALSE,"MFT96";#N/A,#N/A,FALSE,"CTrecon"}</definedName>
    <definedName name="Unusued2" hidden="1">#REF!</definedName>
    <definedName name="Unusued24" hidden="1">#REF!</definedName>
    <definedName name="Unusued3" hidden="1">#REF!</definedName>
    <definedName name="Unusued5" hidden="1">#REF!</definedName>
    <definedName name="Unusued8" hidden="1">{#N/A,#N/A,FALSE,"TMCOMP96";#N/A,#N/A,FALSE,"MAT96";#N/A,#N/A,FALSE,"FANDA96";#N/A,#N/A,FALSE,"INTRAN96";#N/A,#N/A,FALSE,"NAA9697";#N/A,#N/A,FALSE,"ECWEBB";#N/A,#N/A,FALSE,"MFT96";#N/A,#N/A,FALSE,"CTrecon"}</definedName>
    <definedName name="V1_">#REF!</definedName>
    <definedName name="V10_">#REF!</definedName>
    <definedName name="V11_">#REF!</definedName>
    <definedName name="V12_">#REF!</definedName>
    <definedName name="V13_">#REF!</definedName>
    <definedName name="V14_">#REF!</definedName>
    <definedName name="V15_">#REF!</definedName>
    <definedName name="V16_">#REF!</definedName>
    <definedName name="V17_">#REF!</definedName>
    <definedName name="V18_">#REF!</definedName>
    <definedName name="V19_">#REF!</definedName>
    <definedName name="V2_">#REF!</definedName>
    <definedName name="V20_">#REF!</definedName>
    <definedName name="V3_">#REF!</definedName>
    <definedName name="V35_">#REF!</definedName>
    <definedName name="V3A">#N/A</definedName>
    <definedName name="V4_">#REF!</definedName>
    <definedName name="V40_">#REF!</definedName>
    <definedName name="V4A">#N/A</definedName>
    <definedName name="V5_">#REF!</definedName>
    <definedName name="V51_">#REF!</definedName>
    <definedName name="V52_">#REF!</definedName>
    <definedName name="V53_">#REF!</definedName>
    <definedName name="V54_">#REF!</definedName>
    <definedName name="V55_">#REF!</definedName>
    <definedName name="V5A">#N/A</definedName>
    <definedName name="V6_">#REF!</definedName>
    <definedName name="V64_">#REF!</definedName>
    <definedName name="V68_">#REF!</definedName>
    <definedName name="V7_">#REF!</definedName>
    <definedName name="V8_">#REF!</definedName>
    <definedName name="V80_">#N/A</definedName>
    <definedName name="V81_">#N/A</definedName>
    <definedName name="V83_">#REF!</definedName>
    <definedName name="V84_">#REF!</definedName>
    <definedName name="V85_">#REF!</definedName>
    <definedName name="V9_">#REF!</definedName>
    <definedName name="ValidScores">#REF!</definedName>
    <definedName name="Value">#REF!</definedName>
    <definedName name="vat">#REF!</definedName>
    <definedName name="VAT_cnom">#REF!</definedName>
    <definedName name="VAT_Idiosyncratic_Effects">#REF!</definedName>
    <definedName name="VAT_MGDPNSA">#REF!</definedName>
    <definedName name="vcop2">#REF!</definedName>
    <definedName name="Ver">#REF!</definedName>
    <definedName name="Version">!#REF!</definedName>
    <definedName name="VERT">#REF!</definedName>
    <definedName name="Vertical">#REF!</definedName>
    <definedName name="w" hidden="1">{#N/A,#N/A,FALSE,"CGBR95C"}</definedName>
    <definedName name="W_GLAM">#REF!</definedName>
    <definedName name="W_MIDS">#REF!</definedName>
    <definedName name="W_S">#REF!</definedName>
    <definedName name="W_SUSSEX">#REF!</definedName>
    <definedName name="W_YORKS">#REF!</definedName>
    <definedName name="WARWICKS">#REF!</definedName>
    <definedName name="werer" hidden="1">{#N/A,#N/A,FALSE,"TMCOMP96";#N/A,#N/A,FALSE,"MAT96";#N/A,#N/A,FALSE,"FANDA96";#N/A,#N/A,FALSE,"INTRAN96";#N/A,#N/A,FALSE,"NAA9697";#N/A,#N/A,FALSE,"ECWEBB";#N/A,#N/A,FALSE,"MFT96";#N/A,#N/A,FALSE,"CTrecon"}</definedName>
    <definedName name="werewrw" hidden="1">{#N/A,#N/A,FALSE,"TMCOMP96";#N/A,#N/A,FALSE,"MAT96";#N/A,#N/A,FALSE,"FANDA96";#N/A,#N/A,FALSE,"INTRAN96";#N/A,#N/A,FALSE,"NAA9697";#N/A,#N/A,FALSE,"ECWEBB";#N/A,#N/A,FALSE,"MFT96";#N/A,#N/A,FALSE,"CTrecon"}</definedName>
    <definedName name="werw" hidden="1">{#N/A,#N/A,FALSE,"TMCOMP96";#N/A,#N/A,FALSE,"MAT96";#N/A,#N/A,FALSE,"FANDA96";#N/A,#N/A,FALSE,"INTRAN96";#N/A,#N/A,FALSE,"NAA9697";#N/A,#N/A,FALSE,"ECWEBB";#N/A,#N/A,FALSE,"MFT96";#N/A,#N/A,FALSE,"CTrecon"}</definedName>
    <definedName name="weujye" hidden="1">#REF!</definedName>
    <definedName name="WFP__ETLFS_ESLFS_base">#REF!</definedName>
    <definedName name="WFP__ETLFS_ESLFS_change">#REF!</definedName>
    <definedName name="WFP__ETLFS_ESLFS_growth_base">#REF!</definedName>
    <definedName name="WFP__ETLFS_ESLFS_growth_scenario">#REF!</definedName>
    <definedName name="WFP__ETLFS_ESLFS_scenario">#REF!</definedName>
    <definedName name="wfp_etlfs_eslfs_growth_table1">#REF!</definedName>
    <definedName name="WFP_ETLFS_ESLFS_table12">#REF!</definedName>
    <definedName name="Where_from">#REF!</definedName>
    <definedName name="WILTS">#REF!</definedName>
    <definedName name="Working_age_benefits_CPI">#REF!</definedName>
    <definedName name="Working_age_benefits_earn">#REF!</definedName>
    <definedName name="Working_age_benefits_employ">#REF!</definedName>
    <definedName name="Working_age_benefits_idiosyncratic">#REF!</definedName>
    <definedName name="wrn.1._.to._.4._.annexes._.A._.B._.and._.C." hidden="1">{#N/A,#N/A,FALSE,"T1 Comparison with last month";#N/A,#N/A,FALSE,"T2 Comparison with Provision";#N/A,#N/A,FALSE,"T3 Comparison with PES";#N/A,#N/A,FALSE,"Table 4 Comparison with DR 1998";#N/A,#N/A,FALSE,"Annex A";#N/A,#N/A,FALSE,"Annex B";#N/A,#N/A,FALSE,"Annex C"}</definedName>
    <definedName name="wrn.1._.to._.4._.annexes._.A._.C._.and._.F." hidden="1">{#N/A,#N/A,FALSE,"T1 Comparison with last month";#N/A,#N/A,FALSE,"T2 Comparison with Provision";#N/A,#N/A,FALSE,"T3 Comparison with PES";#N/A,#N/A,FALSE,"Table 4 Comparison with DR 1997";#N/A,#N/A,FALSE,"Annex A";#N/A,#N/A,FALSE,"Annex C";#N/A,#N/A,FALSE,"ANXF"}</definedName>
    <definedName name="wrn.Dint96." hidden="1">{"Debt interest",#N/A,FALSE,"DINT96"}</definedName>
    <definedName name="wrn.Expenditure._.Report." hidden="1">{#N/A,#N/A,FALSE,"June99 (3)BEN";#N/A,#N/A,FALSE,"June99 (3) IOP";#N/A,#N/A,FALSE,"June99 (3) COM";#N/A,#N/A,FALSE,"June 99 (3) SMBEN"}</definedName>
    <definedName name="wrn.imbe._.tables." hidden="1">{#N/A,#N/A,FALSE,"T1 Comparison with last month";#N/A,#N/A,FALSE,"T2 Comparison with Provision";#N/A,#N/A,FALSE,"T3 Comparison with PES";#N/A,#N/A,FALSE,"Table 4 Comparison with DR";#N/A,#N/A,FALSE,"Annex A";#N/A,#N/A,FALSE,"Annex C";#N/A,#N/A,FALSE,"Annex G";#N/A,#N/A,FALSE,"Annex D";#N/A,#N/A,FALSE,"Annex F"}</definedName>
    <definedName name="wrn.IMBE._.TABLES._.and._.annexes." hidden="1">{#N/A,#N/A,FALSE,"T1 Comparison with last month";#N/A,#N/A,FALSE,"T2 Comparison with Provision";#N/A,#N/A,FALSE,"T3 Comparison with PES";#N/A,#N/A,FALSE,"Table 4 Comparison with DR 1998";#N/A,#N/A,FALSE,"Annex A";#N/A,#N/A,FALSE,"Annex B";#N/A,#N/A,FALSE,"Annex C";#N/A,#N/A,FALSE,"Annex D"}</definedName>
    <definedName name="wrn.National._.Debt." hidden="1">{"Debt interest",#N/A,FALSE,"DINT 2000"}</definedName>
    <definedName name="wrn.table1." hidden="1">{#N/A,#N/A,FALSE,"CGBR95C"}</definedName>
    <definedName name="wrn.table2." hidden="1">{#N/A,#N/A,FALSE,"CGBR95C"}</definedName>
    <definedName name="wrn.tablea." hidden="1">{#N/A,#N/A,FALSE,"CGBR95C"}</definedName>
    <definedName name="wrn.tableb." hidden="1">{#N/A,#N/A,FALSE,"CGBR95C"}</definedName>
    <definedName name="wrn.tableq." hidden="1">{#N/A,#N/A,FALSE,"CGBR95C"}</definedName>
    <definedName name="wrn.Tables._.1._.to._.4." hidden="1">{#N/A,#N/A,FALSE,"T1 Comparison with last month";#N/A,#N/A,FALSE,"T2 Comparison with Provision";#N/A,#N/A,FALSE,"T3 Comparison with PES";#N/A,#N/A,FALSE,"Table 4 Comparison with DR 1998"}</definedName>
    <definedName name="wrn.TMCOMP." hidden="1">{#N/A,#N/A,FALSE,"TMCOMP96";#N/A,#N/A,FALSE,"MAT96";#N/A,#N/A,FALSE,"FANDA96";#N/A,#N/A,FALSE,"INTRAN96";#N/A,#N/A,FALSE,"NAA9697";#N/A,#N/A,FALSE,"ECWEBB";#N/A,#N/A,FALSE,"MFT96";#N/A,#N/A,FALSE,"CTrecon"}</definedName>
    <definedName name="www" hidden="1">#REF!</definedName>
    <definedName name="X">#REF!</definedName>
    <definedName name="xx" hidden="1">#REF!</definedName>
    <definedName name="Year">#REF!</definedName>
    <definedName name="year_table1">#REF!</definedName>
    <definedName name="year_table10">#REF!</definedName>
    <definedName name="year_table11">#REF!</definedName>
    <definedName name="year_table12">#REF!</definedName>
    <definedName name="year_table2">#REF!</definedName>
    <definedName name="year_table30">#REF!</definedName>
    <definedName name="year_table32">#REF!</definedName>
    <definedName name="year_table6">#REF!</definedName>
    <definedName name="Years">#REF!</definedName>
    <definedName name="years06_08">#REF!</definedName>
    <definedName name="years84_91">#REF!</definedName>
    <definedName name="years92_05">#REF!</definedName>
    <definedName name="ygapweight">#REF!</definedName>
    <definedName name="yght" hidden="1">{#N/A,#N/A,FALSE,"TMCOMP96";#N/A,#N/A,FALSE,"MAT96";#N/A,#N/A,FALSE,"FANDA96";#N/A,#N/A,FALSE,"INTRAN96";#N/A,#N/A,FALSE,"NAA9697";#N/A,#N/A,FALSE,"ECWEBB";#N/A,#N/A,FALSE,"MFT96";#N/A,#N/A,FALSE,"CTrecon"}</definedName>
    <definedName name="yhhfvf" hidden="1">{#N/A,#N/A,FALSE,"TMCOMP96";#N/A,#N/A,FALSE,"MAT96";#N/A,#N/A,FALSE,"FANDA96";#N/A,#N/A,FALSE,"INTRAN96";#N/A,#N/A,FALSE,"NAA9697";#N/A,#N/A,FALSE,"ECWEBB";#N/A,#N/A,FALSE,"MFT96";#N/A,#N/A,FALSE,"CTrecon"}</definedName>
    <definedName name="yhuyt" hidden="1">{#N/A,#N/A,FALSE,"TMCOMP96";#N/A,#N/A,FALSE,"MAT96";#N/A,#N/A,FALSE,"FANDA96";#N/A,#N/A,FALSE,"INTRAN96";#N/A,#N/A,FALSE,"NAA9697";#N/A,#N/A,FALSE,"ECWEBB";#N/A,#N/A,FALSE,"MFT96";#N/A,#N/A,FALSE,"CTrecon"}</definedName>
    <definedName name="yru" hidden="1">#REF!</definedName>
    <definedName name="Z_5774AB63_4B8A_11D6_8117_08005A7F5BB1_.wvu.Cols" hidden="1">#REF!</definedName>
    <definedName name="Z_5774AB63_4B8A_11D6_8117_08005A7F5BB1_.wvu.PrintArea" hidden="1">#REF!</definedName>
    <definedName name="zz" hidden="1">#REF!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 i="20" l="1"/>
  <c r="E5" i="20" s="1"/>
  <c r="F5" i="20" s="1"/>
  <c r="G5" i="20" s="1"/>
  <c r="H5" i="20" s="1"/>
</calcChain>
</file>

<file path=xl/sharedStrings.xml><?xml version="1.0" encoding="utf-8"?>
<sst xmlns="http://schemas.openxmlformats.org/spreadsheetml/2006/main" count="612" uniqueCount="273">
  <si>
    <t>Annex A: Detailed tables</t>
  </si>
  <si>
    <t>Table A.1: Economy forecast</t>
  </si>
  <si>
    <t>Table A.3: Determinants of the fiscal forecast</t>
  </si>
  <si>
    <t>Table A.5: Current receipts</t>
  </si>
  <si>
    <t>Table A.7: Total managed expenditure</t>
  </si>
  <si>
    <t>Table A.9: Fiscal aggregates</t>
  </si>
  <si>
    <t>Table A.11: Sources of year-on-year changes in balance sheet aggregates</t>
  </si>
  <si>
    <t>Back to contents</t>
  </si>
  <si>
    <t>Percentage change on a year earlier, unless otherwise stated</t>
  </si>
  <si>
    <t>Outturn</t>
  </si>
  <si>
    <t>Forecast</t>
  </si>
  <si>
    <t>Potential output</t>
  </si>
  <si>
    <t>Trend gross domestic product (GDP)</t>
  </si>
  <si>
    <t>Trend productivity per hour</t>
  </si>
  <si>
    <t>Trend labour supply</t>
  </si>
  <si>
    <t>UK economy</t>
  </si>
  <si>
    <t>GDP</t>
  </si>
  <si>
    <t>GDP level (2019=100)</t>
  </si>
  <si>
    <t xml:space="preserve">Nominal GDP         </t>
  </si>
  <si>
    <t>Output gap (per cent of potential output)</t>
  </si>
  <si>
    <t xml:space="preserve">Expenditure components of GDP </t>
  </si>
  <si>
    <r>
      <t>Household consumption</t>
    </r>
    <r>
      <rPr>
        <vertAlign val="superscript"/>
        <sz val="10"/>
        <rFont val="Calibri"/>
        <family val="2"/>
      </rPr>
      <t>1</t>
    </r>
  </si>
  <si>
    <t>General government consumption</t>
  </si>
  <si>
    <t>Business</t>
  </si>
  <si>
    <t>General government</t>
  </si>
  <si>
    <r>
      <t>Private dwellings</t>
    </r>
    <r>
      <rPr>
        <vertAlign val="superscript"/>
        <sz val="10"/>
        <rFont val="Calibri"/>
        <family val="2"/>
      </rPr>
      <t>2</t>
    </r>
  </si>
  <si>
    <r>
      <t>Change in inventories</t>
    </r>
    <r>
      <rPr>
        <vertAlign val="superscript"/>
        <sz val="10"/>
        <rFont val="Calibri"/>
        <family val="2"/>
      </rPr>
      <t>3</t>
    </r>
  </si>
  <si>
    <t>Exports of goods and services</t>
  </si>
  <si>
    <t>Imports of goods and services</t>
  </si>
  <si>
    <t>Balance of payments current account</t>
  </si>
  <si>
    <t>Per cent of GDP</t>
  </si>
  <si>
    <t>Inflation</t>
  </si>
  <si>
    <t>CPI</t>
  </si>
  <si>
    <t>RPI</t>
  </si>
  <si>
    <t>GDP deflator at market prices</t>
  </si>
  <si>
    <t>Labour market</t>
  </si>
  <si>
    <t>Employment (million)</t>
  </si>
  <si>
    <t>Wages and salaries</t>
  </si>
  <si>
    <r>
      <t>Average weekly earnings</t>
    </r>
    <r>
      <rPr>
        <vertAlign val="superscript"/>
        <sz val="10"/>
        <rFont val="Calibri"/>
        <family val="2"/>
      </rPr>
      <t>4</t>
    </r>
  </si>
  <si>
    <t>Average hourly earnings</t>
  </si>
  <si>
    <t>LFS unemployment rate (per cent)</t>
  </si>
  <si>
    <t xml:space="preserve">Unemployment (million) </t>
  </si>
  <si>
    <t>Household sector</t>
  </si>
  <si>
    <r>
      <t>Real household disposable income</t>
    </r>
    <r>
      <rPr>
        <vertAlign val="superscript"/>
        <sz val="10"/>
        <rFont val="Calibri"/>
        <family val="2"/>
      </rPr>
      <t>1</t>
    </r>
  </si>
  <si>
    <t>House prices</t>
  </si>
  <si>
    <t>World economy</t>
  </si>
  <si>
    <t>World GDP at purchasing power parity</t>
  </si>
  <si>
    <t>Percentage point difference, unless otherwise stated</t>
  </si>
  <si>
    <t>Percentage change on previous year, unless otherwise stated</t>
  </si>
  <si>
    <t>Growth over forecast</t>
  </si>
  <si>
    <t>2025-26</t>
  </si>
  <si>
    <t>2026-27</t>
  </si>
  <si>
    <t>2027-28</t>
  </si>
  <si>
    <t>2028-29</t>
  </si>
  <si>
    <t>2029-30</t>
  </si>
  <si>
    <t>2030-31</t>
  </si>
  <si>
    <t>GDP and its components</t>
  </si>
  <si>
    <t>Real GDP</t>
  </si>
  <si>
    <r>
      <t>Nominal GDP</t>
    </r>
    <r>
      <rPr>
        <vertAlign val="superscript"/>
        <sz val="10"/>
        <rFont val="Calibri"/>
        <family val="2"/>
      </rPr>
      <t>1</t>
    </r>
  </si>
  <si>
    <r>
      <t>Nominal GDP (£ billion)</t>
    </r>
    <r>
      <rPr>
        <vertAlign val="superscript"/>
        <sz val="10"/>
        <rFont val="Calibri"/>
        <family val="2"/>
      </rPr>
      <t>1,2</t>
    </r>
  </si>
  <si>
    <r>
      <t>Nominal GDP (centred end-March £bn)</t>
    </r>
    <r>
      <rPr>
        <vertAlign val="superscript"/>
        <sz val="10"/>
        <rFont val="Calibri"/>
        <family val="2"/>
      </rPr>
      <t>1,3</t>
    </r>
  </si>
  <si>
    <r>
      <t>Non-oil PNFC profits</t>
    </r>
    <r>
      <rPr>
        <vertAlign val="superscript"/>
        <sz val="10"/>
        <rFont val="Calibri"/>
        <family val="2"/>
      </rPr>
      <t>4</t>
    </r>
  </si>
  <si>
    <r>
      <t>Consumer spending</t>
    </r>
    <r>
      <rPr>
        <vertAlign val="superscript"/>
        <sz val="10"/>
        <rFont val="Calibri"/>
        <family val="2"/>
      </rPr>
      <t>4</t>
    </r>
  </si>
  <si>
    <t>Prices and earnings</t>
  </si>
  <si>
    <t>GDP deflator</t>
  </si>
  <si>
    <t>Key fiscal determinants</t>
  </si>
  <si>
    <t>Financial and property sectors</t>
  </si>
  <si>
    <t>Equity prices (FTSE All-Share index)</t>
  </si>
  <si>
    <t>Oil and gas</t>
  </si>
  <si>
    <r>
      <t>Oil prices ($ a barrel)</t>
    </r>
    <r>
      <rPr>
        <vertAlign val="superscript"/>
        <sz val="10"/>
        <rFont val="Calibri"/>
        <family val="2"/>
      </rPr>
      <t>4</t>
    </r>
  </si>
  <si>
    <r>
      <t>Oil prices (£ a barrel)</t>
    </r>
    <r>
      <rPr>
        <vertAlign val="superscript"/>
        <sz val="10"/>
        <rFont val="Calibri"/>
        <family val="2"/>
      </rPr>
      <t>4</t>
    </r>
  </si>
  <si>
    <r>
      <t>Oil production (million tonnes)</t>
    </r>
    <r>
      <rPr>
        <vertAlign val="superscript"/>
        <sz val="10"/>
        <rFont val="Calibri"/>
        <family val="2"/>
      </rPr>
      <t>4</t>
    </r>
  </si>
  <si>
    <r>
      <t>Gas production (billion therms)</t>
    </r>
    <r>
      <rPr>
        <vertAlign val="superscript"/>
        <sz val="10"/>
        <rFont val="Calibri"/>
        <family val="2"/>
      </rPr>
      <t>4</t>
    </r>
  </si>
  <si>
    <t>Interest rates and exchange rates</t>
  </si>
  <si>
    <t>Bank Rate (per cent)</t>
  </si>
  <si>
    <t>Euro/sterling exchange rate (€/£)</t>
  </si>
  <si>
    <t>£ billion</t>
  </si>
  <si>
    <t xml:space="preserve">    Outturn</t>
  </si>
  <si>
    <r>
      <t>Income tax</t>
    </r>
    <r>
      <rPr>
        <vertAlign val="superscript"/>
        <sz val="10"/>
        <rFont val="Calibri"/>
        <family val="2"/>
      </rPr>
      <t>1</t>
    </r>
  </si>
  <si>
    <t>of which:</t>
  </si>
  <si>
    <t>Pay as you earn</t>
  </si>
  <si>
    <t>Self assessment</t>
  </si>
  <si>
    <t>Other income tax</t>
  </si>
  <si>
    <t>Value added tax</t>
  </si>
  <si>
    <r>
      <t>Corporation tax</t>
    </r>
    <r>
      <rPr>
        <vertAlign val="superscript"/>
        <sz val="10"/>
        <rFont val="Calibri"/>
        <family val="2"/>
      </rPr>
      <t>2</t>
    </r>
  </si>
  <si>
    <t xml:space="preserve">of which: </t>
  </si>
  <si>
    <t>Onshore</t>
  </si>
  <si>
    <t>Offshore</t>
  </si>
  <si>
    <t>Petroleum revenue tax</t>
  </si>
  <si>
    <t>Fuel duties</t>
  </si>
  <si>
    <t>Business rates</t>
  </si>
  <si>
    <r>
      <t>Council tax</t>
    </r>
    <r>
      <rPr>
        <vertAlign val="superscript"/>
        <sz val="10"/>
        <rFont val="Calibri"/>
        <family val="2"/>
      </rPr>
      <t>3</t>
    </r>
  </si>
  <si>
    <t>VAT refunds</t>
  </si>
  <si>
    <t>Capital gains tax</t>
  </si>
  <si>
    <t>Inheritance tax</t>
  </si>
  <si>
    <r>
      <t>Property transaction taxes</t>
    </r>
    <r>
      <rPr>
        <vertAlign val="superscript"/>
        <sz val="10"/>
        <rFont val="Calibri"/>
        <family val="2"/>
      </rPr>
      <t>4</t>
    </r>
  </si>
  <si>
    <t>Stamp taxes on shares</t>
  </si>
  <si>
    <t>Tobacco duties</t>
  </si>
  <si>
    <t>Alcohol duties</t>
  </si>
  <si>
    <t>Insurance premium tax</t>
  </si>
  <si>
    <t>Climate change levy</t>
  </si>
  <si>
    <t>Bank levy</t>
  </si>
  <si>
    <t>Bank surcharge</t>
  </si>
  <si>
    <t>Apprenticeship levy</t>
  </si>
  <si>
    <t>Digital services tax</t>
  </si>
  <si>
    <t>Vehicle excise duties</t>
  </si>
  <si>
    <t>Licence fee receipts</t>
  </si>
  <si>
    <t>Environmental levies</t>
  </si>
  <si>
    <t>Energy profits levy</t>
  </si>
  <si>
    <t>Electricity generator levy</t>
  </si>
  <si>
    <t>Other taxes</t>
  </si>
  <si>
    <t>National Accounts taxes</t>
  </si>
  <si>
    <t>Interest and dividends</t>
  </si>
  <si>
    <t>Gross operating surplus</t>
  </si>
  <si>
    <t>Other receipts</t>
  </si>
  <si>
    <t>Current receipts</t>
  </si>
  <si>
    <t>Public sector current expenditure (PSCE)</t>
  </si>
  <si>
    <t>PSCE in RDEL</t>
  </si>
  <si>
    <t>PSCE in AME</t>
  </si>
  <si>
    <t>Welfare spending</t>
  </si>
  <si>
    <t>EU financial settlement</t>
  </si>
  <si>
    <t>Unfunded public service pensions</t>
  </si>
  <si>
    <t>Company and other tax credits</t>
  </si>
  <si>
    <t>BBC current expenditure</t>
  </si>
  <si>
    <t>National Lottery current grants</t>
  </si>
  <si>
    <t>General government imputed pensions</t>
  </si>
  <si>
    <t>Public corporations' debt interest</t>
  </si>
  <si>
    <t>Funded public sector pension schemes</t>
  </si>
  <si>
    <t>General government depreciation</t>
  </si>
  <si>
    <t>Current VAT refunds</t>
  </si>
  <si>
    <t>Other National Accounts adjustments</t>
  </si>
  <si>
    <t>Total public sector current expenditure</t>
  </si>
  <si>
    <t>Public sector gross investment (PSGI)</t>
  </si>
  <si>
    <t>PSGI in CDEL</t>
  </si>
  <si>
    <t>PSGI in AME</t>
  </si>
  <si>
    <t>Locally financed capital expenditure</t>
  </si>
  <si>
    <t>Student loans</t>
  </si>
  <si>
    <t>Tax litigation</t>
  </si>
  <si>
    <t>Other PSGI items in AME</t>
  </si>
  <si>
    <t xml:space="preserve">Other National Accounts adjustments </t>
  </si>
  <si>
    <t>Total public sector gross investment</t>
  </si>
  <si>
    <t>Less public sector depreciation</t>
  </si>
  <si>
    <t>Public sector net investment</t>
  </si>
  <si>
    <t>Total managed expenditure</t>
  </si>
  <si>
    <t>Receipts and expenditure</t>
  </si>
  <si>
    <t>Public sector current receipts (a)</t>
  </si>
  <si>
    <t>Total managed expenditure (b)</t>
  </si>
  <si>
    <t>Public sector current expenditure (c)</t>
  </si>
  <si>
    <t>Public sector net investment (d)</t>
  </si>
  <si>
    <t>Depreciation (e)</t>
  </si>
  <si>
    <t>Fiscal mandate and supplementary target</t>
  </si>
  <si>
    <t>Current budget deficit (c+e-a)</t>
  </si>
  <si>
    <r>
      <t>Public sector net financial liabilities</t>
    </r>
    <r>
      <rPr>
        <vertAlign val="superscript"/>
        <sz val="10"/>
        <rFont val="Calibri"/>
        <family val="2"/>
      </rPr>
      <t>1</t>
    </r>
  </si>
  <si>
    <t>Other deficit measures</t>
  </si>
  <si>
    <t>Public sector net borrowing (b-a)</t>
  </si>
  <si>
    <t>Cyclically adjusted net borrowing</t>
  </si>
  <si>
    <t>Cyclically adjusted current budget deficit</t>
  </si>
  <si>
    <t>Primary deficit</t>
  </si>
  <si>
    <t>Cyclically adjusted primary deficit</t>
  </si>
  <si>
    <t>Financing</t>
  </si>
  <si>
    <t>Central government net cash requirement</t>
  </si>
  <si>
    <t>Public sector net cash requirement</t>
  </si>
  <si>
    <t>Alternative balance sheet metrics</t>
  </si>
  <si>
    <r>
      <t>Public sector net debt</t>
    </r>
    <r>
      <rPr>
        <vertAlign val="superscript"/>
        <sz val="10"/>
        <rFont val="Calibri"/>
        <family val="2"/>
      </rPr>
      <t>1</t>
    </r>
  </si>
  <si>
    <r>
      <t>Public sector net debt ex Bank of England</t>
    </r>
    <r>
      <rPr>
        <vertAlign val="superscript"/>
        <sz val="10"/>
        <rFont val="Calibri"/>
        <family val="2"/>
      </rPr>
      <t>1</t>
    </r>
  </si>
  <si>
    <r>
      <t>Public sector net worth (inverted)</t>
    </r>
    <r>
      <rPr>
        <vertAlign val="superscript"/>
        <sz val="10"/>
        <rFont val="Calibri"/>
        <family val="2"/>
      </rPr>
      <t>1</t>
    </r>
  </si>
  <si>
    <r>
      <t>International comparisons</t>
    </r>
    <r>
      <rPr>
        <b/>
        <vertAlign val="superscript"/>
        <sz val="10"/>
        <rFont val="Calibri"/>
        <family val="2"/>
      </rPr>
      <t>2</t>
    </r>
  </si>
  <si>
    <t>General government net borrowing (GGNB)</t>
  </si>
  <si>
    <t>Cyclically adjusted GGNB</t>
  </si>
  <si>
    <t>General government gross debt</t>
  </si>
  <si>
    <t>Current budget deficit</t>
  </si>
  <si>
    <t>Public sector net borrowing</t>
  </si>
  <si>
    <t>Public sector net debt</t>
  </si>
  <si>
    <t>Public sector net debt ex Bank of England</t>
  </si>
  <si>
    <t>Net debt interest</t>
  </si>
  <si>
    <t>Non-interest receipts</t>
  </si>
  <si>
    <t>Memo: output gap (per cent of GDP)</t>
  </si>
  <si>
    <t>Public sector net borrowing (a)</t>
  </si>
  <si>
    <t>PSNFL valuation changes (b)</t>
  </si>
  <si>
    <t xml:space="preserve">Asset purchase facility  </t>
  </si>
  <si>
    <t>Central government gilt premia</t>
  </si>
  <si>
    <t>Reserve assets</t>
  </si>
  <si>
    <t>Funded pensions</t>
  </si>
  <si>
    <t>Other</t>
  </si>
  <si>
    <t>Public sector net financial liabilities (a+b)</t>
  </si>
  <si>
    <t>Remove valuation of assets not in PSND (c)</t>
  </si>
  <si>
    <t>Net acquisition of financial assets (d)</t>
  </si>
  <si>
    <t>DEL net lending</t>
  </si>
  <si>
    <t>Student loan outlays</t>
  </si>
  <si>
    <t>Student loan repayments</t>
  </si>
  <si>
    <t>Term funding scheme</t>
  </si>
  <si>
    <t>Cash flow timing effects (e)</t>
  </si>
  <si>
    <t>Student loan interest</t>
  </si>
  <si>
    <t>Funded public pension schemes</t>
  </si>
  <si>
    <t>Gilt accruals</t>
  </si>
  <si>
    <t>Guarantee schemes write offs</t>
  </si>
  <si>
    <t>Other expenditure</t>
  </si>
  <si>
    <t>Public sector net debt (a+b+c+d+e)</t>
  </si>
  <si>
    <t>Emissions trading scheme</t>
  </si>
  <si>
    <r>
      <t>Locally financed current expenditure</t>
    </r>
    <r>
      <rPr>
        <vertAlign val="superscript"/>
        <sz val="10"/>
        <color theme="1"/>
        <rFont val="Calibri"/>
        <family val="2"/>
      </rPr>
      <t>2</t>
    </r>
  </si>
  <si>
    <t xml:space="preserve">   Outturn</t>
  </si>
  <si>
    <t>National Insurance contributions</t>
  </si>
  <si>
    <r>
      <t xml:space="preserve">1 </t>
    </r>
    <r>
      <rPr>
        <sz val="8"/>
        <rFont val="Calibri"/>
        <family val="2"/>
      </rPr>
      <t>Position at end-March; GDP centred on end-March.</t>
    </r>
  </si>
  <si>
    <r>
      <t xml:space="preserve">2 </t>
    </r>
    <r>
      <rPr>
        <sz val="8"/>
        <rFont val="Calibri"/>
        <family val="2"/>
      </rPr>
      <t>Calendar year basis.</t>
    </r>
  </si>
  <si>
    <r>
      <t xml:space="preserve">1 </t>
    </r>
    <r>
      <rPr>
        <sz val="8"/>
        <rFont val="Calibri"/>
        <family val="2"/>
      </rPr>
      <t>Includes PAYE, self assessment, tax on savings income, and other minor components, such as income tax repayments.</t>
    </r>
  </si>
  <si>
    <r>
      <t xml:space="preserve">2 </t>
    </r>
    <r>
      <rPr>
        <sz val="8"/>
        <rFont val="Calibri"/>
        <family val="2"/>
      </rPr>
      <t>National Accounts measure, includes Pillar 2 taxes.</t>
    </r>
  </si>
  <si>
    <r>
      <t>3</t>
    </r>
    <r>
      <rPr>
        <sz val="8"/>
        <rFont val="Calibri"/>
        <family val="2"/>
      </rPr>
      <t xml:space="preserve"> Includes high-value council tax surcharge.</t>
    </r>
  </si>
  <si>
    <r>
      <t>4</t>
    </r>
    <r>
      <rPr>
        <sz val="8"/>
        <rFont val="Calibri"/>
        <family val="2"/>
      </rPr>
      <t xml:space="preserve"> Includes stamp duty land tax, devolved property transaction taxes, and the annual tax on enveloped dwellings.</t>
    </r>
  </si>
  <si>
    <r>
      <t>1</t>
    </r>
    <r>
      <rPr>
        <sz val="8"/>
        <rFont val="Calibri"/>
        <family val="2"/>
      </rPr>
      <t xml:space="preserve"> GDP is indexed to 2019=100.</t>
    </r>
  </si>
  <si>
    <r>
      <t>2</t>
    </r>
    <r>
      <rPr>
        <sz val="8"/>
        <rFont val="Calibri"/>
        <family val="2"/>
      </rPr>
      <t xml:space="preserve"> Includes households and non-profit institutions serving households.</t>
    </r>
  </si>
  <si>
    <r>
      <t xml:space="preserve">3 </t>
    </r>
    <r>
      <rPr>
        <sz val="8"/>
        <rFont val="Calibri"/>
        <family val="2"/>
      </rPr>
      <t>Includes transfer costs of non-produced assets.</t>
    </r>
  </si>
  <si>
    <r>
      <t xml:space="preserve">4 </t>
    </r>
    <r>
      <rPr>
        <sz val="8"/>
        <rFont val="Calibri"/>
        <family val="2"/>
      </rPr>
      <t>Contribution to GDP growth, percentage points.</t>
    </r>
  </si>
  <si>
    <r>
      <t xml:space="preserve">5 </t>
    </r>
    <r>
      <rPr>
        <sz val="8"/>
        <rFont val="Calibri"/>
        <family val="2"/>
      </rPr>
      <t>Wages and salaries divided by employees.</t>
    </r>
  </si>
  <si>
    <r>
      <t>1</t>
    </r>
    <r>
      <rPr>
        <sz val="8"/>
        <rFont val="Calibri"/>
        <family val="2"/>
      </rPr>
      <t xml:space="preserve"> Includes households and non-profit institutions serving households.</t>
    </r>
  </si>
  <si>
    <r>
      <t xml:space="preserve">2 </t>
    </r>
    <r>
      <rPr>
        <sz val="8"/>
        <rFont val="Calibri"/>
        <family val="2"/>
      </rPr>
      <t>Includes transfer costs of non-produced assets.</t>
    </r>
  </si>
  <si>
    <r>
      <t xml:space="preserve">3 </t>
    </r>
    <r>
      <rPr>
        <sz val="8"/>
        <rFont val="Calibri"/>
        <family val="2"/>
      </rPr>
      <t>Contribution to GDP growth, percentage points.</t>
    </r>
  </si>
  <si>
    <r>
      <t xml:space="preserve">4 </t>
    </r>
    <r>
      <rPr>
        <sz val="8"/>
        <rFont val="Calibri"/>
        <family val="2"/>
      </rPr>
      <t>Wages and salaries divided by employees.</t>
    </r>
  </si>
  <si>
    <t>2031-32</t>
  </si>
  <si>
    <t>GDP per person</t>
  </si>
  <si>
    <t>Output gap</t>
  </si>
  <si>
    <t>Equity prices (per cent difference in level)</t>
  </si>
  <si>
    <t>Bank Rate</t>
  </si>
  <si>
    <r>
      <t>Average weekly earnings</t>
    </r>
    <r>
      <rPr>
        <vertAlign val="superscript"/>
        <sz val="10"/>
        <rFont val="Calibri"/>
        <family val="2"/>
      </rPr>
      <t>5</t>
    </r>
  </si>
  <si>
    <r>
      <t>'Triple-lock' guarantee</t>
    </r>
    <r>
      <rPr>
        <vertAlign val="superscript"/>
        <sz val="10"/>
        <rFont val="Calibri"/>
        <family val="2"/>
      </rPr>
      <t>6</t>
    </r>
  </si>
  <si>
    <r>
      <t>HMRC financial sector profits</t>
    </r>
    <r>
      <rPr>
        <vertAlign val="superscript"/>
        <sz val="10"/>
        <rFont val="Calibri"/>
        <family val="2"/>
      </rPr>
      <t>1,7</t>
    </r>
  </si>
  <si>
    <r>
      <t>Residential property prices</t>
    </r>
    <r>
      <rPr>
        <vertAlign val="superscript"/>
        <sz val="10"/>
        <rFont val="Calibri"/>
        <family val="2"/>
      </rPr>
      <t>8</t>
    </r>
  </si>
  <si>
    <r>
      <t>Residential property transactions (000)</t>
    </r>
    <r>
      <rPr>
        <vertAlign val="superscript"/>
        <sz val="10"/>
        <rFont val="Calibri"/>
        <family val="2"/>
      </rPr>
      <t>9</t>
    </r>
  </si>
  <si>
    <r>
      <t>Commercial property prices</t>
    </r>
    <r>
      <rPr>
        <vertAlign val="superscript"/>
        <sz val="10"/>
        <rFont val="Calibri"/>
        <family val="2"/>
      </rPr>
      <t>9</t>
    </r>
  </si>
  <si>
    <r>
      <t>Commercial property transactions</t>
    </r>
    <r>
      <rPr>
        <vertAlign val="superscript"/>
        <sz val="10"/>
        <rFont val="Calibri"/>
        <family val="2"/>
      </rPr>
      <t>9</t>
    </r>
  </si>
  <si>
    <r>
      <t>Gas prices (pence a therm)</t>
    </r>
    <r>
      <rPr>
        <vertAlign val="superscript"/>
        <sz val="10"/>
        <rFont val="Calibri"/>
        <family val="2"/>
      </rPr>
      <t>4</t>
    </r>
  </si>
  <si>
    <r>
      <t>Market gilt rates (per cent)</t>
    </r>
    <r>
      <rPr>
        <vertAlign val="superscript"/>
        <sz val="10"/>
        <rFont val="Calibri"/>
        <family val="2"/>
      </rPr>
      <t>10</t>
    </r>
  </si>
  <si>
    <r>
      <t>1</t>
    </r>
    <r>
      <rPr>
        <sz val="8"/>
        <rFont val="Calibri"/>
        <family val="2"/>
      </rPr>
      <t xml:space="preserve"> Non-seasonally adjusted.</t>
    </r>
    <r>
      <rPr>
        <vertAlign val="superscript"/>
        <sz val="8"/>
        <rFont val="Calibri"/>
        <family val="2"/>
      </rPr>
      <t xml:space="preserve">
2 </t>
    </r>
    <r>
      <rPr>
        <sz val="8"/>
        <rFont val="Calibri"/>
        <family val="2"/>
      </rPr>
      <t xml:space="preserve">Denominator for receipts, spending, and deficit 
  forecasts as a share of GDP.
</t>
    </r>
    <r>
      <rPr>
        <vertAlign val="superscript"/>
        <sz val="8"/>
        <rFont val="Calibri"/>
        <family val="2"/>
      </rPr>
      <t>3</t>
    </r>
    <r>
      <rPr>
        <sz val="8"/>
        <rFont val="Calibri"/>
        <family val="2"/>
      </rPr>
      <t xml:space="preserve"> Denominator for PSND and PSNFL as a share of GDP.
</t>
    </r>
    <r>
      <rPr>
        <vertAlign val="superscript"/>
        <sz val="8"/>
        <rFont val="Calibri"/>
        <family val="2"/>
      </rPr>
      <t>4</t>
    </r>
    <r>
      <rPr>
        <sz val="8"/>
        <rFont val="Calibri"/>
        <family val="2"/>
      </rPr>
      <t xml:space="preserve"> Calendar year.
</t>
    </r>
    <r>
      <rPr>
        <vertAlign val="superscript"/>
        <sz val="8"/>
        <rFont val="Calibri"/>
        <family val="2"/>
      </rPr>
      <t>5</t>
    </r>
    <r>
      <rPr>
        <sz val="8"/>
        <rFont val="Calibri"/>
        <family val="2"/>
      </rPr>
      <t xml:space="preserve"> Wages and salaries divided by employees.</t>
    </r>
  </si>
  <si>
    <r>
      <t>6</t>
    </r>
    <r>
      <rPr>
        <sz val="8"/>
        <color theme="1"/>
        <rFont val="Calibri"/>
        <family val="2"/>
      </rPr>
      <t xml:space="preserve"> Highest of 2.5 per cent, Q2 earnings growth, and Q3 CPI inflation, which is then used to uprate the state pension in the following year.
</t>
    </r>
    <r>
      <rPr>
        <vertAlign val="superscript"/>
        <sz val="8"/>
        <color theme="1"/>
        <rFont val="Calibri"/>
        <family val="2"/>
      </rPr>
      <t>7</t>
    </r>
    <r>
      <rPr>
        <sz val="8"/>
        <color theme="1"/>
        <rFont val="Calibri"/>
        <family val="2"/>
      </rPr>
      <t xml:space="preserve"> HMRC Gross Case 1 trading profits; 2025-26 is forecast.</t>
    </r>
    <r>
      <rPr>
        <vertAlign val="superscript"/>
        <sz val="8"/>
        <color theme="1"/>
        <rFont val="Calibri"/>
        <family val="2"/>
      </rPr>
      <t xml:space="preserve">
8</t>
    </r>
    <r>
      <rPr>
        <sz val="8"/>
        <color theme="1"/>
        <rFont val="Calibri"/>
        <family val="2"/>
      </rPr>
      <t xml:space="preserve"> Outturn data from ONS House Price Index.</t>
    </r>
    <r>
      <rPr>
        <vertAlign val="superscript"/>
        <sz val="8"/>
        <color theme="1"/>
        <rFont val="Calibri"/>
        <family val="2"/>
      </rPr>
      <t xml:space="preserve">
9</t>
    </r>
    <r>
      <rPr>
        <sz val="8"/>
        <color theme="1"/>
        <rFont val="Calibri"/>
        <family val="2"/>
      </rPr>
      <t xml:space="preserve"> Outturn data from HMRC information on stamp duty land tax.</t>
    </r>
    <r>
      <rPr>
        <vertAlign val="superscript"/>
        <sz val="8"/>
        <color theme="1"/>
        <rFont val="Calibri"/>
        <family val="2"/>
      </rPr>
      <t xml:space="preserve">
10 </t>
    </r>
    <r>
      <rPr>
        <sz val="8"/>
        <color theme="1"/>
        <rFont val="Calibri"/>
        <family val="2"/>
      </rPr>
      <t>Weighted average interest rate on conventional gilts.</t>
    </r>
  </si>
  <si>
    <r>
      <t xml:space="preserve">Fixed investment, </t>
    </r>
    <r>
      <rPr>
        <i/>
        <sz val="10"/>
        <rFont val="Calibri"/>
        <family val="2"/>
      </rPr>
      <t>of which:</t>
    </r>
  </si>
  <si>
    <r>
      <t>Saving rate (per cent)</t>
    </r>
    <r>
      <rPr>
        <vertAlign val="superscript"/>
        <sz val="10"/>
        <rFont val="Calibri"/>
        <family val="2"/>
      </rPr>
      <t>1</t>
    </r>
  </si>
  <si>
    <r>
      <t>Air passenger duty</t>
    </r>
    <r>
      <rPr>
        <vertAlign val="superscript"/>
        <sz val="10"/>
        <rFont val="Calibri"/>
        <family val="2"/>
      </rPr>
      <t>5</t>
    </r>
  </si>
  <si>
    <r>
      <t>Other HMRC taxes</t>
    </r>
    <r>
      <rPr>
        <vertAlign val="superscript"/>
        <sz val="10"/>
        <rFont val="Calibri"/>
        <family val="2"/>
      </rPr>
      <t>6</t>
    </r>
  </si>
  <si>
    <r>
      <t>Memo: UK oil and gas revenues</t>
    </r>
    <r>
      <rPr>
        <i/>
        <vertAlign val="superscript"/>
        <sz val="8"/>
        <rFont val="Calibri"/>
        <family val="2"/>
      </rPr>
      <t>7</t>
    </r>
  </si>
  <si>
    <r>
      <rPr>
        <vertAlign val="superscript"/>
        <sz val="8"/>
        <rFont val="Calibri"/>
        <family val="2"/>
      </rPr>
      <t>5</t>
    </r>
    <r>
      <rPr>
        <sz val="8"/>
        <rFont val="Calibri"/>
        <family val="2"/>
      </rPr>
      <t xml:space="preserve"> Includes Scottish air departure tax.</t>
    </r>
  </si>
  <si>
    <r>
      <t xml:space="preserve">6 </t>
    </r>
    <r>
      <rPr>
        <sz val="8"/>
        <rFont val="Calibri"/>
        <family val="2"/>
      </rPr>
      <t>Consists of landfill tax and aggregates levy (ex devolved), betting and gaming duties, customs duties, diverted profits tax, soft drinks industry levy, residential property developer tax, the carbon border adjustment mechanism, vaping tax, and plastic packaging tax.</t>
    </r>
  </si>
  <si>
    <r>
      <t xml:space="preserve">7 </t>
    </r>
    <r>
      <rPr>
        <sz val="8"/>
        <rFont val="Calibri"/>
        <family val="2"/>
      </rPr>
      <t>Consists of offshore corporation tax, petroleum revenue tax, and energy profits levy.</t>
    </r>
  </si>
  <si>
    <r>
      <t xml:space="preserve">6 </t>
    </r>
    <r>
      <rPr>
        <sz val="8"/>
        <rFont val="Calibri"/>
        <family val="2"/>
      </rPr>
      <t>Consists of landfill tax and aggregates levy(ex devolved), betting and gaming duties, customs duties, diverted profits tax, soft drinks industry levy, residential property developer tax, the carbon border adjustment mechanism, vaping tax and plastic packaging tax.</t>
    </r>
  </si>
  <si>
    <r>
      <t>Market gilt rates</t>
    </r>
    <r>
      <rPr>
        <vertAlign val="superscript"/>
        <sz val="10"/>
        <rFont val="Calibri"/>
        <family val="2"/>
      </rPr>
      <t>10</t>
    </r>
  </si>
  <si>
    <t>Locally financed current expenditure</t>
  </si>
  <si>
    <t>Scottish Government's current AME</t>
  </si>
  <si>
    <t>Other PSCE items in AME</t>
  </si>
  <si>
    <t xml:space="preserve">Public corporations' capital expenditure </t>
  </si>
  <si>
    <t>Central government public financial institutions</t>
  </si>
  <si>
    <t>Public corporation public financial institutions</t>
  </si>
  <si>
    <r>
      <t>DEL net lending</t>
    </r>
    <r>
      <rPr>
        <vertAlign val="superscript"/>
        <sz val="10"/>
        <rFont val="Calibri"/>
        <family val="2"/>
      </rPr>
      <t>1</t>
    </r>
  </si>
  <si>
    <r>
      <t>Central government public financial institutions</t>
    </r>
    <r>
      <rPr>
        <vertAlign val="superscript"/>
        <sz val="10"/>
        <rFont val="Calibri"/>
        <family val="2"/>
      </rPr>
      <t>1</t>
    </r>
  </si>
  <si>
    <r>
      <t>Public corporation public financial institutions</t>
    </r>
    <r>
      <rPr>
        <vertAlign val="superscript"/>
        <sz val="10"/>
        <rFont val="Calibri"/>
        <family val="2"/>
      </rPr>
      <t>2</t>
    </r>
  </si>
  <si>
    <r>
      <t xml:space="preserve">1 </t>
    </r>
    <r>
      <rPr>
        <sz val="8"/>
        <rFont val="Calibri"/>
        <family val="2"/>
      </rPr>
      <t xml:space="preserve">Our March forecast for each of these lines has been restated on a like-for-like basis, to reflect the movement of the National Housing Bank and British Business Bank from 'DEL net lending' to 'Central government public financial institutions'. </t>
    </r>
  </si>
  <si>
    <r>
      <t>2</t>
    </r>
    <r>
      <rPr>
        <sz val="8"/>
        <rFont val="Calibri"/>
        <family val="2"/>
      </rPr>
      <t xml:space="preserve"> This forecast now contains British International Investment, so we have recalculated the March forecast it compares against on a like-for-like basis.</t>
    </r>
  </si>
  <si>
    <r>
      <t>Central government debt interest, net of APF</t>
    </r>
    <r>
      <rPr>
        <vertAlign val="superscript"/>
        <sz val="10"/>
        <rFont val="Calibri"/>
        <family val="2"/>
      </rPr>
      <t>1</t>
    </r>
  </si>
  <si>
    <r>
      <t xml:space="preserve">1 </t>
    </r>
    <r>
      <rPr>
        <sz val="8"/>
        <rFont val="Calibri"/>
        <family val="2"/>
      </rPr>
      <t>Includes increases in debt interest payments due to the APF.</t>
    </r>
  </si>
  <si>
    <r>
      <t>PSCE in RDEL</t>
    </r>
    <r>
      <rPr>
        <vertAlign val="superscript"/>
        <sz val="9"/>
        <rFont val="Calibri"/>
        <family val="2"/>
      </rPr>
      <t>2</t>
    </r>
    <r>
      <rPr>
        <vertAlign val="superscript"/>
        <sz val="10"/>
        <rFont val="Calibri"/>
        <family val="2"/>
      </rPr>
      <t>3</t>
    </r>
  </si>
  <si>
    <r>
      <t>Unfunded public service pensions</t>
    </r>
    <r>
      <rPr>
        <vertAlign val="superscript"/>
        <sz val="10"/>
        <rFont val="Calibri"/>
        <family val="2"/>
      </rPr>
      <t>3</t>
    </r>
  </si>
  <si>
    <r>
      <t xml:space="preserve">2 </t>
    </r>
    <r>
      <rPr>
        <sz val="8"/>
        <rFont val="Calibri"/>
        <family val="2"/>
      </rPr>
      <t>Changes include the move of business rate under-indexation compensation grants and reliefs paid to local authorities from AME to DEL.</t>
    </r>
  </si>
  <si>
    <r>
      <t xml:space="preserve">3 </t>
    </r>
    <r>
      <rPr>
        <sz val="8"/>
        <rFont val="Calibri"/>
        <family val="2"/>
      </rPr>
      <t>Changes include</t>
    </r>
    <r>
      <rPr>
        <vertAlign val="superscript"/>
        <sz val="8"/>
        <rFont val="Calibri"/>
        <family val="2"/>
      </rPr>
      <t xml:space="preserve"> </t>
    </r>
    <r>
      <rPr>
        <sz val="8"/>
        <rFont val="Calibri"/>
        <family val="2"/>
      </rPr>
      <t>the 2024 valuation of unfunded public service pension schemes.</t>
    </r>
  </si>
  <si>
    <r>
      <t>GDP level (2019=100)</t>
    </r>
    <r>
      <rPr>
        <vertAlign val="superscript"/>
        <sz val="10"/>
        <rFont val="Calibri"/>
        <family val="2"/>
      </rPr>
      <t>1</t>
    </r>
  </si>
  <si>
    <r>
      <t>Household consumption</t>
    </r>
    <r>
      <rPr>
        <vertAlign val="superscript"/>
        <sz val="10"/>
        <rFont val="Calibri"/>
        <family val="2"/>
      </rPr>
      <t>2</t>
    </r>
  </si>
  <si>
    <r>
      <t>Private dwellings</t>
    </r>
    <r>
      <rPr>
        <vertAlign val="superscript"/>
        <sz val="10"/>
        <rFont val="Calibri"/>
        <family val="2"/>
      </rPr>
      <t>3</t>
    </r>
  </si>
  <si>
    <r>
      <t>Change in inventories</t>
    </r>
    <r>
      <rPr>
        <vertAlign val="superscript"/>
        <sz val="10"/>
        <rFont val="Calibri"/>
        <family val="2"/>
      </rPr>
      <t>4</t>
    </r>
  </si>
  <si>
    <r>
      <t>Real household disposable income</t>
    </r>
    <r>
      <rPr>
        <vertAlign val="superscript"/>
        <sz val="10"/>
        <rFont val="Calibri"/>
        <family val="2"/>
      </rPr>
      <t>2</t>
    </r>
  </si>
  <si>
    <r>
      <t>Saving rate (per cent)</t>
    </r>
    <r>
      <rPr>
        <vertAlign val="superscript"/>
        <sz val="10"/>
        <rFont val="Calibri"/>
        <family val="2"/>
      </rPr>
      <t>2</t>
    </r>
  </si>
  <si>
    <t>Table A.2: Economy forecast: changes since March</t>
  </si>
  <si>
    <t>Table A.4: Determinants of the fiscal forecast: changes since March</t>
  </si>
  <si>
    <t>Table A.6: Current receipts: changes since March</t>
  </si>
  <si>
    <t>Table A.8: Total managed expenditure: changes since March</t>
  </si>
  <si>
    <t>Table A.10: Fiscal aggregates: changes since March</t>
  </si>
  <si>
    <t>Table A.12: Sources of year-on-year changes in balance sheet aggregates: changes since March</t>
  </si>
  <si>
    <t>October 2026 Economic and fiscal outlook: charts and tables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</si>
</sst>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0.00_-;\-* #,##0.00_-;_-* &quot;-&quot;??_-;_-@_-"/>
    <numFmt numFmtId="164" formatCode="0.0"/>
    <numFmt numFmtId="165" formatCode="#,##0.0"/>
    <numFmt numFmtId="166" formatCode="0.000"/>
    <numFmt numFmtId="167" formatCode="_-* #,##0_-;\-* #,##0_-;_-* &quot;-&quot;??_-;_-@_-"/>
    <numFmt numFmtId="168" formatCode="0.0000"/>
  </numFmts>
  <fonts count="35" x14ac:knownFonts="1">
    <font>
      <sz val="11"/>
      <color theme="1"/>
      <name val="Futura Bk BT"/>
      <family val="2"/>
      <scheme val="minor"/>
    </font>
    <font>
      <u/>
      <sz val="11"/>
      <color theme="10"/>
      <name val="Futura Bk BT"/>
      <family val="2"/>
      <scheme val="minor"/>
    </font>
    <font>
      <sz val="10"/>
      <name val="Arial"/>
      <family val="2"/>
    </font>
    <font>
      <sz val="12"/>
      <color theme="1"/>
      <name val="Arial"/>
      <family val="2"/>
    </font>
    <font>
      <sz val="11"/>
      <color theme="1"/>
      <name val="Futura Bk BT"/>
      <family val="2"/>
      <scheme val="minor"/>
    </font>
    <font>
      <sz val="10"/>
      <color theme="1"/>
      <name val="Calibri"/>
      <family val="2"/>
    </font>
    <font>
      <sz val="13"/>
      <color theme="8"/>
      <name val="Calibri"/>
      <family val="2"/>
    </font>
    <font>
      <u/>
      <sz val="10"/>
      <color theme="8"/>
      <name val="Calibri"/>
      <family val="2"/>
    </font>
    <font>
      <u/>
      <sz val="11"/>
      <name val="Calibri"/>
      <family val="2"/>
    </font>
    <font>
      <sz val="11"/>
      <color theme="1"/>
      <name val="Calibri"/>
      <family val="2"/>
    </font>
    <font>
      <sz val="16"/>
      <color theme="1"/>
      <name val="Calibri"/>
      <family val="2"/>
    </font>
    <font>
      <sz val="15"/>
      <color theme="1"/>
      <name val="Calibri"/>
      <family val="2"/>
    </font>
    <font>
      <vertAlign val="superscript"/>
      <sz val="8"/>
      <name val="Calibri"/>
      <family val="2"/>
    </font>
    <font>
      <sz val="8"/>
      <name val="Calibri"/>
      <family val="2"/>
    </font>
    <font>
      <sz val="10"/>
      <name val="Calibri"/>
      <family val="2"/>
    </font>
    <font>
      <vertAlign val="superscript"/>
      <sz val="10"/>
      <name val="Calibri"/>
      <family val="2"/>
    </font>
    <font>
      <sz val="9"/>
      <name val="Calibri"/>
      <family val="2"/>
    </font>
    <font>
      <i/>
      <sz val="8"/>
      <name val="Calibri"/>
      <family val="2"/>
    </font>
    <font>
      <i/>
      <sz val="10"/>
      <color theme="1"/>
      <name val="Calibri"/>
      <family val="2"/>
    </font>
    <font>
      <b/>
      <sz val="10"/>
      <name val="Calibri"/>
      <family val="2"/>
    </font>
    <font>
      <i/>
      <sz val="10"/>
      <name val="Calibri"/>
      <family val="2"/>
    </font>
    <font>
      <sz val="12"/>
      <color theme="1"/>
      <name val="Calibri"/>
      <family val="2"/>
    </font>
    <font>
      <sz val="9"/>
      <color theme="1"/>
      <name val="Calibri"/>
      <family val="2"/>
    </font>
    <font>
      <i/>
      <sz val="9"/>
      <color theme="1"/>
      <name val="Calibri"/>
      <family val="2"/>
    </font>
    <font>
      <sz val="10"/>
      <color rgb="FFFF0000"/>
      <name val="Calibri"/>
      <family val="2"/>
    </font>
    <font>
      <vertAlign val="superscript"/>
      <sz val="8"/>
      <color theme="1"/>
      <name val="Calibri"/>
      <family val="2"/>
    </font>
    <font>
      <i/>
      <vertAlign val="superscript"/>
      <sz val="8"/>
      <name val="Calibri"/>
      <family val="2"/>
    </font>
    <font>
      <vertAlign val="superscript"/>
      <sz val="10"/>
      <color theme="1"/>
      <name val="Calibri"/>
      <family val="2"/>
    </font>
    <font>
      <sz val="8"/>
      <name val="Futura Bk BT"/>
      <family val="2"/>
      <scheme val="minor"/>
    </font>
    <font>
      <b/>
      <vertAlign val="superscript"/>
      <sz val="10"/>
      <name val="Calibri"/>
      <family val="2"/>
    </font>
    <font>
      <u/>
      <sz val="12"/>
      <color theme="10"/>
      <name val="Arial"/>
      <family val="2"/>
    </font>
    <font>
      <b/>
      <sz val="10"/>
      <color theme="1"/>
      <name val="Calibri"/>
      <family val="2"/>
    </font>
    <font>
      <sz val="8"/>
      <color theme="1"/>
      <name val="Calibri"/>
      <family val="2"/>
    </font>
    <font>
      <sz val="8"/>
      <color indexed="8"/>
      <name val="Calibri"/>
      <family val="2"/>
    </font>
    <font>
      <vertAlign val="superscript"/>
      <sz val="9"/>
      <name val="Calibri"/>
      <family val="2"/>
    </font>
  </fonts>
  <fills count="7">
    <fill>
      <patternFill patternType="none"/>
    </fill>
    <fill>
      <patternFill patternType="gray125"/>
    </fill>
    <fill>
      <patternFill patternType="solid">
        <fgColor theme="5"/>
        <bgColor indexed="64"/>
      </patternFill>
    </fill>
    <fill>
      <patternFill patternType="solid">
        <fgColor theme="0"/>
        <bgColor indexed="64"/>
      </patternFill>
    </fill>
    <fill>
      <patternFill patternType="solid">
        <fgColor rgb="FFB5C7D4"/>
        <bgColor indexed="64"/>
      </patternFill>
    </fill>
    <fill>
      <patternFill patternType="solid">
        <fgColor theme="2"/>
        <bgColor indexed="64"/>
      </patternFill>
    </fill>
    <fill>
      <patternFill patternType="solid">
        <fgColor theme="5"/>
        <bgColor indexed="22"/>
      </patternFill>
    </fill>
  </fills>
  <borders count="51">
    <border>
      <left/>
      <right/>
      <top/>
      <bottom/>
      <diagonal/>
    </border>
    <border>
      <left style="thick">
        <color theme="9"/>
      </left>
      <right/>
      <top/>
      <bottom/>
      <diagonal/>
    </border>
    <border>
      <left/>
      <right/>
      <top style="medium">
        <color theme="8"/>
      </top>
      <bottom style="thin">
        <color theme="8"/>
      </bottom>
      <diagonal/>
    </border>
    <border>
      <left/>
      <right style="thick">
        <color theme="0"/>
      </right>
      <top style="medium">
        <color theme="8"/>
      </top>
      <bottom style="thin">
        <color theme="8"/>
      </bottom>
      <diagonal/>
    </border>
    <border>
      <left/>
      <right/>
      <top style="thin">
        <color theme="8"/>
      </top>
      <bottom/>
      <diagonal/>
    </border>
    <border>
      <left/>
      <right/>
      <top style="thin">
        <color theme="8"/>
      </top>
      <bottom style="thin">
        <color theme="8"/>
      </bottom>
      <diagonal/>
    </border>
    <border>
      <left/>
      <right style="thick">
        <color theme="0"/>
      </right>
      <top style="thin">
        <color theme="8"/>
      </top>
      <bottom style="thin">
        <color theme="8"/>
      </bottom>
      <diagonal/>
    </border>
    <border>
      <left/>
      <right style="thick">
        <color theme="0"/>
      </right>
      <top/>
      <bottom/>
      <diagonal/>
    </border>
    <border>
      <left style="thick">
        <color theme="9"/>
      </left>
      <right/>
      <top/>
      <bottom style="thin">
        <color theme="3"/>
      </bottom>
      <diagonal/>
    </border>
    <border>
      <left/>
      <right/>
      <top/>
      <bottom style="thin">
        <color theme="3"/>
      </bottom>
      <diagonal/>
    </border>
    <border>
      <left/>
      <right style="thick">
        <color theme="0"/>
      </right>
      <top/>
      <bottom style="thin">
        <color theme="3"/>
      </bottom>
      <diagonal/>
    </border>
    <border>
      <left style="thick">
        <color theme="9"/>
      </left>
      <right/>
      <top/>
      <bottom style="medium">
        <color theme="8"/>
      </bottom>
      <diagonal/>
    </border>
    <border>
      <left/>
      <right/>
      <top/>
      <bottom style="medium">
        <color theme="8"/>
      </bottom>
      <diagonal/>
    </border>
    <border>
      <left/>
      <right style="thick">
        <color theme="0"/>
      </right>
      <top/>
      <bottom style="medium">
        <color theme="8"/>
      </bottom>
      <diagonal/>
    </border>
    <border>
      <left/>
      <right/>
      <top/>
      <bottom style="thin">
        <color theme="8"/>
      </bottom>
      <diagonal/>
    </border>
    <border>
      <left/>
      <right/>
      <top style="medium">
        <color theme="8"/>
      </top>
      <bottom/>
      <diagonal/>
    </border>
    <border>
      <left/>
      <right style="thick">
        <color theme="0"/>
      </right>
      <top style="medium">
        <color theme="8"/>
      </top>
      <bottom/>
      <diagonal/>
    </border>
    <border>
      <left/>
      <right/>
      <top/>
      <bottom style="thin">
        <color rgb="FF477391"/>
      </bottom>
      <diagonal/>
    </border>
    <border>
      <left style="thick">
        <color theme="9"/>
      </left>
      <right/>
      <top style="thin">
        <color theme="8"/>
      </top>
      <bottom/>
      <diagonal/>
    </border>
    <border>
      <left style="thick">
        <color theme="0"/>
      </left>
      <right/>
      <top/>
      <bottom/>
      <diagonal/>
    </border>
    <border>
      <left/>
      <right style="thick">
        <color theme="0"/>
      </right>
      <top/>
      <bottom style="thin">
        <color theme="8"/>
      </bottom>
      <diagonal/>
    </border>
    <border>
      <left/>
      <right style="thick">
        <color theme="9"/>
      </right>
      <top style="medium">
        <color theme="8"/>
      </top>
      <bottom style="thin">
        <color theme="8"/>
      </bottom>
      <diagonal/>
    </border>
    <border>
      <left/>
      <right style="thick">
        <color theme="9"/>
      </right>
      <top style="thin">
        <color theme="8"/>
      </top>
      <bottom style="thin">
        <color theme="8"/>
      </bottom>
      <diagonal/>
    </border>
    <border>
      <left/>
      <right style="thick">
        <color theme="9"/>
      </right>
      <top/>
      <bottom/>
      <diagonal/>
    </border>
    <border>
      <left style="thick">
        <color theme="9"/>
      </left>
      <right/>
      <top style="thin">
        <color theme="8"/>
      </top>
      <bottom style="thin">
        <color theme="8"/>
      </bottom>
      <diagonal/>
    </border>
    <border>
      <left/>
      <right style="thick">
        <color theme="9"/>
      </right>
      <top style="thin">
        <color theme="8"/>
      </top>
      <bottom/>
      <diagonal/>
    </border>
    <border>
      <left/>
      <right style="thick">
        <color theme="9"/>
      </right>
      <top/>
      <bottom style="medium">
        <color theme="8"/>
      </bottom>
      <diagonal/>
    </border>
    <border>
      <left/>
      <right/>
      <top style="thin">
        <color theme="8"/>
      </top>
      <bottom style="medium">
        <color theme="8"/>
      </bottom>
      <diagonal/>
    </border>
    <border>
      <left/>
      <right style="thick">
        <color theme="0"/>
      </right>
      <top style="thin">
        <color theme="8"/>
      </top>
      <bottom style="medium">
        <color theme="8"/>
      </bottom>
      <diagonal/>
    </border>
    <border>
      <left style="thick">
        <color theme="9"/>
      </left>
      <right style="thick">
        <color theme="9"/>
      </right>
      <top/>
      <bottom/>
      <diagonal/>
    </border>
    <border>
      <left/>
      <right/>
      <top/>
      <bottom style="thin">
        <color theme="7"/>
      </bottom>
      <diagonal/>
    </border>
    <border>
      <left/>
      <right style="thick">
        <color theme="0"/>
      </right>
      <top style="thin">
        <color theme="8"/>
      </top>
      <bottom/>
      <diagonal/>
    </border>
    <border>
      <left style="thick">
        <color theme="0"/>
      </left>
      <right/>
      <top/>
      <bottom style="thin">
        <color rgb="FF477391"/>
      </bottom>
      <diagonal/>
    </border>
    <border>
      <left/>
      <right/>
      <top style="medium">
        <color theme="8"/>
      </top>
      <bottom style="thin">
        <color theme="7"/>
      </bottom>
      <diagonal/>
    </border>
    <border>
      <left/>
      <right/>
      <top style="thin">
        <color theme="7"/>
      </top>
      <bottom style="thin">
        <color theme="8"/>
      </bottom>
      <diagonal/>
    </border>
    <border>
      <left/>
      <right/>
      <top style="thin">
        <color theme="7"/>
      </top>
      <bottom style="thin">
        <color theme="7"/>
      </bottom>
      <diagonal/>
    </border>
    <border>
      <left/>
      <right style="thick">
        <color theme="0"/>
      </right>
      <top style="medium">
        <color theme="8"/>
      </top>
      <bottom style="thin">
        <color theme="7"/>
      </bottom>
      <diagonal/>
    </border>
    <border>
      <left/>
      <right style="thick">
        <color theme="0"/>
      </right>
      <top style="thin">
        <color theme="7"/>
      </top>
      <bottom style="thin">
        <color theme="8"/>
      </bottom>
      <diagonal/>
    </border>
    <border>
      <left style="medium">
        <color theme="8"/>
      </left>
      <right style="medium">
        <color theme="8"/>
      </right>
      <top/>
      <bottom/>
      <diagonal/>
    </border>
    <border>
      <left style="medium">
        <color theme="8"/>
      </left>
      <right style="medium">
        <color theme="8"/>
      </right>
      <top style="medium">
        <color theme="8"/>
      </top>
      <bottom/>
      <diagonal/>
    </border>
    <border>
      <left style="medium">
        <color theme="8"/>
      </left>
      <right style="medium">
        <color theme="8"/>
      </right>
      <top style="thin">
        <color theme="8"/>
      </top>
      <bottom/>
      <diagonal/>
    </border>
    <border>
      <left style="medium">
        <color theme="8"/>
      </left>
      <right style="medium">
        <color theme="8"/>
      </right>
      <top/>
      <bottom style="medium">
        <color theme="8"/>
      </bottom>
      <diagonal/>
    </border>
    <border>
      <left/>
      <right style="thick">
        <color theme="0"/>
      </right>
      <top/>
      <bottom style="thin">
        <color theme="7"/>
      </bottom>
      <diagonal/>
    </border>
    <border>
      <left style="thick">
        <color theme="0"/>
      </left>
      <right/>
      <top/>
      <bottom style="medium">
        <color theme="8"/>
      </bottom>
      <diagonal/>
    </border>
    <border>
      <left style="thick">
        <color theme="0"/>
      </left>
      <right/>
      <top style="thin">
        <color theme="8"/>
      </top>
      <bottom/>
      <diagonal/>
    </border>
    <border>
      <left style="thick">
        <color theme="0"/>
      </left>
      <right/>
      <top/>
      <bottom style="medium">
        <color theme="6" tint="-0.24994659260841701"/>
      </bottom>
      <diagonal/>
    </border>
    <border>
      <left/>
      <right/>
      <top/>
      <bottom style="medium">
        <color theme="6" tint="-0.24994659260841701"/>
      </bottom>
      <diagonal/>
    </border>
    <border>
      <left/>
      <right/>
      <top style="medium">
        <color theme="0"/>
      </top>
      <bottom/>
      <diagonal/>
    </border>
    <border>
      <left style="thick">
        <color theme="0"/>
      </left>
      <right style="thick">
        <color theme="0"/>
      </right>
      <top/>
      <bottom/>
      <diagonal/>
    </border>
    <border>
      <left style="thick">
        <color theme="0"/>
      </left>
      <right style="thick">
        <color theme="0"/>
      </right>
      <top/>
      <bottom style="thick">
        <color theme="0"/>
      </bottom>
      <diagonal/>
    </border>
    <border>
      <left style="thick">
        <color theme="0"/>
      </left>
      <right/>
      <top/>
      <bottom style="thin">
        <color theme="8"/>
      </bottom>
      <diagonal/>
    </border>
  </borders>
  <cellStyleXfs count="21">
    <xf numFmtId="0" fontId="0" fillId="0" borderId="0"/>
    <xf numFmtId="0" fontId="2"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2" fillId="0" borderId="0"/>
    <xf numFmtId="0" fontId="1" fillId="0" borderId="0" applyNumberFormat="0" applyFill="0" applyBorder="0" applyAlignment="0" applyProtection="0"/>
    <xf numFmtId="0" fontId="2" fillId="0" borderId="0"/>
    <xf numFmtId="0" fontId="2" fillId="0" borderId="0"/>
    <xf numFmtId="9" fontId="4" fillId="0" borderId="0" applyFont="0" applyFill="0" applyBorder="0" applyAlignment="0" applyProtection="0"/>
    <xf numFmtId="0" fontId="1" fillId="0" borderId="0" applyNumberFormat="0" applyFill="0" applyBorder="0" applyAlignment="0" applyProtection="0"/>
    <xf numFmtId="0" fontId="2" fillId="0" borderId="0"/>
    <xf numFmtId="0" fontId="3" fillId="0" borderId="0"/>
    <xf numFmtId="43" fontId="3" fillId="0" borderId="0" applyFont="0" applyFill="0" applyBorder="0" applyAlignment="0" applyProtection="0"/>
    <xf numFmtId="0" fontId="2" fillId="0" borderId="0"/>
    <xf numFmtId="0" fontId="30" fillId="0" borderId="0" applyNumberFormat="0" applyFill="0" applyBorder="0" applyAlignment="0" applyProtection="0"/>
    <xf numFmtId="43" fontId="3" fillId="0" borderId="0" applyFont="0" applyFill="0" applyBorder="0" applyAlignment="0" applyProtection="0"/>
    <xf numFmtId="0" fontId="3" fillId="0" borderId="0"/>
    <xf numFmtId="0" fontId="4" fillId="0" borderId="0"/>
    <xf numFmtId="0" fontId="2" fillId="0" borderId="0"/>
    <xf numFmtId="0" fontId="4" fillId="0" borderId="0"/>
  </cellStyleXfs>
  <cellXfs count="334">
    <xf numFmtId="0" fontId="0" fillId="0" borderId="0" xfId="0"/>
    <xf numFmtId="0" fontId="5" fillId="0" borderId="0" xfId="0" applyFont="1"/>
    <xf numFmtId="0" fontId="6" fillId="0" borderId="0" xfId="0" applyFont="1"/>
    <xf numFmtId="0" fontId="7" fillId="0" borderId="0" xfId="6" applyFont="1" applyAlignment="1">
      <alignment horizontal="center" vertical="center" wrapText="1"/>
    </xf>
    <xf numFmtId="0" fontId="7" fillId="0" borderId="0" xfId="10" applyFont="1" applyAlignment="1">
      <alignment horizontal="center" vertical="center" wrapText="1"/>
    </xf>
    <xf numFmtId="0" fontId="5" fillId="0" borderId="1" xfId="0" applyFont="1" applyBorder="1"/>
    <xf numFmtId="0" fontId="5" fillId="0" borderId="7" xfId="0" applyFont="1" applyBorder="1"/>
    <xf numFmtId="0" fontId="8" fillId="0" borderId="38" xfId="10" applyFont="1" applyFill="1" applyBorder="1" applyAlignment="1">
      <alignment horizontal="left" indent="2"/>
    </xf>
    <xf numFmtId="0" fontId="8" fillId="0" borderId="38" xfId="10" applyFont="1" applyBorder="1" applyAlignment="1">
      <alignment horizontal="left" indent="2"/>
    </xf>
    <xf numFmtId="0" fontId="8" fillId="0" borderId="38" xfId="6" applyFont="1" applyBorder="1" applyAlignment="1">
      <alignment horizontal="left" indent="2"/>
    </xf>
    <xf numFmtId="0" fontId="9" fillId="0" borderId="0" xfId="0" applyFont="1"/>
    <xf numFmtId="0" fontId="10" fillId="2" borderId="39" xfId="0" applyFont="1" applyFill="1" applyBorder="1" applyAlignment="1">
      <alignment horizontal="center"/>
    </xf>
    <xf numFmtId="0" fontId="11" fillId="2" borderId="40" xfId="0" applyFont="1" applyFill="1" applyBorder="1"/>
    <xf numFmtId="0" fontId="5" fillId="2" borderId="15" xfId="3" applyFont="1" applyFill="1" applyBorder="1"/>
    <xf numFmtId="0" fontId="14" fillId="2" borderId="0" xfId="11" applyFont="1" applyFill="1" applyAlignment="1">
      <alignment horizontal="center" vertical="center"/>
    </xf>
    <xf numFmtId="0" fontId="14" fillId="2" borderId="4" xfId="11" applyFont="1" applyFill="1" applyBorder="1" applyAlignment="1">
      <alignment horizontal="center" vertical="center"/>
    </xf>
    <xf numFmtId="0" fontId="14" fillId="2" borderId="0" xfId="11" applyFont="1" applyFill="1" applyAlignment="1">
      <alignment vertical="center"/>
    </xf>
    <xf numFmtId="0" fontId="14" fillId="2" borderId="7" xfId="11" applyFont="1" applyFill="1" applyBorder="1" applyAlignment="1">
      <alignment vertical="center"/>
    </xf>
    <xf numFmtId="0" fontId="14" fillId="3" borderId="0" xfId="11" applyFont="1" applyFill="1" applyAlignment="1">
      <alignment vertical="center"/>
    </xf>
    <xf numFmtId="0" fontId="14" fillId="3" borderId="0" xfId="11" applyFont="1" applyFill="1" applyAlignment="1">
      <alignment vertical="center" wrapText="1"/>
    </xf>
    <xf numFmtId="0" fontId="14" fillId="3" borderId="7" xfId="1" applyFont="1" applyFill="1" applyBorder="1" applyAlignment="1">
      <alignment vertical="center"/>
    </xf>
    <xf numFmtId="164" fontId="14" fillId="3" borderId="0" xfId="11" applyNumberFormat="1" applyFont="1" applyFill="1" applyAlignment="1">
      <alignment vertical="center"/>
    </xf>
    <xf numFmtId="164" fontId="14" fillId="3" borderId="0" xfId="11" applyNumberFormat="1" applyFont="1" applyFill="1" applyAlignment="1">
      <alignment vertical="center" wrapText="1"/>
    </xf>
    <xf numFmtId="164" fontId="14" fillId="3" borderId="7" xfId="1" applyNumberFormat="1" applyFont="1" applyFill="1" applyBorder="1" applyAlignment="1">
      <alignment vertical="center"/>
    </xf>
    <xf numFmtId="164" fontId="14" fillId="3" borderId="0" xfId="11" quotePrefix="1" applyNumberFormat="1" applyFont="1" applyFill="1" applyAlignment="1">
      <alignment vertical="center"/>
    </xf>
    <xf numFmtId="164" fontId="14" fillId="3" borderId="7" xfId="11" quotePrefix="1" applyNumberFormat="1" applyFont="1" applyFill="1" applyBorder="1" applyAlignment="1">
      <alignment vertical="center"/>
    </xf>
    <xf numFmtId="164" fontId="14" fillId="3" borderId="7" xfId="11" applyNumberFormat="1" applyFont="1" applyFill="1" applyBorder="1" applyAlignment="1">
      <alignment vertical="center"/>
    </xf>
    <xf numFmtId="164" fontId="14" fillId="3" borderId="0" xfId="11" quotePrefix="1" applyNumberFormat="1" applyFont="1" applyFill="1" applyAlignment="1">
      <alignment horizontal="right" vertical="center"/>
    </xf>
    <xf numFmtId="164" fontId="14" fillId="3" borderId="7" xfId="11" quotePrefix="1" applyNumberFormat="1" applyFont="1" applyFill="1" applyBorder="1" applyAlignment="1">
      <alignment horizontal="right" vertical="center"/>
    </xf>
    <xf numFmtId="164" fontId="14" fillId="3" borderId="0" xfId="2" applyNumberFormat="1" applyFont="1" applyFill="1" applyBorder="1" applyAlignment="1">
      <alignment vertical="center"/>
    </xf>
    <xf numFmtId="164" fontId="14" fillId="3" borderId="7" xfId="2" applyNumberFormat="1" applyFont="1" applyFill="1" applyBorder="1" applyAlignment="1">
      <alignment vertical="center"/>
    </xf>
    <xf numFmtId="0" fontId="14" fillId="3" borderId="8" xfId="11" applyFont="1" applyFill="1" applyBorder="1" applyAlignment="1">
      <alignment vertical="center"/>
    </xf>
    <xf numFmtId="164" fontId="14" fillId="3" borderId="9" xfId="11" quotePrefix="1" applyNumberFormat="1" applyFont="1" applyFill="1" applyBorder="1" applyAlignment="1">
      <alignment vertical="center"/>
    </xf>
    <xf numFmtId="164" fontId="14" fillId="3" borderId="10" xfId="11" applyNumberFormat="1" applyFont="1" applyFill="1" applyBorder="1" applyAlignment="1">
      <alignment vertical="center"/>
    </xf>
    <xf numFmtId="0" fontId="12" fillId="3" borderId="0" xfId="11" applyFont="1" applyFill="1" applyAlignment="1">
      <alignment vertical="center"/>
    </xf>
    <xf numFmtId="0" fontId="12" fillId="3" borderId="7" xfId="11" applyFont="1" applyFill="1" applyBorder="1" applyAlignment="1">
      <alignment horizontal="center" vertical="center"/>
    </xf>
    <xf numFmtId="0" fontId="12" fillId="3" borderId="7" xfId="11" applyFont="1" applyFill="1" applyBorder="1" applyAlignment="1">
      <alignment vertical="center"/>
    </xf>
    <xf numFmtId="0" fontId="12" fillId="3" borderId="12" xfId="11" applyFont="1" applyFill="1" applyBorder="1" applyAlignment="1">
      <alignment vertical="top"/>
    </xf>
    <xf numFmtId="0" fontId="12" fillId="3" borderId="13" xfId="11" applyFont="1" applyFill="1" applyBorder="1" applyAlignment="1">
      <alignment vertical="top"/>
    </xf>
    <xf numFmtId="0" fontId="14" fillId="2" borderId="0" xfId="8" applyFont="1" applyFill="1" applyAlignment="1">
      <alignment horizontal="right" vertical="center"/>
    </xf>
    <xf numFmtId="164" fontId="14" fillId="5" borderId="30" xfId="14" applyNumberFormat="1" applyFont="1" applyFill="1" applyBorder="1" applyAlignment="1">
      <alignment horizontal="right" vertical="center"/>
    </xf>
    <xf numFmtId="164" fontId="14" fillId="5" borderId="0" xfId="14" applyNumberFormat="1" applyFont="1" applyFill="1" applyAlignment="1">
      <alignment horizontal="right" vertical="center"/>
    </xf>
    <xf numFmtId="164" fontId="14" fillId="5" borderId="14" xfId="14" applyNumberFormat="1" applyFont="1" applyFill="1" applyBorder="1" applyAlignment="1">
      <alignment horizontal="right" vertical="center"/>
    </xf>
    <xf numFmtId="164" fontId="14" fillId="5" borderId="7" xfId="14" applyNumberFormat="1" applyFont="1" applyFill="1" applyBorder="1" applyAlignment="1">
      <alignment horizontal="right" vertical="center"/>
    </xf>
    <xf numFmtId="0" fontId="14" fillId="4" borderId="4" xfId="12" applyFont="1" applyFill="1" applyBorder="1" applyAlignment="1">
      <alignment horizontal="center" vertical="center"/>
    </xf>
    <xf numFmtId="0" fontId="16" fillId="4" borderId="0" xfId="12" applyFont="1" applyFill="1" applyAlignment="1">
      <alignment horizontal="right" vertical="center"/>
    </xf>
    <xf numFmtId="0" fontId="16" fillId="4" borderId="4" xfId="12" applyFont="1" applyFill="1" applyBorder="1" applyAlignment="1">
      <alignment horizontal="right" vertical="center"/>
    </xf>
    <xf numFmtId="0" fontId="14" fillId="3" borderId="0" xfId="12" applyFont="1" applyFill="1" applyAlignment="1">
      <alignment horizontal="left" vertical="center"/>
    </xf>
    <xf numFmtId="164" fontId="14" fillId="3" borderId="0" xfId="12" applyNumberFormat="1" applyFont="1" applyFill="1" applyAlignment="1">
      <alignment horizontal="right" vertical="center" wrapText="1"/>
    </xf>
    <xf numFmtId="0" fontId="14" fillId="3" borderId="0" xfId="12" applyFont="1" applyFill="1" applyAlignment="1">
      <alignment horizontal="left" vertical="center" indent="1"/>
    </xf>
    <xf numFmtId="0" fontId="14" fillId="3" borderId="30" xfId="12" applyFont="1" applyFill="1" applyBorder="1" applyAlignment="1">
      <alignment horizontal="left" vertical="center" indent="1"/>
    </xf>
    <xf numFmtId="164" fontId="14" fillId="3" borderId="14" xfId="12" applyNumberFormat="1" applyFont="1" applyFill="1" applyBorder="1" applyAlignment="1">
      <alignment horizontal="right" vertical="center" wrapText="1"/>
    </xf>
    <xf numFmtId="164" fontId="14" fillId="3" borderId="4" xfId="12" applyNumberFormat="1" applyFont="1" applyFill="1" applyBorder="1" applyAlignment="1">
      <alignment horizontal="right" vertical="center" wrapText="1"/>
    </xf>
    <xf numFmtId="0" fontId="14" fillId="3" borderId="0" xfId="12" applyFont="1" applyFill="1" applyAlignment="1">
      <alignment horizontal="left" vertical="center" shrinkToFit="1"/>
    </xf>
    <xf numFmtId="0" fontId="14" fillId="3" borderId="32" xfId="12" applyFont="1" applyFill="1" applyBorder="1" applyAlignment="1">
      <alignment horizontal="left" vertical="center"/>
    </xf>
    <xf numFmtId="164" fontId="14" fillId="3" borderId="17" xfId="12" applyNumberFormat="1" applyFont="1" applyFill="1" applyBorder="1" applyAlignment="1">
      <alignment horizontal="right" vertical="center" wrapText="1"/>
    </xf>
    <xf numFmtId="164" fontId="14" fillId="3" borderId="30" xfId="12" applyNumberFormat="1" applyFont="1" applyFill="1" applyBorder="1" applyAlignment="1">
      <alignment horizontal="right" vertical="center" wrapText="1"/>
    </xf>
    <xf numFmtId="0" fontId="14" fillId="3" borderId="14" xfId="12" applyFont="1" applyFill="1" applyBorder="1" applyAlignment="1">
      <alignment horizontal="left" vertical="center"/>
    </xf>
    <xf numFmtId="0" fontId="14" fillId="2" borderId="0" xfId="12" applyFont="1" applyFill="1" applyAlignment="1">
      <alignment horizontal="left" vertical="center"/>
    </xf>
    <xf numFmtId="0" fontId="17" fillId="3" borderId="0" xfId="12" applyFont="1" applyFill="1" applyAlignment="1">
      <alignment horizontal="left" vertical="center"/>
    </xf>
    <xf numFmtId="164" fontId="17" fillId="3" borderId="5" xfId="12" applyNumberFormat="1" applyFont="1" applyFill="1" applyBorder="1" applyAlignment="1">
      <alignment horizontal="right" vertical="center"/>
    </xf>
    <xf numFmtId="0" fontId="14" fillId="4" borderId="4" xfId="3" applyFont="1" applyFill="1" applyBorder="1" applyAlignment="1">
      <alignment horizontal="center" vertical="center"/>
    </xf>
    <xf numFmtId="0" fontId="16" fillId="4" borderId="4" xfId="3" applyFont="1" applyFill="1" applyBorder="1" applyAlignment="1">
      <alignment horizontal="right" vertical="center"/>
    </xf>
    <xf numFmtId="0" fontId="5" fillId="2" borderId="0" xfId="5" applyFont="1" applyFill="1" applyAlignment="1">
      <alignment horizontal="right" vertical="center"/>
    </xf>
    <xf numFmtId="0" fontId="5" fillId="3" borderId="0" xfId="5" applyFont="1" applyFill="1" applyAlignment="1">
      <alignment horizontal="right" vertical="center"/>
    </xf>
    <xf numFmtId="0" fontId="5" fillId="3" borderId="23" xfId="5" applyFont="1" applyFill="1" applyBorder="1" applyAlignment="1">
      <alignment horizontal="right" vertical="center"/>
    </xf>
    <xf numFmtId="165" fontId="14" fillId="3" borderId="0" xfId="5" applyNumberFormat="1" applyFont="1" applyFill="1" applyAlignment="1">
      <alignment horizontal="right" vertical="center"/>
    </xf>
    <xf numFmtId="165" fontId="19" fillId="3" borderId="0" xfId="5" applyNumberFormat="1" applyFont="1" applyFill="1" applyAlignment="1">
      <alignment horizontal="right" vertical="center"/>
    </xf>
    <xf numFmtId="165" fontId="14" fillId="3" borderId="14" xfId="5" applyNumberFormat="1" applyFont="1" applyFill="1" applyBorder="1" applyAlignment="1">
      <alignment horizontal="right" vertical="center"/>
    </xf>
    <xf numFmtId="0" fontId="5" fillId="2" borderId="7" xfId="5" applyFont="1" applyFill="1" applyBorder="1" applyAlignment="1">
      <alignment horizontal="right" vertical="center"/>
    </xf>
    <xf numFmtId="0" fontId="14" fillId="4" borderId="15" xfId="12" applyFont="1" applyFill="1" applyBorder="1" applyAlignment="1">
      <alignment horizontal="left" vertical="center"/>
    </xf>
    <xf numFmtId="0" fontId="14" fillId="4" borderId="0" xfId="12" applyFont="1" applyFill="1" applyAlignment="1">
      <alignment horizontal="left" vertical="center"/>
    </xf>
    <xf numFmtId="0" fontId="14" fillId="4" borderId="0" xfId="12" applyFont="1" applyFill="1" applyAlignment="1">
      <alignment horizontal="right" vertical="center"/>
    </xf>
    <xf numFmtId="0" fontId="14" fillId="4" borderId="23" xfId="12" applyFont="1" applyFill="1" applyBorder="1" applyAlignment="1">
      <alignment horizontal="right" vertical="center"/>
    </xf>
    <xf numFmtId="0" fontId="14" fillId="3" borderId="1" xfId="12" applyFont="1" applyFill="1" applyBorder="1" applyAlignment="1">
      <alignment horizontal="left" vertical="center"/>
    </xf>
    <xf numFmtId="165" fontId="14" fillId="3" borderId="0" xfId="12" applyNumberFormat="1" applyFont="1" applyFill="1" applyAlignment="1">
      <alignment horizontal="right" vertical="center" wrapText="1"/>
    </xf>
    <xf numFmtId="165" fontId="14" fillId="3" borderId="23" xfId="12" applyNumberFormat="1" applyFont="1" applyFill="1" applyBorder="1" applyAlignment="1">
      <alignment horizontal="right" vertical="center" wrapText="1"/>
    </xf>
    <xf numFmtId="0" fontId="14" fillId="3" borderId="19" xfId="12" applyFont="1" applyFill="1" applyBorder="1" applyAlignment="1">
      <alignment horizontal="left" vertical="center"/>
    </xf>
    <xf numFmtId="0" fontId="20" fillId="3" borderId="1" xfId="12" applyFont="1" applyFill="1" applyBorder="1" applyAlignment="1">
      <alignment horizontal="left" vertical="center"/>
    </xf>
    <xf numFmtId="165" fontId="14" fillId="3" borderId="0" xfId="12" applyNumberFormat="1" applyFont="1" applyFill="1" applyAlignment="1">
      <alignment horizontal="right" wrapText="1"/>
    </xf>
    <xf numFmtId="165" fontId="14" fillId="3" borderId="23" xfId="12" applyNumberFormat="1" applyFont="1" applyFill="1" applyBorder="1" applyAlignment="1">
      <alignment horizontal="right" wrapText="1"/>
    </xf>
    <xf numFmtId="165" fontId="17" fillId="3" borderId="5" xfId="12" applyNumberFormat="1" applyFont="1" applyFill="1" applyBorder="1" applyAlignment="1">
      <alignment horizontal="right" vertical="center" wrapText="1"/>
    </xf>
    <xf numFmtId="165" fontId="17" fillId="3" borderId="22" xfId="12" applyNumberFormat="1" applyFont="1" applyFill="1" applyBorder="1" applyAlignment="1">
      <alignment horizontal="right" vertical="center" wrapText="1"/>
    </xf>
    <xf numFmtId="0" fontId="13" fillId="3" borderId="23" xfId="12" applyFont="1" applyFill="1" applyBorder="1" applyAlignment="1">
      <alignment horizontal="left" vertical="center"/>
    </xf>
    <xf numFmtId="0" fontId="21" fillId="0" borderId="1" xfId="12" applyFont="1" applyBorder="1" applyAlignment="1">
      <alignment vertical="center"/>
    </xf>
    <xf numFmtId="0" fontId="5" fillId="3" borderId="0" xfId="12" applyFont="1" applyFill="1" applyAlignment="1">
      <alignment vertical="center"/>
    </xf>
    <xf numFmtId="0" fontId="14" fillId="0" borderId="0" xfId="12" applyFont="1" applyAlignment="1">
      <alignment horizontal="left" vertical="center"/>
    </xf>
    <xf numFmtId="0" fontId="5" fillId="0" borderId="0" xfId="3" applyFont="1"/>
    <xf numFmtId="0" fontId="5" fillId="0" borderId="7" xfId="3" applyFont="1" applyBorder="1"/>
    <xf numFmtId="164" fontId="5" fillId="0" borderId="0" xfId="3" applyNumberFormat="1" applyFont="1"/>
    <xf numFmtId="164" fontId="5" fillId="0" borderId="7" xfId="3" applyNumberFormat="1" applyFont="1" applyBorder="1"/>
    <xf numFmtId="0" fontId="22" fillId="2" borderId="0" xfId="3" applyFont="1" applyFill="1" applyAlignment="1">
      <alignment horizontal="center" vertical="center"/>
    </xf>
    <xf numFmtId="164" fontId="5" fillId="3" borderId="0" xfId="3" applyNumberFormat="1" applyFont="1" applyFill="1"/>
    <xf numFmtId="164" fontId="5" fillId="3" borderId="7" xfId="3" applyNumberFormat="1" applyFont="1" applyFill="1" applyBorder="1"/>
    <xf numFmtId="3" fontId="5" fillId="0" borderId="0" xfId="3" applyNumberFormat="1" applyFont="1"/>
    <xf numFmtId="3" fontId="5" fillId="0" borderId="7" xfId="3" applyNumberFormat="1" applyFont="1" applyBorder="1"/>
    <xf numFmtId="0" fontId="5" fillId="3" borderId="0" xfId="3" applyFont="1" applyFill="1"/>
    <xf numFmtId="0" fontId="24" fillId="0" borderId="0" xfId="3" applyFont="1"/>
    <xf numFmtId="0" fontId="24" fillId="0" borderId="7" xfId="3" applyFont="1" applyBorder="1"/>
    <xf numFmtId="164" fontId="5" fillId="0" borderId="0" xfId="4" applyNumberFormat="1" applyFont="1" applyAlignment="1"/>
    <xf numFmtId="164" fontId="5" fillId="0" borderId="0" xfId="9" applyNumberFormat="1" applyFont="1" applyFill="1"/>
    <xf numFmtId="165" fontId="5" fillId="3" borderId="7" xfId="3" applyNumberFormat="1" applyFont="1" applyFill="1" applyBorder="1"/>
    <xf numFmtId="2" fontId="5" fillId="0" borderId="0" xfId="3" applyNumberFormat="1" applyFont="1"/>
    <xf numFmtId="2" fontId="5" fillId="0" borderId="7" xfId="3" applyNumberFormat="1" applyFont="1" applyBorder="1"/>
    <xf numFmtId="2" fontId="5" fillId="0" borderId="17" xfId="3" applyNumberFormat="1" applyFont="1" applyBorder="1"/>
    <xf numFmtId="0" fontId="16" fillId="4" borderId="0" xfId="3" applyFont="1" applyFill="1" applyAlignment="1">
      <alignment horizontal="right" vertical="center"/>
    </xf>
    <xf numFmtId="0" fontId="16" fillId="4" borderId="7" xfId="3" applyFont="1" applyFill="1" applyBorder="1" applyAlignment="1">
      <alignment horizontal="right" vertical="center"/>
    </xf>
    <xf numFmtId="0" fontId="19" fillId="3" borderId="0" xfId="12" applyFont="1" applyFill="1" applyAlignment="1">
      <alignment horizontal="left" vertical="center"/>
    </xf>
    <xf numFmtId="164" fontId="19" fillId="5" borderId="30" xfId="14" applyNumberFormat="1" applyFont="1" applyFill="1" applyBorder="1" applyAlignment="1">
      <alignment horizontal="right" vertical="center"/>
    </xf>
    <xf numFmtId="164" fontId="19" fillId="5" borderId="35" xfId="14" applyNumberFormat="1" applyFont="1" applyFill="1" applyBorder="1" applyAlignment="1">
      <alignment horizontal="right" vertical="center"/>
    </xf>
    <xf numFmtId="164" fontId="19" fillId="5" borderId="0" xfId="14" applyNumberFormat="1" applyFont="1" applyFill="1" applyAlignment="1">
      <alignment horizontal="right" vertical="center"/>
    </xf>
    <xf numFmtId="164" fontId="19" fillId="5" borderId="27" xfId="14" applyNumberFormat="1" applyFont="1" applyFill="1" applyBorder="1" applyAlignment="1">
      <alignment horizontal="right" vertical="center"/>
    </xf>
    <xf numFmtId="0" fontId="14" fillId="2" borderId="7" xfId="8" applyFont="1" applyFill="1" applyBorder="1" applyAlignment="1">
      <alignment horizontal="right" vertical="center"/>
    </xf>
    <xf numFmtId="164" fontId="19" fillId="5" borderId="42" xfId="14" applyNumberFormat="1" applyFont="1" applyFill="1" applyBorder="1" applyAlignment="1">
      <alignment horizontal="right" vertical="center"/>
    </xf>
    <xf numFmtId="164" fontId="14" fillId="5" borderId="42" xfId="14" applyNumberFormat="1" applyFont="1" applyFill="1" applyBorder="1" applyAlignment="1">
      <alignment horizontal="right" vertical="center"/>
    </xf>
    <xf numFmtId="164" fontId="19" fillId="5" borderId="7" xfId="14" applyNumberFormat="1" applyFont="1" applyFill="1" applyBorder="1" applyAlignment="1">
      <alignment horizontal="right" vertical="center"/>
    </xf>
    <xf numFmtId="164" fontId="14" fillId="5" borderId="20" xfId="14" applyNumberFormat="1" applyFont="1" applyFill="1" applyBorder="1" applyAlignment="1">
      <alignment horizontal="right" vertical="center"/>
    </xf>
    <xf numFmtId="164" fontId="19" fillId="5" borderId="28" xfId="14" applyNumberFormat="1" applyFont="1" applyFill="1" applyBorder="1" applyAlignment="1">
      <alignment horizontal="right" vertical="center"/>
    </xf>
    <xf numFmtId="0" fontId="9" fillId="3" borderId="0" xfId="0" applyFont="1" applyFill="1"/>
    <xf numFmtId="165" fontId="14" fillId="0" borderId="0" xfId="5" applyNumberFormat="1" applyFont="1" applyAlignment="1">
      <alignment horizontal="right" vertical="center"/>
    </xf>
    <xf numFmtId="165" fontId="19" fillId="0" borderId="0" xfId="5" applyNumberFormat="1" applyFont="1" applyAlignment="1">
      <alignment horizontal="right" vertical="center"/>
    </xf>
    <xf numFmtId="166" fontId="5" fillId="2" borderId="0" xfId="5" applyNumberFormat="1" applyFont="1" applyFill="1" applyAlignment="1">
      <alignment horizontal="center"/>
    </xf>
    <xf numFmtId="166" fontId="5" fillId="2" borderId="4" xfId="5" applyNumberFormat="1" applyFont="1" applyFill="1" applyBorder="1" applyAlignment="1">
      <alignment horizontal="center"/>
    </xf>
    <xf numFmtId="165" fontId="14" fillId="0" borderId="0" xfId="5" applyNumberFormat="1" applyFont="1" applyAlignment="1">
      <alignment vertical="center"/>
    </xf>
    <xf numFmtId="165" fontId="14" fillId="3" borderId="0" xfId="5" applyNumberFormat="1" applyFont="1" applyFill="1" applyAlignment="1">
      <alignment vertical="center"/>
    </xf>
    <xf numFmtId="0" fontId="13" fillId="3" borderId="23" xfId="12" applyFont="1" applyFill="1" applyBorder="1" applyAlignment="1">
      <alignment vertical="center" wrapText="1"/>
    </xf>
    <xf numFmtId="0" fontId="8" fillId="0" borderId="41" xfId="10" applyFont="1" applyFill="1" applyBorder="1" applyAlignment="1">
      <alignment horizontal="left" indent="2"/>
    </xf>
    <xf numFmtId="0" fontId="17" fillId="3" borderId="24" xfId="12" applyFont="1" applyFill="1" applyBorder="1" applyAlignment="1">
      <alignment horizontal="left" vertical="center"/>
    </xf>
    <xf numFmtId="0" fontId="13" fillId="3" borderId="29" xfId="12" applyFont="1" applyFill="1" applyBorder="1" applyAlignment="1">
      <alignment horizontal="left" vertical="center"/>
    </xf>
    <xf numFmtId="164" fontId="31" fillId="3" borderId="0" xfId="5" applyNumberFormat="1" applyFont="1" applyFill="1" applyAlignment="1">
      <alignment horizontal="left" vertical="center"/>
    </xf>
    <xf numFmtId="3" fontId="19" fillId="3" borderId="5" xfId="13" applyNumberFormat="1" applyFont="1" applyFill="1" applyBorder="1" applyAlignment="1">
      <alignment vertical="center"/>
    </xf>
    <xf numFmtId="3" fontId="19" fillId="3" borderId="22" xfId="13" applyNumberFormat="1" applyFont="1" applyFill="1" applyBorder="1" applyAlignment="1">
      <alignment vertical="center"/>
    </xf>
    <xf numFmtId="3" fontId="19" fillId="3" borderId="5" xfId="13" applyNumberFormat="1" applyFont="1" applyFill="1" applyBorder="1" applyAlignment="1">
      <alignment horizontal="right" vertical="center"/>
    </xf>
    <xf numFmtId="3" fontId="19" fillId="3" borderId="22" xfId="13" applyNumberFormat="1" applyFont="1" applyFill="1" applyBorder="1" applyAlignment="1">
      <alignment horizontal="right" vertical="center"/>
    </xf>
    <xf numFmtId="165" fontId="19" fillId="3" borderId="5" xfId="13" applyNumberFormat="1" applyFont="1" applyFill="1" applyBorder="1" applyAlignment="1">
      <alignment vertical="center"/>
    </xf>
    <xf numFmtId="165" fontId="19" fillId="3" borderId="5" xfId="13" applyNumberFormat="1" applyFont="1" applyFill="1" applyBorder="1" applyAlignment="1">
      <alignment horizontal="right" vertical="center"/>
    </xf>
    <xf numFmtId="165" fontId="19" fillId="0" borderId="5" xfId="5" applyNumberFormat="1" applyFont="1" applyBorder="1" applyAlignment="1">
      <alignment horizontal="right" vertical="center"/>
    </xf>
    <xf numFmtId="165" fontId="19" fillId="3" borderId="5" xfId="5" applyNumberFormat="1" applyFont="1" applyFill="1" applyBorder="1" applyAlignment="1">
      <alignment horizontal="right" vertical="center"/>
    </xf>
    <xf numFmtId="164" fontId="31" fillId="3" borderId="1" xfId="5" applyNumberFormat="1" applyFont="1" applyFill="1" applyBorder="1" applyAlignment="1">
      <alignment horizontal="left" vertical="center"/>
    </xf>
    <xf numFmtId="0" fontId="5" fillId="0" borderId="19" xfId="0" applyFont="1" applyBorder="1"/>
    <xf numFmtId="0" fontId="5" fillId="0" borderId="15" xfId="0" applyFont="1" applyBorder="1"/>
    <xf numFmtId="0" fontId="5" fillId="0" borderId="47" xfId="0" applyFont="1" applyBorder="1"/>
    <xf numFmtId="164" fontId="5" fillId="3" borderId="0" xfId="5" applyNumberFormat="1" applyFont="1" applyFill="1" applyAlignment="1">
      <alignment horizontal="left" vertical="center"/>
    </xf>
    <xf numFmtId="164" fontId="5" fillId="3" borderId="0" xfId="5" applyNumberFormat="1" applyFont="1" applyFill="1" applyAlignment="1">
      <alignment horizontal="left" vertical="center" wrapText="1"/>
    </xf>
    <xf numFmtId="164" fontId="18" fillId="3" borderId="0" xfId="5" applyNumberFormat="1" applyFont="1" applyFill="1" applyAlignment="1">
      <alignment horizontal="left" vertical="center"/>
    </xf>
    <xf numFmtId="0" fontId="5" fillId="3" borderId="0" xfId="5" applyFont="1" applyFill="1" applyAlignment="1">
      <alignment horizontal="left" vertical="center" indent="1"/>
    </xf>
    <xf numFmtId="0" fontId="5" fillId="3" borderId="0" xfId="5" applyFont="1" applyFill="1" applyAlignment="1">
      <alignment horizontal="left" vertical="center" wrapText="1" indent="1"/>
    </xf>
    <xf numFmtId="0" fontId="14" fillId="3" borderId="0" xfId="5" applyFont="1" applyFill="1" applyAlignment="1">
      <alignment horizontal="left" vertical="center" indent="1"/>
    </xf>
    <xf numFmtId="0" fontId="5" fillId="3" borderId="14" xfId="5" applyFont="1" applyFill="1" applyBorder="1" applyAlignment="1">
      <alignment horizontal="left" vertical="center" wrapText="1" indent="1"/>
    </xf>
    <xf numFmtId="0" fontId="31" fillId="3" borderId="5" xfId="5" applyFont="1" applyFill="1" applyBorder="1" applyAlignment="1">
      <alignment horizontal="left" vertical="center"/>
    </xf>
    <xf numFmtId="164" fontId="5" fillId="3" borderId="0" xfId="5" applyNumberFormat="1" applyFont="1" applyFill="1" applyAlignment="1">
      <alignment horizontal="left" vertical="center" wrapText="1" indent="1"/>
    </xf>
    <xf numFmtId="164" fontId="31" fillId="3" borderId="14" xfId="5" applyNumberFormat="1" applyFont="1" applyFill="1" applyBorder="1" applyAlignment="1">
      <alignment horizontal="left" vertical="center" wrapText="1"/>
    </xf>
    <xf numFmtId="164" fontId="5" fillId="3" borderId="14" xfId="5" applyNumberFormat="1" applyFont="1" applyFill="1" applyBorder="1" applyAlignment="1">
      <alignment horizontal="left" vertical="center" wrapText="1"/>
    </xf>
    <xf numFmtId="164" fontId="31" fillId="3" borderId="5" xfId="5" applyNumberFormat="1" applyFont="1" applyFill="1" applyBorder="1" applyAlignment="1">
      <alignment horizontal="left" vertical="center" wrapText="1"/>
    </xf>
    <xf numFmtId="0" fontId="5" fillId="0" borderId="48" xfId="0" applyFont="1" applyBorder="1"/>
    <xf numFmtId="0" fontId="5" fillId="0" borderId="49" xfId="0" applyFont="1" applyBorder="1"/>
    <xf numFmtId="164" fontId="5" fillId="3" borderId="4" xfId="5" applyNumberFormat="1" applyFont="1" applyFill="1" applyBorder="1" applyAlignment="1">
      <alignment horizontal="left" vertical="center" wrapText="1"/>
    </xf>
    <xf numFmtId="166" fontId="5" fillId="0" borderId="0" xfId="0" applyNumberFormat="1" applyFont="1"/>
    <xf numFmtId="168" fontId="5" fillId="0" borderId="0" xfId="0" applyNumberFormat="1" applyFont="1"/>
    <xf numFmtId="2" fontId="19" fillId="3" borderId="0" xfId="7" applyNumberFormat="1" applyFont="1" applyFill="1" applyAlignment="1">
      <alignment horizontal="left" vertical="center" wrapText="1"/>
    </xf>
    <xf numFmtId="2" fontId="14" fillId="3" borderId="0" xfId="7" applyNumberFormat="1" applyFont="1" applyFill="1" applyAlignment="1">
      <alignment horizontal="left" vertical="center" indent="1"/>
    </xf>
    <xf numFmtId="0" fontId="14" fillId="3" borderId="0" xfId="8" applyFont="1" applyFill="1" applyAlignment="1">
      <alignment horizontal="left" vertical="center" indent="1"/>
    </xf>
    <xf numFmtId="2" fontId="14" fillId="3" borderId="30" xfId="7" applyNumberFormat="1" applyFont="1" applyFill="1" applyBorder="1" applyAlignment="1">
      <alignment horizontal="left" vertical="center" indent="1"/>
    </xf>
    <xf numFmtId="2" fontId="19" fillId="3" borderId="35" xfId="7" applyNumberFormat="1" applyFont="1" applyFill="1" applyBorder="1" applyAlignment="1">
      <alignment horizontal="left" vertical="center"/>
    </xf>
    <xf numFmtId="2" fontId="19" fillId="3" borderId="0" xfId="7" applyNumberFormat="1" applyFont="1" applyFill="1" applyAlignment="1">
      <alignment horizontal="left" vertical="center"/>
    </xf>
    <xf numFmtId="2" fontId="14" fillId="3" borderId="14" xfId="7" applyNumberFormat="1" applyFont="1" applyFill="1" applyBorder="1" applyAlignment="1">
      <alignment horizontal="left" vertical="center" indent="1"/>
    </xf>
    <xf numFmtId="0" fontId="12" fillId="3" borderId="44" xfId="12" applyFont="1" applyFill="1" applyBorder="1" applyAlignment="1">
      <alignment vertical="center"/>
    </xf>
    <xf numFmtId="0" fontId="12" fillId="3" borderId="45" xfId="12" applyFont="1" applyFill="1" applyBorder="1" applyAlignment="1">
      <alignment vertical="center"/>
    </xf>
    <xf numFmtId="0" fontId="12" fillId="3" borderId="46" xfId="12" applyFont="1" applyFill="1" applyBorder="1" applyAlignment="1">
      <alignment vertical="center"/>
    </xf>
    <xf numFmtId="0" fontId="12" fillId="3" borderId="4" xfId="12" applyFont="1" applyFill="1" applyBorder="1" applyAlignment="1">
      <alignment horizontal="left" vertical="center"/>
    </xf>
    <xf numFmtId="0" fontId="12" fillId="3" borderId="23" xfId="12" applyFont="1" applyFill="1" applyBorder="1" applyAlignment="1">
      <alignment horizontal="left" vertical="center"/>
    </xf>
    <xf numFmtId="0" fontId="12" fillId="3" borderId="12" xfId="12" applyFont="1" applyFill="1" applyBorder="1" applyAlignment="1">
      <alignment horizontal="left" vertical="center"/>
    </xf>
    <xf numFmtId="0" fontId="12" fillId="3" borderId="0" xfId="12" applyFont="1" applyFill="1" applyAlignment="1">
      <alignment horizontal="left" vertical="center"/>
    </xf>
    <xf numFmtId="0" fontId="12" fillId="3" borderId="4" xfId="12" applyFont="1" applyFill="1" applyBorder="1" applyAlignment="1">
      <alignment horizontal="left"/>
    </xf>
    <xf numFmtId="0" fontId="12" fillId="3" borderId="1" xfId="12" applyFont="1" applyFill="1" applyBorder="1" applyAlignment="1">
      <alignment horizontal="left"/>
    </xf>
    <xf numFmtId="0" fontId="12" fillId="3" borderId="0" xfId="12" applyFont="1" applyFill="1" applyAlignment="1">
      <alignment horizontal="left"/>
    </xf>
    <xf numFmtId="0" fontId="12" fillId="3" borderId="12" xfId="12" applyFont="1" applyFill="1" applyBorder="1" applyAlignment="1">
      <alignment horizontal="left"/>
    </xf>
    <xf numFmtId="0" fontId="12" fillId="3" borderId="25" xfId="12" applyFont="1" applyFill="1" applyBorder="1" applyAlignment="1">
      <alignment horizontal="left" vertical="center"/>
    </xf>
    <xf numFmtId="0" fontId="12" fillId="3" borderId="26" xfId="12" applyFont="1" applyFill="1" applyBorder="1" applyAlignment="1">
      <alignment horizontal="left" vertical="center"/>
    </xf>
    <xf numFmtId="0" fontId="7" fillId="3" borderId="0" xfId="0" applyFont="1" applyFill="1"/>
    <xf numFmtId="0" fontId="7" fillId="0" borderId="0" xfId="0" applyFont="1"/>
    <xf numFmtId="0" fontId="12" fillId="3" borderId="18" xfId="12" applyFont="1" applyFill="1" applyBorder="1" applyAlignment="1">
      <alignment horizontal="left" vertical="center"/>
    </xf>
    <xf numFmtId="0" fontId="12" fillId="3" borderId="1" xfId="12" applyFont="1" applyFill="1" applyBorder="1" applyAlignment="1">
      <alignment horizontal="left" vertical="center"/>
    </xf>
    <xf numFmtId="0" fontId="22" fillId="2" borderId="0" xfId="12" applyFont="1" applyFill="1" applyAlignment="1">
      <alignment horizontal="right"/>
    </xf>
    <xf numFmtId="0" fontId="14" fillId="0" borderId="19" xfId="12" applyFont="1" applyBorder="1" applyAlignment="1">
      <alignment horizontal="left" vertical="center"/>
    </xf>
    <xf numFmtId="0" fontId="14" fillId="0" borderId="19" xfId="12" quotePrefix="1" applyFont="1" applyBorder="1" applyAlignment="1">
      <alignment horizontal="left" vertical="center"/>
    </xf>
    <xf numFmtId="0" fontId="14" fillId="0" borderId="50" xfId="12" applyFont="1" applyBorder="1" applyAlignment="1">
      <alignment horizontal="left" vertical="center"/>
    </xf>
    <xf numFmtId="0" fontId="14" fillId="3" borderId="1" xfId="11" applyFont="1" applyFill="1" applyBorder="1" applyAlignment="1">
      <alignment horizontal="left" vertical="center"/>
    </xf>
    <xf numFmtId="164" fontId="14" fillId="3" borderId="1" xfId="11" applyNumberFormat="1" applyFont="1" applyFill="1" applyBorder="1" applyAlignment="1">
      <alignment horizontal="left" vertical="center"/>
    </xf>
    <xf numFmtId="164" fontId="14" fillId="3" borderId="1" xfId="11" applyNumberFormat="1" applyFont="1" applyFill="1" applyBorder="1" applyAlignment="1">
      <alignment horizontal="left" vertical="center" indent="1"/>
    </xf>
    <xf numFmtId="0" fontId="14" fillId="3" borderId="1" xfId="11" applyFont="1" applyFill="1" applyBorder="1" applyAlignment="1">
      <alignment vertical="center"/>
    </xf>
    <xf numFmtId="164" fontId="14" fillId="3" borderId="14" xfId="11" applyNumberFormat="1" applyFont="1" applyFill="1" applyBorder="1" applyAlignment="1">
      <alignment vertical="center"/>
    </xf>
    <xf numFmtId="164" fontId="14" fillId="3" borderId="20" xfId="11" applyNumberFormat="1" applyFont="1" applyFill="1" applyBorder="1" applyAlignment="1">
      <alignment vertical="center"/>
    </xf>
    <xf numFmtId="0" fontId="12" fillId="3" borderId="19" xfId="11" applyFont="1" applyFill="1" applyBorder="1" applyAlignment="1">
      <alignment vertical="center"/>
    </xf>
    <xf numFmtId="0" fontId="12" fillId="3" borderId="43" xfId="11" applyFont="1" applyFill="1" applyBorder="1" applyAlignment="1">
      <alignment vertical="center"/>
    </xf>
    <xf numFmtId="0" fontId="12" fillId="3" borderId="1" xfId="11" applyFont="1" applyFill="1" applyBorder="1" applyAlignment="1">
      <alignment vertical="center"/>
    </xf>
    <xf numFmtId="0" fontId="12" fillId="3" borderId="11" xfId="11" applyFont="1" applyFill="1" applyBorder="1" applyAlignment="1">
      <alignment vertical="center"/>
    </xf>
    <xf numFmtId="2" fontId="14" fillId="3" borderId="5" xfId="12" applyNumberFormat="1" applyFont="1" applyFill="1" applyBorder="1" applyAlignment="1">
      <alignment vertical="center"/>
    </xf>
    <xf numFmtId="0" fontId="21" fillId="3" borderId="0" xfId="12" applyFont="1" applyFill="1"/>
    <xf numFmtId="0" fontId="13" fillId="3" borderId="1" xfId="12" applyFont="1" applyFill="1" applyBorder="1" applyAlignment="1">
      <alignment horizontal="left" vertical="center"/>
    </xf>
    <xf numFmtId="0" fontId="12" fillId="3" borderId="11" xfId="12" applyFont="1" applyFill="1" applyBorder="1" applyAlignment="1">
      <alignment horizontal="left" vertical="center"/>
    </xf>
    <xf numFmtId="0" fontId="12" fillId="3" borderId="31" xfId="12" applyFont="1" applyFill="1" applyBorder="1" applyAlignment="1">
      <alignment horizontal="left"/>
    </xf>
    <xf numFmtId="0" fontId="12" fillId="3" borderId="1" xfId="12" applyFont="1" applyFill="1" applyBorder="1" applyAlignment="1">
      <alignment horizontal="left" vertical="top"/>
    </xf>
    <xf numFmtId="0" fontId="12" fillId="3" borderId="7" xfId="12" applyFont="1" applyFill="1" applyBorder="1" applyAlignment="1">
      <alignment horizontal="left"/>
    </xf>
    <xf numFmtId="0" fontId="12" fillId="3" borderId="11" xfId="12" applyFont="1" applyFill="1" applyBorder="1" applyAlignment="1">
      <alignment horizontal="left"/>
    </xf>
    <xf numFmtId="0" fontId="12" fillId="3" borderId="13" xfId="12" applyFont="1" applyFill="1" applyBorder="1" applyAlignment="1">
      <alignment horizontal="left"/>
    </xf>
    <xf numFmtId="0" fontId="5" fillId="2" borderId="0" xfId="3" applyFont="1" applyFill="1" applyAlignment="1">
      <alignment horizontal="center" wrapText="1"/>
    </xf>
    <xf numFmtId="0" fontId="5" fillId="2" borderId="0" xfId="12" applyFont="1" applyFill="1" applyAlignment="1">
      <alignment horizontal="right"/>
    </xf>
    <xf numFmtId="0" fontId="5" fillId="2" borderId="7" xfId="12" applyFont="1" applyFill="1" applyBorder="1" applyAlignment="1">
      <alignment horizontal="right"/>
    </xf>
    <xf numFmtId="2" fontId="12" fillId="3" borderId="0" xfId="3" applyNumberFormat="1" applyFont="1" applyFill="1" applyAlignment="1">
      <alignment vertical="center" wrapText="1"/>
    </xf>
    <xf numFmtId="2" fontId="12" fillId="3" borderId="1" xfId="3" applyNumberFormat="1" applyFont="1" applyFill="1" applyBorder="1" applyAlignment="1">
      <alignment horizontal="left" vertical="center"/>
    </xf>
    <xf numFmtId="0" fontId="25" fillId="3" borderId="1" xfId="3" applyFont="1" applyFill="1" applyBorder="1" applyAlignment="1">
      <alignment vertical="center"/>
    </xf>
    <xf numFmtId="0" fontId="25" fillId="3" borderId="0" xfId="3" applyFont="1" applyFill="1" applyAlignment="1">
      <alignment vertical="center" wrapText="1"/>
    </xf>
    <xf numFmtId="0" fontId="33" fillId="3" borderId="0" xfId="3" applyFont="1" applyFill="1" applyAlignment="1">
      <alignment vertical="top" wrapText="1"/>
    </xf>
    <xf numFmtId="2" fontId="14" fillId="3" borderId="24" xfId="12" applyNumberFormat="1" applyFont="1" applyFill="1" applyBorder="1" applyAlignment="1">
      <alignment vertical="center"/>
    </xf>
    <xf numFmtId="0" fontId="20" fillId="3" borderId="5" xfId="12" applyFont="1" applyFill="1" applyBorder="1" applyAlignment="1">
      <alignment horizontal="left" vertical="center"/>
    </xf>
    <xf numFmtId="0" fontId="12" fillId="3" borderId="4" xfId="12" applyFont="1" applyFill="1" applyBorder="1" applyAlignment="1">
      <alignment vertical="center"/>
    </xf>
    <xf numFmtId="0" fontId="12" fillId="3" borderId="23" xfId="12" applyFont="1" applyFill="1" applyBorder="1" applyAlignment="1">
      <alignment vertical="center"/>
    </xf>
    <xf numFmtId="0" fontId="14" fillId="3" borderId="0" xfId="0" applyFont="1" applyFill="1" applyAlignment="1">
      <alignment horizontal="left" vertical="center"/>
    </xf>
    <xf numFmtId="164" fontId="14" fillId="3" borderId="0" xfId="0" applyNumberFormat="1" applyFont="1" applyFill="1" applyAlignment="1">
      <alignment horizontal="right" vertical="center" wrapText="1"/>
    </xf>
    <xf numFmtId="0" fontId="14" fillId="3" borderId="0" xfId="0" applyFont="1" applyFill="1" applyAlignment="1">
      <alignment horizontal="left" vertical="center" indent="1"/>
    </xf>
    <xf numFmtId="0" fontId="14" fillId="3" borderId="14" xfId="0" applyFont="1" applyFill="1" applyBorder="1" applyAlignment="1">
      <alignment horizontal="left" vertical="center" indent="1"/>
    </xf>
    <xf numFmtId="164" fontId="14" fillId="3" borderId="14" xfId="0" applyNumberFormat="1" applyFont="1" applyFill="1" applyBorder="1" applyAlignment="1">
      <alignment horizontal="right" vertical="center" wrapText="1"/>
    </xf>
    <xf numFmtId="164" fontId="14" fillId="3" borderId="4" xfId="0" applyNumberFormat="1" applyFont="1" applyFill="1" applyBorder="1" applyAlignment="1">
      <alignment horizontal="right" vertical="center" wrapText="1"/>
    </xf>
    <xf numFmtId="164" fontId="14" fillId="3" borderId="30" xfId="0" applyNumberFormat="1" applyFont="1" applyFill="1" applyBorder="1" applyAlignment="1">
      <alignment horizontal="right" vertical="center" wrapText="1"/>
    </xf>
    <xf numFmtId="0" fontId="14" fillId="3" borderId="0" xfId="0" applyFont="1" applyFill="1" applyAlignment="1">
      <alignment horizontal="left" vertical="center" shrinkToFit="1"/>
    </xf>
    <xf numFmtId="0" fontId="14" fillId="3" borderId="14" xfId="0" applyFont="1" applyFill="1" applyBorder="1" applyAlignment="1">
      <alignment horizontal="left" vertical="center"/>
    </xf>
    <xf numFmtId="0" fontId="14" fillId="4" borderId="4" xfId="0" applyFont="1" applyFill="1" applyBorder="1" applyAlignment="1">
      <alignment horizontal="left" vertical="center"/>
    </xf>
    <xf numFmtId="167" fontId="14" fillId="3" borderId="0" xfId="4" applyNumberFormat="1" applyFont="1" applyFill="1" applyBorder="1" applyAlignment="1">
      <alignment horizontal="right" vertical="center" wrapText="1"/>
    </xf>
    <xf numFmtId="3" fontId="14" fillId="3" borderId="14" xfId="0" applyNumberFormat="1" applyFont="1" applyFill="1" applyBorder="1" applyAlignment="1">
      <alignment horizontal="right" vertical="center" wrapText="1"/>
    </xf>
    <xf numFmtId="0" fontId="17" fillId="3" borderId="0" xfId="0" applyFont="1" applyFill="1" applyAlignment="1">
      <alignment horizontal="left" vertical="center"/>
    </xf>
    <xf numFmtId="164" fontId="17" fillId="3" borderId="0" xfId="0" applyNumberFormat="1" applyFont="1" applyFill="1" applyAlignment="1">
      <alignment horizontal="right" vertical="center"/>
    </xf>
    <xf numFmtId="0" fontId="12" fillId="3" borderId="4" xfId="0" applyFont="1" applyFill="1" applyBorder="1" applyAlignment="1">
      <alignment horizontal="left" vertical="center"/>
    </xf>
    <xf numFmtId="164" fontId="12" fillId="3" borderId="4" xfId="0" applyNumberFormat="1" applyFont="1" applyFill="1" applyBorder="1" applyAlignment="1">
      <alignment horizontal="left" vertical="center"/>
    </xf>
    <xf numFmtId="0" fontId="12" fillId="3" borderId="12" xfId="0" applyFont="1" applyFill="1" applyBorder="1" applyAlignment="1">
      <alignment horizontal="left" vertical="center"/>
    </xf>
    <xf numFmtId="164" fontId="12" fillId="3" borderId="12" xfId="0" applyNumberFormat="1" applyFont="1" applyFill="1" applyBorder="1" applyAlignment="1">
      <alignment horizontal="left" vertical="center"/>
    </xf>
    <xf numFmtId="164" fontId="14" fillId="3" borderId="30" xfId="7" applyNumberFormat="1" applyFont="1" applyFill="1" applyBorder="1" applyAlignment="1">
      <alignment vertical="center"/>
    </xf>
    <xf numFmtId="2" fontId="14" fillId="6" borderId="0" xfId="7" applyNumberFormat="1" applyFont="1" applyFill="1" applyAlignment="1">
      <alignment vertical="center"/>
    </xf>
    <xf numFmtId="0" fontId="5" fillId="0" borderId="0" xfId="0" applyFont="1" applyAlignment="1">
      <alignment horizontal="left" vertical="top"/>
    </xf>
    <xf numFmtId="168" fontId="5" fillId="0" borderId="0" xfId="0" applyNumberFormat="1" applyFont="1" applyAlignment="1">
      <alignment horizontal="left" vertical="top"/>
    </xf>
    <xf numFmtId="164" fontId="19" fillId="5" borderId="30" xfId="14" applyNumberFormat="1" applyFont="1" applyFill="1" applyBorder="1" applyAlignment="1">
      <alignment horizontal="right" vertical="top"/>
    </xf>
    <xf numFmtId="0" fontId="19" fillId="3" borderId="0" xfId="0" applyFont="1" applyFill="1" applyAlignment="1">
      <alignment horizontal="left" vertical="center"/>
    </xf>
    <xf numFmtId="2" fontId="19" fillId="3" borderId="30" xfId="7" applyNumberFormat="1" applyFont="1" applyFill="1" applyBorder="1" applyAlignment="1">
      <alignment horizontal="left" vertical="center"/>
    </xf>
    <xf numFmtId="2" fontId="19" fillId="3" borderId="27" xfId="7" applyNumberFormat="1" applyFont="1" applyFill="1" applyBorder="1" applyAlignment="1">
      <alignment horizontal="left" vertical="center"/>
    </xf>
    <xf numFmtId="0" fontId="14" fillId="3" borderId="30" xfId="0" applyFont="1" applyFill="1" applyBorder="1" applyAlignment="1">
      <alignment horizontal="left" vertical="center"/>
    </xf>
    <xf numFmtId="0" fontId="14" fillId="3" borderId="30" xfId="0" applyFont="1" applyFill="1" applyBorder="1" applyAlignment="1">
      <alignment horizontal="left" vertical="center" shrinkToFit="1"/>
    </xf>
    <xf numFmtId="0" fontId="14" fillId="3" borderId="0" xfId="12" applyFont="1" applyFill="1" applyAlignment="1">
      <alignment vertical="center"/>
    </xf>
    <xf numFmtId="0" fontId="5" fillId="3" borderId="0" xfId="5" applyFont="1" applyFill="1" applyAlignment="1">
      <alignment vertical="center"/>
    </xf>
    <xf numFmtId="164" fontId="5" fillId="3" borderId="0" xfId="5" applyNumberFormat="1" applyFont="1" applyFill="1" applyAlignment="1">
      <alignment vertical="center"/>
    </xf>
    <xf numFmtId="164" fontId="14" fillId="3" borderId="0" xfId="12" applyNumberFormat="1" applyFont="1" applyFill="1" applyAlignment="1">
      <alignment horizontal="right" vertical="center"/>
    </xf>
    <xf numFmtId="164" fontId="14" fillId="3" borderId="0" xfId="5" applyNumberFormat="1" applyFont="1" applyFill="1" applyAlignment="1">
      <alignment horizontal="right" vertical="center"/>
    </xf>
    <xf numFmtId="164" fontId="14" fillId="3" borderId="7" xfId="5" applyNumberFormat="1" applyFont="1" applyFill="1" applyBorder="1" applyAlignment="1">
      <alignment horizontal="right" vertical="center"/>
    </xf>
    <xf numFmtId="164" fontId="14" fillId="3" borderId="19" xfId="12" applyNumberFormat="1" applyFont="1" applyFill="1" applyBorder="1" applyAlignment="1">
      <alignment horizontal="right" vertical="center"/>
    </xf>
    <xf numFmtId="164" fontId="14" fillId="3" borderId="1" xfId="12" applyNumberFormat="1" applyFont="1" applyFill="1" applyBorder="1" applyAlignment="1">
      <alignment horizontal="right" vertical="center"/>
    </xf>
    <xf numFmtId="164" fontId="19" fillId="3" borderId="0" xfId="5" applyNumberFormat="1" applyFont="1" applyFill="1" applyAlignment="1">
      <alignment horizontal="right" vertical="center"/>
    </xf>
    <xf numFmtId="164" fontId="19" fillId="3" borderId="7" xfId="5" applyNumberFormat="1" applyFont="1" applyFill="1" applyBorder="1" applyAlignment="1">
      <alignment horizontal="right" vertical="center"/>
    </xf>
    <xf numFmtId="0" fontId="14" fillId="3" borderId="1" xfId="12" applyFont="1" applyFill="1" applyBorder="1" applyAlignment="1">
      <alignment horizontal="left" vertical="center" indent="1"/>
    </xf>
    <xf numFmtId="0" fontId="5" fillId="0" borderId="0" xfId="0" applyFont="1" applyAlignment="1">
      <alignment horizontal="left"/>
    </xf>
    <xf numFmtId="164" fontId="14" fillId="3" borderId="0" xfId="12" applyNumberFormat="1" applyFont="1" applyFill="1" applyAlignment="1">
      <alignment vertical="center"/>
    </xf>
    <xf numFmtId="164" fontId="14" fillId="3" borderId="0" xfId="5" applyNumberFormat="1" applyFont="1" applyFill="1" applyAlignment="1">
      <alignment vertical="center"/>
    </xf>
    <xf numFmtId="164" fontId="14" fillId="3" borderId="7" xfId="5" applyNumberFormat="1" applyFont="1" applyFill="1" applyBorder="1" applyAlignment="1">
      <alignment vertical="center"/>
    </xf>
    <xf numFmtId="164" fontId="14" fillId="3" borderId="19" xfId="12" applyNumberFormat="1" applyFont="1" applyFill="1" applyBorder="1" applyAlignment="1">
      <alignment vertical="center"/>
    </xf>
    <xf numFmtId="2" fontId="19" fillId="3" borderId="24" xfId="12" applyNumberFormat="1" applyFont="1" applyFill="1" applyBorder="1" applyAlignment="1">
      <alignment vertical="center"/>
    </xf>
    <xf numFmtId="1" fontId="19" fillId="3" borderId="5" xfId="12" applyNumberFormat="1" applyFont="1" applyFill="1" applyBorder="1" applyAlignment="1">
      <alignment vertical="center"/>
    </xf>
    <xf numFmtId="1" fontId="19" fillId="3" borderId="5" xfId="5" applyNumberFormat="1" applyFont="1" applyFill="1" applyBorder="1" applyAlignment="1">
      <alignment vertical="center"/>
    </xf>
    <xf numFmtId="1" fontId="19" fillId="3" borderId="6" xfId="5" applyNumberFormat="1" applyFont="1" applyFill="1" applyBorder="1" applyAlignment="1">
      <alignment vertical="center"/>
    </xf>
    <xf numFmtId="164" fontId="5" fillId="3" borderId="0" xfId="12" applyNumberFormat="1" applyFont="1" applyFill="1" applyAlignment="1">
      <alignment vertical="center"/>
    </xf>
    <xf numFmtId="164" fontId="19" fillId="3" borderId="0" xfId="5" applyNumberFormat="1" applyFont="1" applyFill="1" applyAlignment="1">
      <alignment vertical="center"/>
    </xf>
    <xf numFmtId="164" fontId="19" fillId="3" borderId="7" xfId="5" applyNumberFormat="1" applyFont="1" applyFill="1" applyBorder="1" applyAlignment="1">
      <alignment vertical="center"/>
    </xf>
    <xf numFmtId="164" fontId="14" fillId="0" borderId="0" xfId="12" applyNumberFormat="1" applyFont="1" applyAlignment="1">
      <alignment vertical="center"/>
    </xf>
    <xf numFmtId="164" fontId="14" fillId="3" borderId="14" xfId="5" applyNumberFormat="1" applyFont="1" applyFill="1" applyBorder="1" applyAlignment="1">
      <alignment vertical="center"/>
    </xf>
    <xf numFmtId="164" fontId="14" fillId="3" borderId="20" xfId="5" applyNumberFormat="1" applyFont="1" applyFill="1" applyBorder="1" applyAlignment="1">
      <alignment vertical="center"/>
    </xf>
    <xf numFmtId="164" fontId="19" fillId="3" borderId="5" xfId="12" applyNumberFormat="1" applyFont="1" applyFill="1" applyBorder="1" applyAlignment="1">
      <alignment vertical="center"/>
    </xf>
    <xf numFmtId="164" fontId="19" fillId="3" borderId="5" xfId="5" applyNumberFormat="1" applyFont="1" applyFill="1" applyBorder="1" applyAlignment="1">
      <alignment vertical="center"/>
    </xf>
    <xf numFmtId="164" fontId="19" fillId="3" borderId="6" xfId="5" applyNumberFormat="1" applyFont="1" applyFill="1" applyBorder="1" applyAlignment="1">
      <alignment vertical="center"/>
    </xf>
    <xf numFmtId="1" fontId="19" fillId="3" borderId="14" xfId="5" applyNumberFormat="1" applyFont="1" applyFill="1" applyBorder="1" applyAlignment="1">
      <alignment vertical="center"/>
    </xf>
    <xf numFmtId="1" fontId="19" fillId="3" borderId="20" xfId="5" applyNumberFormat="1" applyFont="1" applyFill="1" applyBorder="1" applyAlignment="1">
      <alignment vertical="center"/>
    </xf>
    <xf numFmtId="0" fontId="14" fillId="3" borderId="1" xfId="12" applyFont="1" applyFill="1" applyBorder="1" applyAlignment="1">
      <alignment horizontal="left" vertical="center" wrapText="1" indent="1"/>
    </xf>
    <xf numFmtId="2" fontId="5" fillId="0" borderId="14" xfId="3" applyNumberFormat="1" applyFont="1" applyBorder="1"/>
    <xf numFmtId="0" fontId="14" fillId="2" borderId="2" xfId="11" applyFont="1" applyFill="1" applyBorder="1" applyAlignment="1">
      <alignment horizontal="center" vertical="center"/>
    </xf>
    <xf numFmtId="0" fontId="14" fillId="2" borderId="3" xfId="11" applyFont="1" applyFill="1" applyBorder="1" applyAlignment="1">
      <alignment horizontal="center" vertical="center"/>
    </xf>
    <xf numFmtId="0" fontId="14" fillId="2" borderId="5" xfId="11" applyFont="1" applyFill="1" applyBorder="1" applyAlignment="1">
      <alignment horizontal="center" vertical="center"/>
    </xf>
    <xf numFmtId="0" fontId="14" fillId="2" borderId="6" xfId="11" applyFont="1" applyFill="1" applyBorder="1" applyAlignment="1">
      <alignment horizontal="center" vertical="center"/>
    </xf>
    <xf numFmtId="0" fontId="5" fillId="2" borderId="2" xfId="3" applyFont="1" applyFill="1" applyBorder="1" applyAlignment="1">
      <alignment horizontal="center" vertical="center"/>
    </xf>
    <xf numFmtId="0" fontId="22" fillId="2" borderId="2" xfId="3" applyFont="1" applyFill="1" applyBorder="1" applyAlignment="1">
      <alignment horizontal="center" vertical="center"/>
    </xf>
    <xf numFmtId="0" fontId="23" fillId="2" borderId="16" xfId="3" applyFont="1" applyFill="1" applyBorder="1" applyAlignment="1">
      <alignment horizontal="center" vertical="center" wrapText="1"/>
    </xf>
    <xf numFmtId="0" fontId="23" fillId="2" borderId="7" xfId="3" applyFont="1" applyFill="1" applyBorder="1" applyAlignment="1">
      <alignment horizontal="center" vertical="center" wrapText="1"/>
    </xf>
    <xf numFmtId="0" fontId="22" fillId="2" borderId="5" xfId="3" applyFont="1" applyFill="1" applyBorder="1" applyAlignment="1">
      <alignment horizontal="center" vertical="top"/>
    </xf>
    <xf numFmtId="2" fontId="12" fillId="0" borderId="44" xfId="12" applyNumberFormat="1" applyFont="1" applyBorder="1" applyAlignment="1">
      <alignment horizontal="left" vertical="top" wrapText="1"/>
    </xf>
    <xf numFmtId="2" fontId="12" fillId="0" borderId="4" xfId="12" applyNumberFormat="1" applyFont="1" applyBorder="1" applyAlignment="1">
      <alignment horizontal="left" vertical="top" wrapText="1"/>
    </xf>
    <xf numFmtId="2" fontId="12" fillId="0" borderId="19" xfId="12" applyNumberFormat="1" applyFont="1" applyBorder="1" applyAlignment="1">
      <alignment horizontal="left" vertical="top" wrapText="1"/>
    </xf>
    <xf numFmtId="2" fontId="12" fillId="0" borderId="0" xfId="12" applyNumberFormat="1" applyFont="1" applyAlignment="1">
      <alignment horizontal="left" vertical="top" wrapText="1"/>
    </xf>
    <xf numFmtId="2" fontId="12" fillId="0" borderId="43" xfId="12" applyNumberFormat="1" applyFont="1" applyBorder="1" applyAlignment="1">
      <alignment horizontal="left" vertical="top" wrapText="1"/>
    </xf>
    <xf numFmtId="2" fontId="12" fillId="0" borderId="12" xfId="12" applyNumberFormat="1" applyFont="1" applyBorder="1" applyAlignment="1">
      <alignment horizontal="left" vertical="top" wrapText="1"/>
    </xf>
    <xf numFmtId="0" fontId="25" fillId="0" borderId="4" xfId="12" applyFont="1" applyBorder="1" applyAlignment="1">
      <alignment horizontal="left" vertical="top" wrapText="1"/>
    </xf>
    <xf numFmtId="0" fontId="25" fillId="0" borderId="31" xfId="12" applyFont="1" applyBorder="1" applyAlignment="1">
      <alignment horizontal="left" vertical="top" wrapText="1"/>
    </xf>
    <xf numFmtId="0" fontId="25" fillId="0" borderId="0" xfId="12" applyFont="1" applyAlignment="1">
      <alignment horizontal="left" vertical="top" wrapText="1"/>
    </xf>
    <xf numFmtId="0" fontId="25" fillId="0" borderId="7" xfId="12" applyFont="1" applyBorder="1" applyAlignment="1">
      <alignment horizontal="left" vertical="top" wrapText="1"/>
    </xf>
    <xf numFmtId="0" fontId="25" fillId="0" borderId="12" xfId="12" applyFont="1" applyBorder="1" applyAlignment="1">
      <alignment horizontal="left" vertical="top" wrapText="1"/>
    </xf>
    <xf numFmtId="0" fontId="25" fillId="0" borderId="13" xfId="12" applyFont="1" applyBorder="1" applyAlignment="1">
      <alignment horizontal="left" vertical="top" wrapText="1"/>
    </xf>
    <xf numFmtId="0" fontId="5" fillId="2" borderId="5" xfId="3" applyFont="1" applyFill="1" applyBorder="1" applyAlignment="1">
      <alignment horizontal="center" vertical="top"/>
    </xf>
    <xf numFmtId="0" fontId="14" fillId="4" borderId="2" xfId="12" applyFont="1" applyFill="1" applyBorder="1" applyAlignment="1">
      <alignment horizontal="center" vertical="center"/>
    </xf>
    <xf numFmtId="0" fontId="14" fillId="4" borderId="21" xfId="12" applyFont="1" applyFill="1" applyBorder="1" applyAlignment="1">
      <alignment horizontal="center" vertical="center"/>
    </xf>
    <xf numFmtId="0" fontId="14" fillId="4" borderId="5" xfId="12" applyFont="1" applyFill="1" applyBorder="1" applyAlignment="1">
      <alignment horizontal="center" vertical="center"/>
    </xf>
    <xf numFmtId="0" fontId="14" fillId="4" borderId="22" xfId="12" applyFont="1" applyFill="1" applyBorder="1" applyAlignment="1">
      <alignment horizontal="center" vertical="center"/>
    </xf>
    <xf numFmtId="0" fontId="12" fillId="3" borderId="1" xfId="12" applyFont="1" applyFill="1" applyBorder="1" applyAlignment="1">
      <alignment horizontal="left" vertical="center" wrapText="1"/>
    </xf>
    <xf numFmtId="0" fontId="12" fillId="3" borderId="0" xfId="12" applyFont="1" applyFill="1" applyAlignment="1">
      <alignment horizontal="left" vertical="center" wrapText="1"/>
    </xf>
    <xf numFmtId="0" fontId="12" fillId="3" borderId="23" xfId="12" applyFont="1" applyFill="1" applyBorder="1" applyAlignment="1">
      <alignment horizontal="left" vertical="center" wrapText="1"/>
    </xf>
    <xf numFmtId="0" fontId="12" fillId="3" borderId="7" xfId="12" applyFont="1" applyFill="1" applyBorder="1" applyAlignment="1">
      <alignment horizontal="left" vertical="center" wrapText="1"/>
    </xf>
    <xf numFmtId="0" fontId="12" fillId="3" borderId="11" xfId="12" applyFont="1" applyFill="1" applyBorder="1" applyAlignment="1">
      <alignment horizontal="left" vertical="center"/>
    </xf>
    <xf numFmtId="0" fontId="12" fillId="3" borderId="12" xfId="12" applyFont="1" applyFill="1" applyBorder="1" applyAlignment="1">
      <alignment horizontal="left" vertical="center"/>
    </xf>
    <xf numFmtId="164" fontId="5" fillId="2" borderId="2" xfId="5" applyNumberFormat="1" applyFont="1" applyFill="1" applyBorder="1" applyAlignment="1">
      <alignment horizontal="center" vertical="center" wrapText="1"/>
    </xf>
    <xf numFmtId="164" fontId="5" fillId="2" borderId="3" xfId="5" applyNumberFormat="1" applyFont="1" applyFill="1" applyBorder="1" applyAlignment="1">
      <alignment horizontal="center" vertical="center" wrapText="1"/>
    </xf>
    <xf numFmtId="164" fontId="5" fillId="2" borderId="14" xfId="5" applyNumberFormat="1" applyFont="1" applyFill="1" applyBorder="1" applyAlignment="1">
      <alignment horizontal="center" vertical="center" wrapText="1"/>
    </xf>
    <xf numFmtId="164" fontId="5" fillId="2" borderId="20" xfId="5" applyNumberFormat="1" applyFont="1" applyFill="1" applyBorder="1" applyAlignment="1">
      <alignment horizontal="center" vertical="center" wrapText="1"/>
    </xf>
    <xf numFmtId="164" fontId="14" fillId="2" borderId="15" xfId="5" applyNumberFormat="1" applyFont="1" applyFill="1" applyBorder="1" applyAlignment="1">
      <alignment horizontal="center" vertical="center" wrapText="1"/>
    </xf>
    <xf numFmtId="164" fontId="14" fillId="2" borderId="5" xfId="5" applyNumberFormat="1" applyFont="1" applyFill="1" applyBorder="1" applyAlignment="1">
      <alignment horizontal="center" vertical="center" wrapText="1"/>
    </xf>
    <xf numFmtId="0" fontId="12" fillId="3" borderId="18" xfId="12" applyFont="1" applyFill="1" applyBorder="1" applyAlignment="1">
      <alignment horizontal="left" vertical="center"/>
    </xf>
    <xf numFmtId="0" fontId="12" fillId="3" borderId="4" xfId="12" applyFont="1" applyFill="1" applyBorder="1" applyAlignment="1">
      <alignment horizontal="left" vertical="center"/>
    </xf>
    <xf numFmtId="0" fontId="14" fillId="4" borderId="2" xfId="3" applyFont="1" applyFill="1" applyBorder="1" applyAlignment="1">
      <alignment horizontal="center" vertical="center"/>
    </xf>
    <xf numFmtId="0" fontId="14" fillId="4" borderId="3" xfId="3" applyFont="1" applyFill="1" applyBorder="1" applyAlignment="1">
      <alignment horizontal="center" vertical="center"/>
    </xf>
    <xf numFmtId="0" fontId="14" fillId="4" borderId="5" xfId="3" applyFont="1" applyFill="1" applyBorder="1" applyAlignment="1">
      <alignment horizontal="center" vertical="center"/>
    </xf>
    <xf numFmtId="0" fontId="14" fillId="4" borderId="6" xfId="3" applyFont="1" applyFill="1" applyBorder="1" applyAlignment="1">
      <alignment horizontal="center" vertical="center"/>
    </xf>
    <xf numFmtId="0" fontId="14" fillId="4" borderId="4" xfId="0" applyFont="1" applyFill="1" applyBorder="1" applyAlignment="1">
      <alignment horizontal="center" vertical="center" wrapText="1"/>
    </xf>
    <xf numFmtId="0" fontId="14" fillId="4" borderId="31" xfId="0" applyFont="1" applyFill="1" applyBorder="1" applyAlignment="1">
      <alignment horizontal="center" vertical="center" wrapText="1"/>
    </xf>
    <xf numFmtId="0" fontId="14" fillId="2" borderId="4" xfId="12" applyFont="1" applyFill="1" applyBorder="1" applyAlignment="1">
      <alignment horizontal="center" vertical="center" wrapText="1"/>
    </xf>
    <xf numFmtId="0" fontId="14" fillId="6" borderId="33" xfId="7" applyFont="1" applyFill="1" applyBorder="1" applyAlignment="1">
      <alignment horizontal="center" vertical="center"/>
    </xf>
    <xf numFmtId="0" fontId="14" fillId="6" borderId="36" xfId="7" applyFont="1" applyFill="1" applyBorder="1" applyAlignment="1">
      <alignment horizontal="center" vertical="center"/>
    </xf>
    <xf numFmtId="2" fontId="14" fillId="6" borderId="34" xfId="7" applyNumberFormat="1" applyFont="1" applyFill="1" applyBorder="1" applyAlignment="1">
      <alignment horizontal="center" vertical="center"/>
    </xf>
    <xf numFmtId="2" fontId="14" fillId="6" borderId="37" xfId="7" applyNumberFormat="1" applyFont="1" applyFill="1" applyBorder="1" applyAlignment="1">
      <alignment horizontal="center" vertical="center"/>
    </xf>
    <xf numFmtId="0" fontId="12" fillId="3" borderId="45" xfId="12" applyFont="1" applyFill="1" applyBorder="1" applyAlignment="1">
      <alignment horizontal="left" vertical="center" wrapText="1"/>
    </xf>
    <xf numFmtId="0" fontId="12" fillId="3" borderId="46" xfId="12" applyFont="1" applyFill="1" applyBorder="1" applyAlignment="1">
      <alignment horizontal="left" vertical="center" wrapText="1"/>
    </xf>
    <xf numFmtId="0" fontId="12" fillId="3" borderId="44" xfId="12" applyFont="1" applyFill="1" applyBorder="1" applyAlignment="1">
      <alignment horizontal="left" vertical="center" wrapText="1"/>
    </xf>
    <xf numFmtId="0" fontId="12" fillId="3" borderId="4" xfId="12" applyFont="1" applyFill="1" applyBorder="1" applyAlignment="1">
      <alignment horizontal="left" vertical="center" wrapText="1"/>
    </xf>
  </cellXfs>
  <cellStyles count="21">
    <cellStyle name="Comma 2" xfId="4" xr:uid="{B67F074F-BD84-4FCB-8C8D-A11096C895F7}"/>
    <cellStyle name="Comma 2 2" xfId="13" xr:uid="{E30CF741-D41D-4DDA-B94E-8199B4A5279E}"/>
    <cellStyle name="Comma 6" xfId="16" xr:uid="{DEA4753B-E798-4655-88F6-E1E7BCD31B06}"/>
    <cellStyle name="Hyperlink" xfId="10" builtinId="8"/>
    <cellStyle name="Hyperlink 2" xfId="6" xr:uid="{851A1165-F579-4DC3-8077-354D1396B178}"/>
    <cellStyle name="Hyperlink 3" xfId="15" xr:uid="{E37B96CC-C836-4F53-9FB8-39DEE5562850}"/>
    <cellStyle name="Normal" xfId="0" builtinId="0"/>
    <cellStyle name="Normal 10 4" xfId="1" xr:uid="{643FAEDC-A40C-451B-9E28-6036580682D4}"/>
    <cellStyle name="Normal 102" xfId="5" xr:uid="{40656774-63C8-4DBC-AA0F-C2FCBDF280D0}"/>
    <cellStyle name="Normal 2" xfId="3" xr:uid="{690A72D7-7C4E-4FC1-9218-7D2B5A4E7F98}"/>
    <cellStyle name="Normal 2 12 3" xfId="12" xr:uid="{AA341668-71F7-444A-857E-6706CF9EF27E}"/>
    <cellStyle name="Normal 2 2" xfId="19" xr:uid="{24B36C8F-82F4-41A7-AAD7-E5DD56EE9306}"/>
    <cellStyle name="Normal 2 3" xfId="7" xr:uid="{B784B15E-17D0-48E9-A648-12FCADE8DD82}"/>
    <cellStyle name="Normal 24 2 2" xfId="17" xr:uid="{20F9D97B-BFFC-4790-AE9A-B29EC0CEE700}"/>
    <cellStyle name="Normal 26" xfId="8" xr:uid="{8BA277C9-C786-4442-A1A1-936AA60A7B15}"/>
    <cellStyle name="Normal 45 2 2" xfId="18" xr:uid="{2164AEC5-1B38-4AA1-8A91-06E1F68DF307}"/>
    <cellStyle name="Normal 49 2" xfId="20" xr:uid="{CAFFD335-DA61-4C60-BD49-C2EF3034A130}"/>
    <cellStyle name="Normal_SOBR table1" xfId="11" xr:uid="{9662826F-EE87-42AC-B1C4-F5EEAA5374EF}"/>
    <cellStyle name="Normal_Table 4.4 2" xfId="14" xr:uid="{93098734-86B4-437D-95CD-028DAA9E4E66}"/>
    <cellStyle name="Per cent" xfId="9" builtinId="5"/>
    <cellStyle name="Percent 2" xfId="2" xr:uid="{B8A65B1A-D569-4F92-A1FC-DC7763A8747A}"/>
  </cellStyles>
  <dxfs count="3">
    <dxf>
      <font>
        <b/>
        <i val="0"/>
        <condense val="0"/>
        <extend val="0"/>
        <color indexed="36"/>
      </font>
      <fill>
        <patternFill>
          <bgColor indexed="9"/>
        </patternFill>
      </fill>
    </dxf>
    <dxf>
      <font>
        <b/>
        <i val="0"/>
        <condense val="0"/>
        <extend val="0"/>
        <color indexed="36"/>
      </font>
      <fill>
        <patternFill>
          <bgColor indexed="9"/>
        </patternFill>
      </fill>
    </dxf>
    <dxf>
      <numFmt numFmtId="3" formatCode="#,##0"/>
    </dxf>
  </dxfs>
  <tableStyles count="0" defaultTableStyle="TableStyleMedium2" defaultPivotStyle="PivotStyleLight16"/>
  <colors>
    <mruColors>
      <color rgb="FFCAE8A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EFO_2020">
  <a:themeElements>
    <a:clrScheme name="Custom 52">
      <a:dk1>
        <a:srgbClr val="000000"/>
      </a:dk1>
      <a:lt1>
        <a:sysClr val="window" lastClr="FFFFFF"/>
      </a:lt1>
      <a:dk2>
        <a:srgbClr val="477391"/>
      </a:dk2>
      <a:lt2>
        <a:srgbClr val="FFFFFF"/>
      </a:lt2>
      <a:accent1>
        <a:srgbClr val="DBE3E8"/>
      </a:accent1>
      <a:accent2>
        <a:srgbClr val="B5C7D4"/>
      </a:accent2>
      <a:accent3>
        <a:srgbClr val="91ABBD"/>
      </a:accent3>
      <a:accent4>
        <a:srgbClr val="6B8FA8"/>
      </a:accent4>
      <a:accent5>
        <a:srgbClr val="477391"/>
      </a:accent5>
      <a:accent6>
        <a:srgbClr val="FFFFFF"/>
      </a:accent6>
      <a:hlink>
        <a:srgbClr val="477391"/>
      </a:hlink>
      <a:folHlink>
        <a:srgbClr val="91ABBD"/>
      </a:folHlink>
    </a:clrScheme>
    <a:fontScheme name="Custom 1">
      <a:majorFont>
        <a:latin typeface="Futura Bk BT"/>
        <a:ea typeface=""/>
        <a:cs typeface=""/>
      </a:majorFont>
      <a:minorFont>
        <a:latin typeface="Futura Bk BT"/>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DF4EC9-6685-423D-BD59-EFDA586F1BA6}">
  <sheetPr codeName="Sheet1"/>
  <dimension ref="A1:B16"/>
  <sheetViews>
    <sheetView showGridLines="0" tabSelected="1" zoomScaleNormal="100" workbookViewId="0"/>
  </sheetViews>
  <sheetFormatPr defaultColWidth="8.77734375" defaultRowHeight="15" x14ac:dyDescent="0.25"/>
  <cols>
    <col min="1" max="1" width="9.21875" style="10" customWidth="1"/>
    <col min="2" max="2" width="111.109375" style="10" customWidth="1"/>
    <col min="3" max="16384" width="8.77734375" style="10"/>
  </cols>
  <sheetData>
    <row r="1" spans="1:2" ht="15.75" thickBot="1" x14ac:dyDescent="0.3">
      <c r="A1" s="180"/>
    </row>
    <row r="2" spans="1:2" ht="21" x14ac:dyDescent="0.35">
      <c r="B2" s="11" t="s">
        <v>272</v>
      </c>
    </row>
    <row r="3" spans="1:2" ht="19.5" x14ac:dyDescent="0.3">
      <c r="B3" s="12" t="s">
        <v>0</v>
      </c>
    </row>
    <row r="4" spans="1:2" x14ac:dyDescent="0.25">
      <c r="B4" s="7" t="s">
        <v>1</v>
      </c>
    </row>
    <row r="5" spans="1:2" x14ac:dyDescent="0.25">
      <c r="B5" s="8" t="s">
        <v>266</v>
      </c>
    </row>
    <row r="6" spans="1:2" x14ac:dyDescent="0.25">
      <c r="B6" s="8" t="s">
        <v>2</v>
      </c>
    </row>
    <row r="7" spans="1:2" x14ac:dyDescent="0.25">
      <c r="B7" s="8" t="s">
        <v>267</v>
      </c>
    </row>
    <row r="8" spans="1:2" x14ac:dyDescent="0.25">
      <c r="B8" s="8" t="s">
        <v>3</v>
      </c>
    </row>
    <row r="9" spans="1:2" x14ac:dyDescent="0.25">
      <c r="B9" s="8" t="s">
        <v>268</v>
      </c>
    </row>
    <row r="10" spans="1:2" x14ac:dyDescent="0.25">
      <c r="B10" s="8" t="s">
        <v>4</v>
      </c>
    </row>
    <row r="11" spans="1:2" x14ac:dyDescent="0.25">
      <c r="B11" s="8" t="s">
        <v>269</v>
      </c>
    </row>
    <row r="12" spans="1:2" x14ac:dyDescent="0.25">
      <c r="B12" s="8" t="s">
        <v>5</v>
      </c>
    </row>
    <row r="13" spans="1:2" x14ac:dyDescent="0.25">
      <c r="B13" s="8" t="s">
        <v>270</v>
      </c>
    </row>
    <row r="14" spans="1:2" x14ac:dyDescent="0.25">
      <c r="B14" s="9" t="s">
        <v>6</v>
      </c>
    </row>
    <row r="15" spans="1:2" x14ac:dyDescent="0.25">
      <c r="B15" s="9" t="s">
        <v>271</v>
      </c>
    </row>
    <row r="16" spans="1:2" ht="15.75" thickBot="1" x14ac:dyDescent="0.3">
      <c r="B16" s="126"/>
    </row>
  </sheetData>
  <hyperlinks>
    <hyperlink ref="B4" location="TA.1!A1" display="TA.1!A1" xr:uid="{FE74C3F9-2675-4E7A-B2AB-36C4BD8E823F}"/>
    <hyperlink ref="B5" location="TA.2!A1" display="TA.2!A1" xr:uid="{91EF2168-A3F6-4769-B68C-92BC549A3471}"/>
    <hyperlink ref="B6" location="TA.3!A1" display="TA.3!A1" xr:uid="{C79C4DC1-E5D3-4C51-9840-C7C264035D17}"/>
    <hyperlink ref="B7" location="TA.4!A1" display="TA.4!A1" xr:uid="{DEC4511E-3B83-4AD3-A12D-D95E1189EAFD}"/>
    <hyperlink ref="B8" location="TA.5!A1" display="TA.5!A1" xr:uid="{DCEB83A8-9FC7-4FD8-A898-62415D203153}"/>
    <hyperlink ref="B9" location="TA.6!A1" display="TA.6!A1" xr:uid="{9B631CB4-74C0-4512-8C3F-6D29AF4AD805}"/>
    <hyperlink ref="B10" location="TA.7!A1" display="TA.7!A1" xr:uid="{12D98B5A-BB57-48EB-897B-3A4876E68981}"/>
    <hyperlink ref="B11" location="TA.8!A1" display="TA.8!A1" xr:uid="{0430958B-6066-426E-A6CB-2421F9E8C202}"/>
    <hyperlink ref="B12" location="TA.9!A1" display="TA.9!A1" xr:uid="{3FC900C5-2177-4F7A-B7B6-4E057FF7EE4F}"/>
    <hyperlink ref="B13" location="TA.10!A1" display="TA.10!A1" xr:uid="{9E674BF8-0BA6-487D-9C02-BD73525C1686}"/>
    <hyperlink ref="B14" location="TA.11!A1" display="TA.11!A1" xr:uid="{951EE29A-4F8B-436B-BD79-31C2F595EB2F}"/>
    <hyperlink ref="B15" location="TA.12!A1" display="TA.12!A1" xr:uid="{5D2DFEDB-6345-4A8F-968D-ACCE4C483EF0}"/>
  </hyperlink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D7F2BD-05C4-454B-90F4-AD4078749CF5}">
  <sheetPr codeName="Sheet3">
    <tabColor theme="6"/>
  </sheetPr>
  <dimension ref="A1"/>
  <sheetViews>
    <sheetView workbookViewId="0"/>
  </sheetViews>
  <sheetFormatPr defaultColWidth="8.88671875" defaultRowHeight="15" x14ac:dyDescent="0.25"/>
  <cols>
    <col min="1" max="16384" width="8.88671875" style="118"/>
  </cols>
  <sheetData>
    <row r="1" spans="1:1" x14ac:dyDescent="0.25">
      <c r="A1" s="179"/>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B99297-A2B4-4A20-AE4E-1F98E42A72FE}">
  <sheetPr codeName="Sheet5"/>
  <dimension ref="A1:I49"/>
  <sheetViews>
    <sheetView showGridLines="0" zoomScaleNormal="100" workbookViewId="0"/>
  </sheetViews>
  <sheetFormatPr defaultColWidth="8.77734375" defaultRowHeight="12.75" x14ac:dyDescent="0.2"/>
  <cols>
    <col min="1" max="1" width="8.77734375" style="1"/>
    <col min="2" max="2" width="29.21875" style="1" customWidth="1"/>
    <col min="3" max="9" width="6.77734375" style="1" customWidth="1"/>
    <col min="10" max="16384" width="8.77734375" style="1"/>
  </cols>
  <sheetData>
    <row r="1" spans="1:9" ht="40.15" customHeight="1" x14ac:dyDescent="0.2">
      <c r="A1" s="3" t="s">
        <v>7</v>
      </c>
    </row>
    <row r="2" spans="1:9" ht="17.25" customHeight="1" thickBot="1" x14ac:dyDescent="0.35">
      <c r="B2" s="2" t="s">
        <v>1</v>
      </c>
    </row>
    <row r="3" spans="1:9" ht="12.75" customHeight="1" x14ac:dyDescent="0.2">
      <c r="B3" s="13"/>
      <c r="C3" s="279" t="s">
        <v>8</v>
      </c>
      <c r="D3" s="279"/>
      <c r="E3" s="279"/>
      <c r="F3" s="279"/>
      <c r="G3" s="279"/>
      <c r="H3" s="279"/>
      <c r="I3" s="280"/>
    </row>
    <row r="4" spans="1:9" ht="12.75" customHeight="1" x14ac:dyDescent="0.2">
      <c r="B4" s="14"/>
      <c r="C4" s="15" t="s">
        <v>9</v>
      </c>
      <c r="D4" s="281" t="s">
        <v>10</v>
      </c>
      <c r="E4" s="281"/>
      <c r="F4" s="281"/>
      <c r="G4" s="281"/>
      <c r="H4" s="281"/>
      <c r="I4" s="282"/>
    </row>
    <row r="5" spans="1:9" ht="12.75" customHeight="1" x14ac:dyDescent="0.2">
      <c r="B5" s="14"/>
      <c r="C5" s="16">
        <v>2025</v>
      </c>
      <c r="D5" s="16">
        <v>2026</v>
      </c>
      <c r="E5" s="16">
        <v>2027</v>
      </c>
      <c r="F5" s="16">
        <v>2028</v>
      </c>
      <c r="G5" s="16">
        <v>2029</v>
      </c>
      <c r="H5" s="16">
        <v>2030</v>
      </c>
      <c r="I5" s="17">
        <v>2031</v>
      </c>
    </row>
    <row r="6" spans="1:9" ht="14.25" customHeight="1" x14ac:dyDescent="0.2">
      <c r="B6" s="187" t="s">
        <v>11</v>
      </c>
      <c r="C6" s="18"/>
      <c r="D6" s="18"/>
      <c r="E6" s="18"/>
      <c r="F6" s="19"/>
      <c r="G6" s="19"/>
      <c r="H6" s="19"/>
      <c r="I6" s="20"/>
    </row>
    <row r="7" spans="1:9" ht="14.25" customHeight="1" x14ac:dyDescent="0.2">
      <c r="B7" s="187" t="s">
        <v>12</v>
      </c>
      <c r="C7" s="21">
        <v>1.7385224380225273</v>
      </c>
      <c r="D7" s="21">
        <v>1.5936185072008335</v>
      </c>
      <c r="E7" s="21">
        <v>0.97537617834475565</v>
      </c>
      <c r="F7" s="22">
        <v>1.2992090766862141</v>
      </c>
      <c r="G7" s="22">
        <v>1.4511487867753248</v>
      </c>
      <c r="H7" s="22">
        <v>1.4716313997643393</v>
      </c>
      <c r="I7" s="23">
        <v>1.4712678091633569</v>
      </c>
    </row>
    <row r="8" spans="1:9" ht="14.25" customHeight="1" x14ac:dyDescent="0.2">
      <c r="B8" s="187" t="s">
        <v>13</v>
      </c>
      <c r="C8" s="24">
        <v>0.6709094925310799</v>
      </c>
      <c r="D8" s="24">
        <v>0.85817397291740871</v>
      </c>
      <c r="E8" s="24">
        <v>0.65762722910682747</v>
      </c>
      <c r="F8" s="24">
        <v>0.99940588341138614</v>
      </c>
      <c r="G8" s="24">
        <v>1.10333396241169</v>
      </c>
      <c r="H8" s="24">
        <v>1.0931175500497714</v>
      </c>
      <c r="I8" s="25">
        <v>1.0993339907935828</v>
      </c>
    </row>
    <row r="9" spans="1:9" ht="14.25" customHeight="1" x14ac:dyDescent="0.2">
      <c r="B9" s="187" t="s">
        <v>14</v>
      </c>
      <c r="C9" s="24">
        <v>1.061365639226608</v>
      </c>
      <c r="D9" s="24">
        <v>0.72883647450170397</v>
      </c>
      <c r="E9" s="24">
        <v>0.31582434316503871</v>
      </c>
      <c r="F9" s="24">
        <v>0.29672512802056961</v>
      </c>
      <c r="G9" s="24">
        <v>0.34397136722192911</v>
      </c>
      <c r="H9" s="24">
        <v>0.37441016333206179</v>
      </c>
      <c r="I9" s="25">
        <v>0.3678753570621085</v>
      </c>
    </row>
    <row r="10" spans="1:9" ht="14.25" customHeight="1" x14ac:dyDescent="0.2">
      <c r="B10" s="187" t="s">
        <v>15</v>
      </c>
      <c r="C10" s="18"/>
      <c r="D10" s="18"/>
      <c r="E10" s="18"/>
      <c r="F10" s="19"/>
      <c r="G10" s="19"/>
      <c r="H10" s="19"/>
      <c r="I10" s="20"/>
    </row>
    <row r="11" spans="1:9" ht="14.25" customHeight="1" x14ac:dyDescent="0.2">
      <c r="B11" s="187" t="s">
        <v>16</v>
      </c>
      <c r="C11" s="24">
        <v>1.314740477112597</v>
      </c>
      <c r="D11" s="24">
        <v>1.2431340887725462</v>
      </c>
      <c r="E11" s="24">
        <v>1.0442946105544193</v>
      </c>
      <c r="F11" s="24">
        <v>1.6294844306453893</v>
      </c>
      <c r="G11" s="24">
        <v>1.804094102262499</v>
      </c>
      <c r="H11" s="24">
        <v>1.6935209530308359</v>
      </c>
      <c r="I11" s="25">
        <v>1.5950660041804232</v>
      </c>
    </row>
    <row r="12" spans="1:9" ht="14.25" customHeight="1" x14ac:dyDescent="0.2">
      <c r="B12" s="187" t="s">
        <v>218</v>
      </c>
      <c r="C12" s="24">
        <v>0.96341254020748668</v>
      </c>
      <c r="D12" s="24">
        <v>1.0430095617675939</v>
      </c>
      <c r="E12" s="24">
        <v>0.89742810289372699</v>
      </c>
      <c r="F12" s="24">
        <v>1.4485462428287743</v>
      </c>
      <c r="G12" s="24">
        <v>1.5857445225188949</v>
      </c>
      <c r="H12" s="24">
        <v>1.445829288412992</v>
      </c>
      <c r="I12" s="25">
        <v>1.3544597473728048</v>
      </c>
    </row>
    <row r="13" spans="1:9" ht="14.25" customHeight="1" x14ac:dyDescent="0.2">
      <c r="B13" s="187" t="s">
        <v>17</v>
      </c>
      <c r="C13" s="24">
        <v>105.38436074532488</v>
      </c>
      <c r="D13" s="24">
        <v>106.69442965798505</v>
      </c>
      <c r="E13" s="24">
        <v>107.80863383666518</v>
      </c>
      <c r="F13" s="24">
        <v>109.56535873992513</v>
      </c>
      <c r="G13" s="24">
        <v>111.54202091507489</v>
      </c>
      <c r="H13" s="24">
        <v>113.4310084107057</v>
      </c>
      <c r="I13" s="25">
        <v>115.24030786406389</v>
      </c>
    </row>
    <row r="14" spans="1:9" ht="14.25" customHeight="1" x14ac:dyDescent="0.2">
      <c r="B14" s="187" t="s">
        <v>18</v>
      </c>
      <c r="C14" s="21">
        <v>4.9688366489588853</v>
      </c>
      <c r="D14" s="21">
        <v>4.2056228257938866</v>
      </c>
      <c r="E14" s="21">
        <v>3.237675809260665</v>
      </c>
      <c r="F14" s="21">
        <v>3.6144185451455701</v>
      </c>
      <c r="G14" s="21">
        <v>3.8173251257882734</v>
      </c>
      <c r="H14" s="21">
        <v>3.6858485164255939</v>
      </c>
      <c r="I14" s="26">
        <v>3.566231241644191</v>
      </c>
    </row>
    <row r="15" spans="1:9" ht="14.25" customHeight="1" x14ac:dyDescent="0.2">
      <c r="B15" s="187" t="s">
        <v>19</v>
      </c>
      <c r="C15" s="27">
        <v>-0.74240333692955351</v>
      </c>
      <c r="D15" s="27">
        <v>-1.0848287919159816</v>
      </c>
      <c r="E15" s="27">
        <v>-1.0173165054613964</v>
      </c>
      <c r="F15" s="27">
        <v>-0.69459393807945746</v>
      </c>
      <c r="G15" s="27">
        <v>-0.34911359319177437</v>
      </c>
      <c r="H15" s="27">
        <v>-0.13120549057829001</v>
      </c>
      <c r="I15" s="28">
        <v>-9.3623642851703437E-3</v>
      </c>
    </row>
    <row r="16" spans="1:9" ht="14.25" customHeight="1" x14ac:dyDescent="0.2">
      <c r="B16" s="187" t="s">
        <v>20</v>
      </c>
      <c r="C16" s="21"/>
      <c r="D16" s="24"/>
      <c r="E16" s="21"/>
      <c r="F16" s="22"/>
      <c r="G16" s="22"/>
      <c r="H16" s="22"/>
      <c r="I16" s="23"/>
    </row>
    <row r="17" spans="2:9" ht="14.25" customHeight="1" x14ac:dyDescent="0.2">
      <c r="B17" s="187" t="s">
        <v>21</v>
      </c>
      <c r="C17" s="24">
        <v>1.111975244342478</v>
      </c>
      <c r="D17" s="24">
        <v>0.97383387965843671</v>
      </c>
      <c r="E17" s="24">
        <v>0.60551549522540604</v>
      </c>
      <c r="F17" s="24">
        <v>1.7115601955134396</v>
      </c>
      <c r="G17" s="24">
        <v>2.0011667575522196</v>
      </c>
      <c r="H17" s="24">
        <v>1.6874520501088508</v>
      </c>
      <c r="I17" s="25">
        <v>1.5539195917733117</v>
      </c>
    </row>
    <row r="18" spans="2:9" ht="14.25" customHeight="1" x14ac:dyDescent="0.2">
      <c r="B18" s="187" t="s">
        <v>22</v>
      </c>
      <c r="C18" s="24">
        <v>1.6585267282242411</v>
      </c>
      <c r="D18" s="24">
        <v>2.2259961895906288</v>
      </c>
      <c r="E18" s="24">
        <v>0.94620274355594614</v>
      </c>
      <c r="F18" s="24">
        <v>1.2930129912716026</v>
      </c>
      <c r="G18" s="24">
        <v>1.3106768194943053</v>
      </c>
      <c r="H18" s="24">
        <v>1.6853905488456666</v>
      </c>
      <c r="I18" s="25">
        <v>1.7963276781498561</v>
      </c>
    </row>
    <row r="19" spans="2:9" ht="14.25" customHeight="1" x14ac:dyDescent="0.2">
      <c r="B19" s="188" t="s">
        <v>233</v>
      </c>
      <c r="C19" s="24">
        <v>4.0408677597734366</v>
      </c>
      <c r="D19" s="24">
        <v>2.8793445310200561</v>
      </c>
      <c r="E19" s="24">
        <v>1.0761086804234932</v>
      </c>
      <c r="F19" s="24">
        <v>0.59299607483005445</v>
      </c>
      <c r="G19" s="24">
        <v>1.2932500421395154</v>
      </c>
      <c r="H19" s="24">
        <v>1.6693074937933927</v>
      </c>
      <c r="I19" s="25">
        <v>1.5592527574074255</v>
      </c>
    </row>
    <row r="20" spans="2:9" ht="14.25" customHeight="1" x14ac:dyDescent="0.2">
      <c r="B20" s="189" t="s">
        <v>23</v>
      </c>
      <c r="C20" s="24">
        <v>4.3339448187510232</v>
      </c>
      <c r="D20" s="24">
        <v>6.4932948467655294E-3</v>
      </c>
      <c r="E20" s="24">
        <v>-0.53448069780162033</v>
      </c>
      <c r="F20" s="24">
        <v>0.95813963809983083</v>
      </c>
      <c r="G20" s="24">
        <v>1.2471321983321682</v>
      </c>
      <c r="H20" s="24">
        <v>1.1981387930767307</v>
      </c>
      <c r="I20" s="25">
        <v>1.3166994060135329</v>
      </c>
    </row>
    <row r="21" spans="2:9" ht="14.25" customHeight="1" x14ac:dyDescent="0.2">
      <c r="B21" s="189" t="s">
        <v>24</v>
      </c>
      <c r="C21" s="24">
        <v>4.171104397156955</v>
      </c>
      <c r="D21" s="24">
        <v>14.553868150899319</v>
      </c>
      <c r="E21" s="24">
        <v>3.576566262458214</v>
      </c>
      <c r="F21" s="24">
        <v>-2.4184423779010422</v>
      </c>
      <c r="G21" s="24">
        <v>-2.1648974100722196</v>
      </c>
      <c r="H21" s="24">
        <v>-0.20797188041050685</v>
      </c>
      <c r="I21" s="25">
        <v>0.14361000816416336</v>
      </c>
    </row>
    <row r="22" spans="2:9" ht="14.25" customHeight="1" x14ac:dyDescent="0.2">
      <c r="B22" s="189" t="s">
        <v>25</v>
      </c>
      <c r="C22" s="24">
        <v>3.6423486182347142</v>
      </c>
      <c r="D22" s="24">
        <v>1.521820111090233</v>
      </c>
      <c r="E22" s="24">
        <v>2.4460939955746941</v>
      </c>
      <c r="F22" s="24">
        <v>2.1426728836372311</v>
      </c>
      <c r="G22" s="24">
        <v>3.8767147951544789</v>
      </c>
      <c r="H22" s="24">
        <v>3.8627468409120791</v>
      </c>
      <c r="I22" s="25">
        <v>2.9358577244857686</v>
      </c>
    </row>
    <row r="23" spans="2:9" ht="14.25" customHeight="1" x14ac:dyDescent="0.2">
      <c r="B23" s="187" t="s">
        <v>26</v>
      </c>
      <c r="C23" s="24">
        <v>-0.11899226604211011</v>
      </c>
      <c r="D23" s="24">
        <v>0.10097921072302472</v>
      </c>
      <c r="E23" s="24">
        <v>-0.12365892358804548</v>
      </c>
      <c r="F23" s="24">
        <v>4.5350105196648956E-2</v>
      </c>
      <c r="G23" s="24">
        <v>4.9451029817642309E-2</v>
      </c>
      <c r="H23" s="24">
        <v>-1.8139936561900213E-2</v>
      </c>
      <c r="I23" s="25">
        <v>-6.2342279218193441E-3</v>
      </c>
    </row>
    <row r="24" spans="2:9" ht="14.25" customHeight="1" x14ac:dyDescent="0.2">
      <c r="B24" s="187" t="s">
        <v>27</v>
      </c>
      <c r="C24" s="24">
        <v>1.9054525014052803</v>
      </c>
      <c r="D24" s="24">
        <v>1.1330697476726215</v>
      </c>
      <c r="E24" s="24">
        <v>1.4466888591757154</v>
      </c>
      <c r="F24" s="24">
        <v>0.98810865052085806</v>
      </c>
      <c r="G24" s="24">
        <v>0.99263857314602078</v>
      </c>
      <c r="H24" s="24">
        <v>1.1050223640473256</v>
      </c>
      <c r="I24" s="25">
        <v>1.1027908422171384</v>
      </c>
    </row>
    <row r="25" spans="2:9" ht="14.25" customHeight="1" x14ac:dyDescent="0.2">
      <c r="B25" s="187" t="s">
        <v>28</v>
      </c>
      <c r="C25" s="24">
        <v>4.1072196443126652</v>
      </c>
      <c r="D25" s="24">
        <v>2.7566925952875909</v>
      </c>
      <c r="E25" s="24">
        <v>0.10111073422829353</v>
      </c>
      <c r="F25" s="24">
        <v>0.48164105796892898</v>
      </c>
      <c r="G25" s="24">
        <v>0.91002640778825583</v>
      </c>
      <c r="H25" s="24">
        <v>1.0278537536368981</v>
      </c>
      <c r="I25" s="25">
        <v>1.1172921530712809</v>
      </c>
    </row>
    <row r="26" spans="2:9" ht="14.25" customHeight="1" x14ac:dyDescent="0.2">
      <c r="B26" s="187" t="s">
        <v>29</v>
      </c>
      <c r="C26" s="24"/>
      <c r="D26" s="24"/>
      <c r="E26" s="24"/>
      <c r="F26" s="24"/>
      <c r="G26" s="24"/>
      <c r="H26" s="24"/>
      <c r="I26" s="23"/>
    </row>
    <row r="27" spans="2:9" ht="14.25" customHeight="1" x14ac:dyDescent="0.2">
      <c r="B27" s="187" t="s">
        <v>30</v>
      </c>
      <c r="C27" s="24">
        <v>-3.1295053901523668</v>
      </c>
      <c r="D27" s="24">
        <v>-3.2066313164455464</v>
      </c>
      <c r="E27" s="24">
        <v>-3.1059199113069815</v>
      </c>
      <c r="F27" s="24">
        <v>-2.8584171352542715</v>
      </c>
      <c r="G27" s="24">
        <v>-2.6733967496174826</v>
      </c>
      <c r="H27" s="24">
        <v>-2.5349784152508019</v>
      </c>
      <c r="I27" s="25">
        <v>-2.4310089694205503</v>
      </c>
    </row>
    <row r="28" spans="2:9" ht="14.25" customHeight="1" x14ac:dyDescent="0.2">
      <c r="B28" s="187" t="s">
        <v>31</v>
      </c>
      <c r="C28" s="21"/>
      <c r="D28" s="21"/>
      <c r="E28" s="21"/>
      <c r="F28" s="21"/>
      <c r="G28" s="21"/>
      <c r="H28" s="21"/>
      <c r="I28" s="23"/>
    </row>
    <row r="29" spans="2:9" ht="14.25" customHeight="1" x14ac:dyDescent="0.2">
      <c r="B29" s="187" t="s">
        <v>32</v>
      </c>
      <c r="C29" s="21">
        <v>3.3730368724933735</v>
      </c>
      <c r="D29" s="21">
        <v>3.1127927115832454</v>
      </c>
      <c r="E29" s="21">
        <v>3.4212869693871939</v>
      </c>
      <c r="F29" s="21">
        <v>2.0986006416478409</v>
      </c>
      <c r="G29" s="21">
        <v>2.104617267641351</v>
      </c>
      <c r="H29" s="21">
        <v>2.0101263737405173</v>
      </c>
      <c r="I29" s="26">
        <v>1.9999737642532045</v>
      </c>
    </row>
    <row r="30" spans="2:9" ht="14.25" customHeight="1" x14ac:dyDescent="0.2">
      <c r="B30" s="187" t="s">
        <v>33</v>
      </c>
      <c r="C30" s="21">
        <v>4.1311094517713753</v>
      </c>
      <c r="D30" s="21">
        <v>3.5860252662904157</v>
      </c>
      <c r="E30" s="21">
        <v>4.3199621955600787</v>
      </c>
      <c r="F30" s="21">
        <v>3.0348928713008094</v>
      </c>
      <c r="G30" s="21">
        <v>2.9821718689595711</v>
      </c>
      <c r="H30" s="21">
        <v>2.2892386015001653</v>
      </c>
      <c r="I30" s="26">
        <v>2.1763034719944896</v>
      </c>
    </row>
    <row r="31" spans="2:9" ht="14.25" customHeight="1" x14ac:dyDescent="0.2">
      <c r="B31" s="187" t="s">
        <v>34</v>
      </c>
      <c r="C31" s="24">
        <v>3.5594035594035844</v>
      </c>
      <c r="D31" s="24">
        <v>2.9607158618887519</v>
      </c>
      <c r="E31" s="24">
        <v>2.1716351676928092</v>
      </c>
      <c r="F31" s="24">
        <v>1.9468033146204933</v>
      </c>
      <c r="G31" s="24">
        <v>1.9777822468721284</v>
      </c>
      <c r="H31" s="24">
        <v>1.9587790243096537</v>
      </c>
      <c r="I31" s="25">
        <v>1.9398544360492709</v>
      </c>
    </row>
    <row r="32" spans="2:9" ht="14.25" customHeight="1" x14ac:dyDescent="0.2">
      <c r="B32" s="187" t="s">
        <v>35</v>
      </c>
      <c r="C32" s="21"/>
      <c r="D32" s="21"/>
      <c r="E32" s="21"/>
      <c r="F32" s="21"/>
      <c r="G32" s="21"/>
      <c r="H32" s="21"/>
      <c r="I32" s="26"/>
    </row>
    <row r="33" spans="2:9" ht="14.25" customHeight="1" x14ac:dyDescent="0.2">
      <c r="B33" s="187" t="s">
        <v>36</v>
      </c>
      <c r="C33" s="21">
        <v>34.16525</v>
      </c>
      <c r="D33" s="21">
        <v>34.435945725000003</v>
      </c>
      <c r="E33" s="21">
        <v>34.476022624999999</v>
      </c>
      <c r="F33" s="21">
        <v>34.658525675</v>
      </c>
      <c r="G33" s="21">
        <v>34.902002875000001</v>
      </c>
      <c r="H33" s="21">
        <v>35.170923375000008</v>
      </c>
      <c r="I33" s="26">
        <v>35.388344050000001</v>
      </c>
    </row>
    <row r="34" spans="2:9" ht="14.25" customHeight="1" x14ac:dyDescent="0.2">
      <c r="B34" s="187" t="s">
        <v>37</v>
      </c>
      <c r="C34" s="21">
        <v>5.8760716854760142</v>
      </c>
      <c r="D34" s="21">
        <v>4.2374574454338454</v>
      </c>
      <c r="E34" s="21">
        <v>3.0746296847147914</v>
      </c>
      <c r="F34" s="21">
        <v>2.539017565248991</v>
      </c>
      <c r="G34" s="21">
        <v>2.8352617221245824</v>
      </c>
      <c r="H34" s="21">
        <v>3.1210503003470613</v>
      </c>
      <c r="I34" s="26">
        <v>3.0759838944639961</v>
      </c>
    </row>
    <row r="35" spans="2:9" ht="14.25" customHeight="1" x14ac:dyDescent="0.2">
      <c r="B35" s="187" t="s">
        <v>38</v>
      </c>
      <c r="C35" s="21">
        <v>4.1236511912613238</v>
      </c>
      <c r="D35" s="21">
        <v>3.7329801694950815</v>
      </c>
      <c r="E35" s="21">
        <v>2.991902632809107</v>
      </c>
      <c r="F35" s="21">
        <v>2.1549019382075096</v>
      </c>
      <c r="G35" s="21">
        <v>2.2740836921294694</v>
      </c>
      <c r="H35" s="21">
        <v>2.4895856286131002</v>
      </c>
      <c r="I35" s="26">
        <v>2.6014041016174216</v>
      </c>
    </row>
    <row r="36" spans="2:9" ht="14.25" customHeight="1" x14ac:dyDescent="0.2">
      <c r="B36" s="187" t="s">
        <v>39</v>
      </c>
      <c r="C36" s="21">
        <v>4.5107478882974394</v>
      </c>
      <c r="D36" s="21">
        <v>3.7359720075000213</v>
      </c>
      <c r="E36" s="21">
        <v>2.9356150359940214</v>
      </c>
      <c r="F36" s="21">
        <v>2.2510527698759164</v>
      </c>
      <c r="G36" s="21">
        <v>2.4393359980179996</v>
      </c>
      <c r="H36" s="21">
        <v>2.6558462709372233</v>
      </c>
      <c r="I36" s="21">
        <v>2.7299427100864859</v>
      </c>
    </row>
    <row r="37" spans="2:9" ht="14.25" customHeight="1" x14ac:dyDescent="0.2">
      <c r="B37" s="187" t="s">
        <v>40</v>
      </c>
      <c r="C37" s="21">
        <v>4.8495248274999998</v>
      </c>
      <c r="D37" s="21">
        <v>4.9886982225000001</v>
      </c>
      <c r="E37" s="21">
        <v>5.0999999999999996</v>
      </c>
      <c r="F37" s="21">
        <v>4.8500000000000005</v>
      </c>
      <c r="G37" s="21">
        <v>4.5199999999999996</v>
      </c>
      <c r="H37" s="21">
        <v>4.2649999999999997</v>
      </c>
      <c r="I37" s="26">
        <v>4.1462480125000001</v>
      </c>
    </row>
    <row r="38" spans="2:9" ht="14.25" customHeight="1" x14ac:dyDescent="0.2">
      <c r="B38" s="187" t="s">
        <v>41</v>
      </c>
      <c r="C38" s="21">
        <v>1.7417499999999999</v>
      </c>
      <c r="D38" s="21">
        <v>1.8081153225</v>
      </c>
      <c r="E38" s="21">
        <v>1.8527653075000001</v>
      </c>
      <c r="F38" s="21">
        <v>1.7665869624999997</v>
      </c>
      <c r="G38" s="21">
        <v>1.6522162674999998</v>
      </c>
      <c r="H38" s="21">
        <v>1.566833715</v>
      </c>
      <c r="I38" s="26">
        <v>1.530753155</v>
      </c>
    </row>
    <row r="39" spans="2:9" ht="14.25" customHeight="1" x14ac:dyDescent="0.2">
      <c r="B39" s="187" t="s">
        <v>42</v>
      </c>
      <c r="C39" s="21"/>
      <c r="D39" s="21"/>
      <c r="E39" s="21"/>
      <c r="F39" s="21"/>
      <c r="G39" s="21"/>
      <c r="H39" s="21"/>
      <c r="I39" s="26"/>
    </row>
    <row r="40" spans="2:9" ht="14.25" customHeight="1" x14ac:dyDescent="0.2">
      <c r="B40" s="187" t="s">
        <v>43</v>
      </c>
      <c r="C40" s="21">
        <v>0.94544638370350764</v>
      </c>
      <c r="D40" s="21">
        <v>-0.63441477823178438</v>
      </c>
      <c r="E40" s="21">
        <v>0.21668782131520903</v>
      </c>
      <c r="F40" s="21">
        <v>0.9177956958341893</v>
      </c>
      <c r="G40" s="21">
        <v>0.71997740674958344</v>
      </c>
      <c r="H40" s="21">
        <v>1.100389665509427</v>
      </c>
      <c r="I40" s="26">
        <v>0.98062816800736918</v>
      </c>
    </row>
    <row r="41" spans="2:9" ht="14.25" customHeight="1" x14ac:dyDescent="0.2">
      <c r="B41" s="187" t="s">
        <v>234</v>
      </c>
      <c r="C41" s="29">
        <v>9.6682875545998623</v>
      </c>
      <c r="D41" s="29">
        <v>8.6821937836974943</v>
      </c>
      <c r="E41" s="29">
        <v>8.2183448461060795</v>
      </c>
      <c r="F41" s="29">
        <v>7.446369954336495</v>
      </c>
      <c r="G41" s="29">
        <v>6.2644055736622191</v>
      </c>
      <c r="H41" s="29">
        <v>5.7142425671357939</v>
      </c>
      <c r="I41" s="30">
        <v>5.1764651413042051</v>
      </c>
    </row>
    <row r="42" spans="2:9" ht="14.25" customHeight="1" x14ac:dyDescent="0.2">
      <c r="B42" s="187" t="s">
        <v>44</v>
      </c>
      <c r="C42" s="21">
        <v>2.6375282592313587</v>
      </c>
      <c r="D42" s="21">
        <v>2.0888973078805551</v>
      </c>
      <c r="E42" s="21">
        <v>2.4352542187608961</v>
      </c>
      <c r="F42" s="21">
        <v>2.7783456539808293</v>
      </c>
      <c r="G42" s="21">
        <v>2.7503135188679861</v>
      </c>
      <c r="H42" s="21">
        <v>2.7477919394889749</v>
      </c>
      <c r="I42" s="26">
        <v>2.7477919394889749</v>
      </c>
    </row>
    <row r="43" spans="2:9" ht="14.25" customHeight="1" x14ac:dyDescent="0.2">
      <c r="B43" s="190" t="s">
        <v>45</v>
      </c>
      <c r="C43" s="24"/>
      <c r="D43" s="24"/>
      <c r="E43" s="24"/>
      <c r="F43" s="24"/>
      <c r="G43" s="24"/>
      <c r="H43" s="24"/>
      <c r="I43" s="26"/>
    </row>
    <row r="44" spans="2:9" ht="14.25" customHeight="1" x14ac:dyDescent="0.2">
      <c r="B44" s="31" t="s">
        <v>46</v>
      </c>
      <c r="C44" s="32">
        <v>3.4409999999999998</v>
      </c>
      <c r="D44" s="32">
        <v>3.0036459999999998</v>
      </c>
      <c r="E44" s="32">
        <v>3.3554925000000009</v>
      </c>
      <c r="F44" s="32">
        <v>3.24</v>
      </c>
      <c r="G44" s="32">
        <v>3.24</v>
      </c>
      <c r="H44" s="32">
        <v>3.24</v>
      </c>
      <c r="I44" s="33">
        <v>3.24</v>
      </c>
    </row>
    <row r="45" spans="2:9" x14ac:dyDescent="0.2">
      <c r="B45" s="195" t="s">
        <v>213</v>
      </c>
      <c r="C45" s="34"/>
      <c r="D45" s="34"/>
      <c r="E45" s="34"/>
      <c r="F45" s="34"/>
      <c r="G45" s="34"/>
      <c r="H45" s="34"/>
      <c r="I45" s="35"/>
    </row>
    <row r="46" spans="2:9" x14ac:dyDescent="0.2">
      <c r="B46" s="195" t="s">
        <v>214</v>
      </c>
      <c r="C46" s="34"/>
      <c r="D46" s="34"/>
      <c r="E46" s="34"/>
      <c r="F46" s="34"/>
      <c r="G46" s="34"/>
      <c r="H46" s="34"/>
      <c r="I46" s="36"/>
    </row>
    <row r="47" spans="2:9" x14ac:dyDescent="0.2">
      <c r="B47" s="195" t="s">
        <v>215</v>
      </c>
      <c r="C47" s="34"/>
      <c r="D47" s="34"/>
      <c r="E47" s="34"/>
      <c r="F47" s="34"/>
      <c r="G47" s="34"/>
      <c r="H47" s="34"/>
      <c r="I47" s="36"/>
    </row>
    <row r="48" spans="2:9" ht="13.5" thickBot="1" x14ac:dyDescent="0.25">
      <c r="B48" s="196" t="s">
        <v>216</v>
      </c>
      <c r="C48" s="37"/>
      <c r="D48" s="37"/>
      <c r="E48" s="37"/>
      <c r="F48" s="37"/>
      <c r="G48" s="37"/>
      <c r="H48" s="37"/>
      <c r="I48" s="38"/>
    </row>
    <row r="49" ht="14.25" customHeight="1" x14ac:dyDescent="0.2"/>
  </sheetData>
  <mergeCells count="2">
    <mergeCell ref="C3:I3"/>
    <mergeCell ref="D4:I4"/>
  </mergeCells>
  <hyperlinks>
    <hyperlink ref="A1" location="Contents!A1" display="Contents!A1" xr:uid="{818FE025-BE8E-4BD7-B525-3EC1BE36CF3B}"/>
  </hyperlink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F0829B-B47F-4499-B885-DFA41BA9F943}">
  <sheetPr codeName="Sheet6"/>
  <dimension ref="A1:H49"/>
  <sheetViews>
    <sheetView showGridLines="0" zoomScaleNormal="100" workbookViewId="0"/>
  </sheetViews>
  <sheetFormatPr defaultColWidth="8.77734375" defaultRowHeight="12.75" x14ac:dyDescent="0.2"/>
  <cols>
    <col min="1" max="1" width="8.77734375" style="1"/>
    <col min="2" max="2" width="29.21875" style="1" customWidth="1"/>
    <col min="3" max="8" width="6.77734375" style="1" customWidth="1"/>
    <col min="9" max="16384" width="8.77734375" style="1"/>
  </cols>
  <sheetData>
    <row r="1" spans="1:8" ht="40.15" customHeight="1" x14ac:dyDescent="0.2">
      <c r="A1" s="4" t="s">
        <v>7</v>
      </c>
    </row>
    <row r="2" spans="1:8" ht="17.25" customHeight="1" thickBot="1" x14ac:dyDescent="0.35">
      <c r="B2" s="2" t="s">
        <v>266</v>
      </c>
    </row>
    <row r="3" spans="1:8" ht="12.75" customHeight="1" x14ac:dyDescent="0.2">
      <c r="B3" s="13"/>
      <c r="C3" s="283" t="s">
        <v>47</v>
      </c>
      <c r="D3" s="283"/>
      <c r="E3" s="283"/>
      <c r="F3" s="283"/>
      <c r="G3" s="283"/>
      <c r="H3" s="283"/>
    </row>
    <row r="4" spans="1:8" ht="12.75" customHeight="1" x14ac:dyDescent="0.2">
      <c r="B4" s="14"/>
      <c r="C4" s="15" t="s">
        <v>9</v>
      </c>
      <c r="D4" s="281" t="s">
        <v>10</v>
      </c>
      <c r="E4" s="281"/>
      <c r="F4" s="281"/>
      <c r="G4" s="281"/>
      <c r="H4" s="281"/>
    </row>
    <row r="5" spans="1:8" ht="12.75" customHeight="1" x14ac:dyDescent="0.2">
      <c r="B5" s="14"/>
      <c r="C5" s="16">
        <v>2025</v>
      </c>
      <c r="D5" s="16">
        <f>C5+1</f>
        <v>2026</v>
      </c>
      <c r="E5" s="16">
        <f>D5+1</f>
        <v>2027</v>
      </c>
      <c r="F5" s="16">
        <f>E5+1</f>
        <v>2028</v>
      </c>
      <c r="G5" s="16">
        <f>F5+1</f>
        <v>2029</v>
      </c>
      <c r="H5" s="17">
        <f>G5+1</f>
        <v>2030</v>
      </c>
    </row>
    <row r="6" spans="1:8" ht="14.25" customHeight="1" x14ac:dyDescent="0.2">
      <c r="B6" s="187" t="s">
        <v>11</v>
      </c>
      <c r="C6" s="18"/>
      <c r="D6" s="18"/>
      <c r="E6" s="18"/>
      <c r="F6" s="19"/>
      <c r="G6" s="19"/>
      <c r="H6" s="19"/>
    </row>
    <row r="7" spans="1:8" ht="14.25" customHeight="1" x14ac:dyDescent="0.2">
      <c r="B7" s="187" t="s">
        <v>12</v>
      </c>
      <c r="C7" s="21">
        <v>-4.5754055082469769E-2</v>
      </c>
      <c r="D7" s="21">
        <v>0.34829294182658899</v>
      </c>
      <c r="E7" s="21">
        <v>-0.25106426811241089</v>
      </c>
      <c r="F7" s="21">
        <v>2.2404245372742437E-2</v>
      </c>
      <c r="G7" s="21">
        <v>5.9464033913747549E-2</v>
      </c>
      <c r="H7" s="26">
        <v>-1.4275880710901134E-4</v>
      </c>
    </row>
    <row r="8" spans="1:8" ht="14.25" customHeight="1" x14ac:dyDescent="0.2">
      <c r="B8" s="187" t="s">
        <v>13</v>
      </c>
      <c r="C8" s="21">
        <v>-6.6716358723173386E-2</v>
      </c>
      <c r="D8" s="21">
        <v>0.1516383787638631</v>
      </c>
      <c r="E8" s="21">
        <v>-0.16860603283068709</v>
      </c>
      <c r="F8" s="21">
        <v>0.11787067940762785</v>
      </c>
      <c r="G8" s="21">
        <v>0.1305152158582068</v>
      </c>
      <c r="H8" s="26">
        <v>5.6997525509294711E-2</v>
      </c>
    </row>
    <row r="9" spans="1:8" ht="14.25" customHeight="1" x14ac:dyDescent="0.2">
      <c r="B9" s="187" t="s">
        <v>14</v>
      </c>
      <c r="C9" s="21">
        <v>2.1928082399758075E-2</v>
      </c>
      <c r="D9" s="21">
        <v>0.19385824657252027</v>
      </c>
      <c r="E9" s="21">
        <v>-8.1137922985252686E-2</v>
      </c>
      <c r="F9" s="21">
        <v>-9.5064897286056826E-2</v>
      </c>
      <c r="G9" s="21">
        <v>-7.0790162942735435E-2</v>
      </c>
      <c r="H9" s="26">
        <v>-5.6747349400221303E-2</v>
      </c>
    </row>
    <row r="10" spans="1:8" ht="14.25" customHeight="1" x14ac:dyDescent="0.2">
      <c r="B10" s="187" t="s">
        <v>15</v>
      </c>
      <c r="C10" s="21"/>
      <c r="D10" s="21"/>
      <c r="E10" s="21"/>
      <c r="F10" s="21"/>
      <c r="G10" s="21"/>
      <c r="H10" s="26"/>
    </row>
    <row r="11" spans="1:8" ht="14.25" customHeight="1" x14ac:dyDescent="0.2">
      <c r="B11" s="187" t="s">
        <v>16</v>
      </c>
      <c r="C11" s="21">
        <v>-7.8916548074392523E-2</v>
      </c>
      <c r="D11" s="21">
        <v>0.1450034314567139</v>
      </c>
      <c r="E11" s="21">
        <v>-0.54439192433290984</v>
      </c>
      <c r="F11" s="21">
        <v>4.7431925098684324E-2</v>
      </c>
      <c r="G11" s="21">
        <v>0.26564084559743684</v>
      </c>
      <c r="H11" s="26">
        <v>0.17751519055440035</v>
      </c>
    </row>
    <row r="12" spans="1:8" ht="14.25" customHeight="1" x14ac:dyDescent="0.2">
      <c r="B12" s="187" t="s">
        <v>218</v>
      </c>
      <c r="C12" s="21">
        <v>-5.1456246161896146E-2</v>
      </c>
      <c r="D12" s="21">
        <v>0.26890603283007408</v>
      </c>
      <c r="E12" s="21">
        <v>-0.39233776572895618</v>
      </c>
      <c r="F12" s="21">
        <v>0.19344417602875641</v>
      </c>
      <c r="G12" s="21">
        <v>0.39270039111056754</v>
      </c>
      <c r="H12" s="26">
        <v>0.29585867781165565</v>
      </c>
    </row>
    <row r="13" spans="1:8" ht="14.25" customHeight="1" x14ac:dyDescent="0.2">
      <c r="B13" s="187" t="s">
        <v>260</v>
      </c>
      <c r="C13" s="21">
        <v>-0.12301410816418779</v>
      </c>
      <c r="D13" s="21">
        <v>2.023785489100316E-2</v>
      </c>
      <c r="E13" s="21">
        <v>-0.51574909026315119</v>
      </c>
      <c r="F13" s="21">
        <v>-0.46929669615159986</v>
      </c>
      <c r="G13" s="21">
        <v>-0.20890844578392853</v>
      </c>
      <c r="H13" s="26">
        <v>-3.4409513326660868E-2</v>
      </c>
    </row>
    <row r="14" spans="1:8" ht="14.25" customHeight="1" x14ac:dyDescent="0.2">
      <c r="B14" s="187" t="s">
        <v>18</v>
      </c>
      <c r="C14" s="21">
        <v>-8.4759549008084356E-2</v>
      </c>
      <c r="D14" s="21">
        <v>0.90515044648706855</v>
      </c>
      <c r="E14" s="21">
        <v>-0.32639361139028544</v>
      </c>
      <c r="F14" s="21">
        <v>0.11507104276360369</v>
      </c>
      <c r="G14" s="21">
        <v>0.40669801105501779</v>
      </c>
      <c r="H14" s="26">
        <v>0.15958848088304389</v>
      </c>
    </row>
    <row r="15" spans="1:8" ht="14.25" customHeight="1" x14ac:dyDescent="0.2">
      <c r="B15" s="187" t="s">
        <v>19</v>
      </c>
      <c r="C15" s="21">
        <v>-3.2708920142654474E-2</v>
      </c>
      <c r="D15" s="21">
        <v>-0.23078176112147908</v>
      </c>
      <c r="E15" s="21">
        <v>-0.51807038921423132</v>
      </c>
      <c r="F15" s="21">
        <v>-0.49524248930384873</v>
      </c>
      <c r="G15" s="21">
        <v>-0.29422755992024596</v>
      </c>
      <c r="H15" s="26">
        <v>-0.11988558916827818</v>
      </c>
    </row>
    <row r="16" spans="1:8" ht="14.25" customHeight="1" x14ac:dyDescent="0.2">
      <c r="B16" s="187" t="s">
        <v>20</v>
      </c>
      <c r="C16" s="24"/>
      <c r="D16" s="24"/>
      <c r="E16" s="24"/>
      <c r="F16" s="24"/>
      <c r="G16" s="24"/>
      <c r="H16" s="25"/>
    </row>
    <row r="17" spans="2:8" ht="14.25" customHeight="1" x14ac:dyDescent="0.2">
      <c r="B17" s="187" t="s">
        <v>261</v>
      </c>
      <c r="C17" s="21">
        <v>0.15202219258918515</v>
      </c>
      <c r="D17" s="21">
        <v>0.13175103844162983</v>
      </c>
      <c r="E17" s="21">
        <v>-0.88227257756514632</v>
      </c>
      <c r="F17" s="21">
        <v>-9.4599426141273035E-2</v>
      </c>
      <c r="G17" s="21">
        <v>0.11769006993445075</v>
      </c>
      <c r="H17" s="26">
        <v>-0.13355531987173652</v>
      </c>
    </row>
    <row r="18" spans="2:8" ht="14.25" customHeight="1" x14ac:dyDescent="0.2">
      <c r="B18" s="187" t="s">
        <v>22</v>
      </c>
      <c r="C18" s="21">
        <v>-0.13099399026106351</v>
      </c>
      <c r="D18" s="21">
        <v>4.7992641146188397E-2</v>
      </c>
      <c r="E18" s="21">
        <v>-0.75906624575263759</v>
      </c>
      <c r="F18" s="21">
        <v>-1.9200590595280786E-2</v>
      </c>
      <c r="G18" s="21">
        <v>0.25834949794258932</v>
      </c>
      <c r="H18" s="26">
        <v>5.7604733502003569E-2</v>
      </c>
    </row>
    <row r="19" spans="2:8" ht="14.25" customHeight="1" x14ac:dyDescent="0.2">
      <c r="B19" s="188" t="s">
        <v>233</v>
      </c>
      <c r="C19" s="21">
        <v>0.33116980123757411</v>
      </c>
      <c r="D19" s="21">
        <v>0.93163304745296216</v>
      </c>
      <c r="E19" s="21">
        <v>-1.6428209085751044</v>
      </c>
      <c r="F19" s="21">
        <v>-1.5053478603428427</v>
      </c>
      <c r="G19" s="21">
        <v>2.4800174519334917E-2</v>
      </c>
      <c r="H19" s="26">
        <v>0.38729477322925199</v>
      </c>
    </row>
    <row r="20" spans="2:8" ht="14.25" customHeight="1" x14ac:dyDescent="0.2">
      <c r="B20" s="189" t="s">
        <v>23</v>
      </c>
      <c r="C20" s="21">
        <v>5.3448052399773793E-2</v>
      </c>
      <c r="D20" s="21">
        <v>0.94102895066253689</v>
      </c>
      <c r="E20" s="21">
        <v>-0.89061728794579409</v>
      </c>
      <c r="F20" s="21">
        <v>0.18940459289891187</v>
      </c>
      <c r="G20" s="21">
        <v>0.17202455924014703</v>
      </c>
      <c r="H20" s="26">
        <v>-8.4838040444923379E-2</v>
      </c>
    </row>
    <row r="21" spans="2:8" ht="14.25" customHeight="1" x14ac:dyDescent="0.2">
      <c r="B21" s="189" t="s">
        <v>24</v>
      </c>
      <c r="C21" s="21">
        <v>1.7714239043705726</v>
      </c>
      <c r="D21" s="21">
        <v>2.4291808288111181</v>
      </c>
      <c r="E21" s="21">
        <v>-1.1191506041497545</v>
      </c>
      <c r="F21" s="21">
        <v>-1.6490725904063419</v>
      </c>
      <c r="G21" s="21">
        <v>-0.54253970595039558</v>
      </c>
      <c r="H21" s="26">
        <v>-0.48740146018511066</v>
      </c>
    </row>
    <row r="22" spans="2:8" ht="14.25" customHeight="1" x14ac:dyDescent="0.2">
      <c r="B22" s="189" t="s">
        <v>262</v>
      </c>
      <c r="C22" s="21">
        <v>0.15023603894543935</v>
      </c>
      <c r="D22" s="21">
        <v>-0.45936194373183969</v>
      </c>
      <c r="E22" s="21">
        <v>-3.7796246848526227</v>
      </c>
      <c r="F22" s="21">
        <v>-4.5941260034649378</v>
      </c>
      <c r="G22" s="21">
        <v>0.34587808017860766</v>
      </c>
      <c r="H22" s="26">
        <v>1.9622582266338284</v>
      </c>
    </row>
    <row r="23" spans="2:8" ht="14.25" customHeight="1" x14ac:dyDescent="0.2">
      <c r="B23" s="187" t="s">
        <v>263</v>
      </c>
      <c r="C23" s="21">
        <v>-0.1302743474543902</v>
      </c>
      <c r="D23" s="21">
        <v>7.9571834428285138E-2</v>
      </c>
      <c r="E23" s="21">
        <v>-0.15649562759545432</v>
      </c>
      <c r="F23" s="21">
        <v>4.9264723946014687E-2</v>
      </c>
      <c r="G23" s="21">
        <v>2.0696943291023576E-2</v>
      </c>
      <c r="H23" s="26">
        <v>1.9547496639590028E-2</v>
      </c>
    </row>
    <row r="24" spans="2:8" ht="14.25" customHeight="1" x14ac:dyDescent="0.2">
      <c r="B24" s="187" t="s">
        <v>27</v>
      </c>
      <c r="C24" s="21">
        <v>-0.41628821597656795</v>
      </c>
      <c r="D24" s="21">
        <v>1.0544243583449742</v>
      </c>
      <c r="E24" s="21">
        <v>1.0622436342590191</v>
      </c>
      <c r="F24" s="21">
        <v>0.31894334709761107</v>
      </c>
      <c r="G24" s="21">
        <v>6.894369000847167E-2</v>
      </c>
      <c r="H24" s="26">
        <v>0.21451872081594825</v>
      </c>
    </row>
    <row r="25" spans="2:8" ht="14.25" customHeight="1" x14ac:dyDescent="0.2">
      <c r="B25" s="187" t="s">
        <v>28</v>
      </c>
      <c r="C25" s="21">
        <v>0.1578347308157646</v>
      </c>
      <c r="D25" s="21">
        <v>1.9404875427996959</v>
      </c>
      <c r="E25" s="21">
        <v>-0.97340919369537371</v>
      </c>
      <c r="F25" s="21">
        <v>-0.74640941737411648</v>
      </c>
      <c r="G25" s="21">
        <v>-0.27622400746716291</v>
      </c>
      <c r="H25" s="26">
        <v>-0.25755091312085199</v>
      </c>
    </row>
    <row r="26" spans="2:8" ht="14.25" customHeight="1" x14ac:dyDescent="0.2">
      <c r="B26" s="187" t="s">
        <v>29</v>
      </c>
      <c r="C26" s="24"/>
      <c r="D26" s="24"/>
      <c r="E26" s="24"/>
      <c r="F26" s="24"/>
      <c r="G26" s="24"/>
      <c r="H26" s="25"/>
    </row>
    <row r="27" spans="2:8" ht="14.25" customHeight="1" x14ac:dyDescent="0.2">
      <c r="B27" s="187" t="s">
        <v>30</v>
      </c>
      <c r="C27" s="21">
        <v>-0.67295867333169923</v>
      </c>
      <c r="D27" s="21">
        <v>-0.82255614863088988</v>
      </c>
      <c r="E27" s="21">
        <v>-0.12788819436179155</v>
      </c>
      <c r="F27" s="21">
        <v>0.18632344380500587</v>
      </c>
      <c r="G27" s="21">
        <v>0.29956610375949699</v>
      </c>
      <c r="H27" s="26">
        <v>0.4056387665396799</v>
      </c>
    </row>
    <row r="28" spans="2:8" ht="14.25" customHeight="1" x14ac:dyDescent="0.2">
      <c r="B28" s="187" t="s">
        <v>31</v>
      </c>
      <c r="C28" s="24"/>
      <c r="D28" s="24"/>
      <c r="E28" s="24"/>
      <c r="F28" s="24"/>
      <c r="G28" s="24"/>
      <c r="H28" s="25"/>
    </row>
    <row r="29" spans="2:8" ht="14.25" customHeight="1" x14ac:dyDescent="0.2">
      <c r="B29" s="187" t="s">
        <v>32</v>
      </c>
      <c r="C29" s="21">
        <v>0</v>
      </c>
      <c r="D29" s="21">
        <v>0.81173957642604044</v>
      </c>
      <c r="E29" s="21">
        <v>1.4527440729356744</v>
      </c>
      <c r="F29" s="21">
        <v>0.12213246089625152</v>
      </c>
      <c r="G29" s="21">
        <v>8.4444737978661699E-2</v>
      </c>
      <c r="H29" s="26">
        <v>1.039370246362914E-2</v>
      </c>
    </row>
    <row r="30" spans="2:8" ht="14.25" customHeight="1" x14ac:dyDescent="0.2">
      <c r="B30" s="187" t="s">
        <v>33</v>
      </c>
      <c r="C30" s="21">
        <v>0</v>
      </c>
      <c r="D30" s="21">
        <v>0.50957471874988336</v>
      </c>
      <c r="E30" s="21">
        <v>1.336775584999006</v>
      </c>
      <c r="F30" s="21">
        <v>0.25096878426387192</v>
      </c>
      <c r="G30" s="21">
        <v>0.10497745083339893</v>
      </c>
      <c r="H30" s="26">
        <v>3.3585140654501799E-2</v>
      </c>
    </row>
    <row r="31" spans="2:8" ht="14.25" customHeight="1" x14ac:dyDescent="0.2">
      <c r="B31" s="187" t="s">
        <v>34</v>
      </c>
      <c r="C31" s="21">
        <v>-6.9909714578386684E-2</v>
      </c>
      <c r="D31" s="21">
        <v>0.77762772682834491</v>
      </c>
      <c r="E31" s="21">
        <v>0.2272224512045451</v>
      </c>
      <c r="F31" s="21">
        <v>5.9265028048205437E-2</v>
      </c>
      <c r="G31" s="21">
        <v>0.13392328339558723</v>
      </c>
      <c r="H31" s="26">
        <v>-2.1208785615289827E-2</v>
      </c>
    </row>
    <row r="32" spans="2:8" ht="14.25" customHeight="1" x14ac:dyDescent="0.2">
      <c r="B32" s="187" t="s">
        <v>35</v>
      </c>
      <c r="C32" s="24"/>
      <c r="D32" s="24"/>
      <c r="E32" s="24"/>
      <c r="F32" s="24"/>
      <c r="G32" s="24"/>
      <c r="H32" s="25"/>
    </row>
    <row r="33" spans="2:8" ht="14.25" customHeight="1" x14ac:dyDescent="0.2">
      <c r="B33" s="187" t="s">
        <v>36</v>
      </c>
      <c r="C33" s="21">
        <v>4.847775000001775E-3</v>
      </c>
      <c r="D33" s="21">
        <v>0.21112325000000709</v>
      </c>
      <c r="E33" s="21">
        <v>1.8466374999988489E-2</v>
      </c>
      <c r="F33" s="21">
        <v>-0.10805417499999947</v>
      </c>
      <c r="G33" s="21">
        <v>-0.12148162500000126</v>
      </c>
      <c r="H33" s="26">
        <v>-7.5273124999988283E-2</v>
      </c>
    </row>
    <row r="34" spans="2:8" ht="14.25" customHeight="1" x14ac:dyDescent="0.2">
      <c r="B34" s="187" t="s">
        <v>37</v>
      </c>
      <c r="C34" s="21">
        <v>-1.1733767837261988</v>
      </c>
      <c r="D34" s="21">
        <v>0.69394089945578052</v>
      </c>
      <c r="E34" s="21">
        <v>0.16858862927453533</v>
      </c>
      <c r="F34" s="21">
        <v>-0.31587317597869813</v>
      </c>
      <c r="G34" s="21">
        <v>2.7670666474266525E-2</v>
      </c>
      <c r="H34" s="26">
        <v>0.21995804153931431</v>
      </c>
    </row>
    <row r="35" spans="2:8" ht="14.25" customHeight="1" x14ac:dyDescent="0.2">
      <c r="B35" s="187" t="s">
        <v>222</v>
      </c>
      <c r="C35" s="21">
        <v>-1.1815037115217697</v>
      </c>
      <c r="D35" s="21">
        <v>0.37494133149862385</v>
      </c>
      <c r="E35" s="21">
        <v>0.62985908193540219</v>
      </c>
      <c r="F35" s="21">
        <v>6.0587607114315212E-2</v>
      </c>
      <c r="G35" s="21">
        <v>6.6520987071205795E-2</v>
      </c>
      <c r="H35" s="26">
        <v>8.3852131778372474E-2</v>
      </c>
    </row>
    <row r="36" spans="2:8" ht="14.25" customHeight="1" x14ac:dyDescent="0.2">
      <c r="B36" s="187" t="s">
        <v>39</v>
      </c>
      <c r="C36" s="21">
        <v>-1.2515618333255762</v>
      </c>
      <c r="D36" s="21">
        <v>0.49619747042630724</v>
      </c>
      <c r="E36" s="21">
        <v>0.63507701742326894</v>
      </c>
      <c r="F36" s="21">
        <v>-1.7356646629052008E-2</v>
      </c>
      <c r="G36" s="21">
        <v>5.6979593426476072E-2</v>
      </c>
      <c r="H36" s="26">
        <v>8.3703751749308886E-2</v>
      </c>
    </row>
    <row r="37" spans="2:8" ht="14.25" customHeight="1" x14ac:dyDescent="0.2">
      <c r="B37" s="187" t="s">
        <v>40</v>
      </c>
      <c r="C37" s="21">
        <v>2.2930747499999349E-2</v>
      </c>
      <c r="D37" s="21">
        <v>-0.30880177749999937</v>
      </c>
      <c r="E37" s="21">
        <v>0.17750000000000021</v>
      </c>
      <c r="F37" s="21">
        <v>0.4350000000000005</v>
      </c>
      <c r="G37" s="21">
        <v>0.33607043249999968</v>
      </c>
      <c r="H37" s="26">
        <v>0.12121432999999993</v>
      </c>
    </row>
    <row r="38" spans="2:8" ht="14.25" customHeight="1" x14ac:dyDescent="0.2">
      <c r="B38" s="187" t="s">
        <v>41</v>
      </c>
      <c r="C38" s="21">
        <v>8.8962424999998735E-3</v>
      </c>
      <c r="D38" s="21">
        <v>-0.10636706750000013</v>
      </c>
      <c r="E38" s="21">
        <v>6.8846825000000056E-2</v>
      </c>
      <c r="F38" s="21">
        <v>0.16078433249999979</v>
      </c>
      <c r="G38" s="21">
        <v>0.12289022999999988</v>
      </c>
      <c r="H38" s="26">
        <v>4.3171307499999978E-2</v>
      </c>
    </row>
    <row r="39" spans="2:8" ht="14.25" customHeight="1" x14ac:dyDescent="0.2">
      <c r="B39" s="187" t="s">
        <v>42</v>
      </c>
      <c r="C39" s="24"/>
      <c r="D39" s="24"/>
      <c r="E39" s="24"/>
      <c r="F39" s="24"/>
      <c r="G39" s="24"/>
      <c r="H39" s="25"/>
    </row>
    <row r="40" spans="2:8" ht="14.25" customHeight="1" x14ac:dyDescent="0.2">
      <c r="B40" s="187" t="s">
        <v>264</v>
      </c>
      <c r="C40" s="21">
        <v>-0.12577095973740349</v>
      </c>
      <c r="D40" s="21">
        <v>-1.2673875808596691</v>
      </c>
      <c r="E40" s="21">
        <v>-0.4898263999959962</v>
      </c>
      <c r="F40" s="21">
        <v>0.16073639163241005</v>
      </c>
      <c r="G40" s="21">
        <v>-6.7889221101458119E-3</v>
      </c>
      <c r="H40" s="26">
        <v>0.22183337438881345</v>
      </c>
    </row>
    <row r="41" spans="2:8" ht="14.25" customHeight="1" x14ac:dyDescent="0.2">
      <c r="B41" s="187" t="s">
        <v>265</v>
      </c>
      <c r="C41" s="21">
        <v>-0.3645370703775761</v>
      </c>
      <c r="D41" s="21">
        <v>-1.1720865360214745</v>
      </c>
      <c r="E41" s="21">
        <v>-0.92696952413759526</v>
      </c>
      <c r="F41" s="21">
        <v>-0.74323784690194827</v>
      </c>
      <c r="G41" s="21">
        <v>-0.85077481784371756</v>
      </c>
      <c r="H41" s="26">
        <v>-0.50819049459936494</v>
      </c>
    </row>
    <row r="42" spans="2:8" ht="14.25" customHeight="1" x14ac:dyDescent="0.2">
      <c r="B42" s="187" t="s">
        <v>44</v>
      </c>
      <c r="C42" s="21">
        <v>-0.14915850288872434</v>
      </c>
      <c r="D42" s="21">
        <v>-0.29496920123184278</v>
      </c>
      <c r="E42" s="21">
        <v>-0.50149323852817229</v>
      </c>
      <c r="F42" s="21">
        <v>5.6201830155244714E-2</v>
      </c>
      <c r="G42" s="21">
        <v>0.17890555684387799</v>
      </c>
      <c r="H42" s="26">
        <v>0.33224362898309767</v>
      </c>
    </row>
    <row r="43" spans="2:8" ht="14.25" customHeight="1" x14ac:dyDescent="0.2">
      <c r="B43" s="190" t="s">
        <v>45</v>
      </c>
      <c r="C43" s="24"/>
      <c r="D43" s="24"/>
      <c r="E43" s="24"/>
      <c r="F43" s="24"/>
      <c r="G43" s="24"/>
      <c r="H43" s="25"/>
    </row>
    <row r="44" spans="2:8" ht="14.25" customHeight="1" x14ac:dyDescent="0.2">
      <c r="B44" s="31" t="s">
        <v>46</v>
      </c>
      <c r="C44" s="191">
        <v>0.10903619392212827</v>
      </c>
      <c r="D44" s="191">
        <v>-0.12621686631006268</v>
      </c>
      <c r="E44" s="191">
        <v>0.16777316510275542</v>
      </c>
      <c r="F44" s="191">
        <v>1.9949868376938795E-2</v>
      </c>
      <c r="G44" s="191">
        <v>1.9949868376938795E-2</v>
      </c>
      <c r="H44" s="192">
        <v>1.9949868376938795E-2</v>
      </c>
    </row>
    <row r="45" spans="2:8" x14ac:dyDescent="0.2">
      <c r="B45" s="193" t="s">
        <v>208</v>
      </c>
      <c r="C45" s="34"/>
      <c r="D45" s="34"/>
      <c r="E45" s="34"/>
      <c r="F45" s="34"/>
      <c r="G45" s="34"/>
      <c r="H45" s="34"/>
    </row>
    <row r="46" spans="2:8" x14ac:dyDescent="0.2">
      <c r="B46" s="193" t="s">
        <v>209</v>
      </c>
      <c r="C46" s="34"/>
      <c r="D46" s="34"/>
      <c r="E46" s="34"/>
      <c r="F46" s="34"/>
      <c r="G46" s="34"/>
      <c r="H46" s="34"/>
    </row>
    <row r="47" spans="2:8" x14ac:dyDescent="0.2">
      <c r="B47" s="193" t="s">
        <v>210</v>
      </c>
      <c r="C47" s="34"/>
      <c r="D47" s="34"/>
      <c r="E47" s="34"/>
      <c r="F47" s="34"/>
      <c r="G47" s="34"/>
      <c r="H47" s="34"/>
    </row>
    <row r="48" spans="2:8" x14ac:dyDescent="0.2">
      <c r="B48" s="193" t="s">
        <v>211</v>
      </c>
      <c r="C48" s="34"/>
      <c r="D48" s="34"/>
      <c r="E48" s="34"/>
      <c r="F48" s="34"/>
      <c r="G48" s="34"/>
      <c r="H48" s="34"/>
    </row>
    <row r="49" spans="2:8" ht="13.5" thickBot="1" x14ac:dyDescent="0.25">
      <c r="B49" s="194" t="s">
        <v>212</v>
      </c>
      <c r="C49" s="37"/>
      <c r="D49" s="37"/>
      <c r="E49" s="37"/>
      <c r="F49" s="37"/>
      <c r="G49" s="37"/>
      <c r="H49" s="37"/>
    </row>
  </sheetData>
  <mergeCells count="2">
    <mergeCell ref="C3:H3"/>
    <mergeCell ref="D4:H4"/>
  </mergeCells>
  <hyperlinks>
    <hyperlink ref="A1" location="Contents!A1" display="Contents!A1" xr:uid="{6C02AE88-9FE9-4C10-885B-A2D52B6746B5}"/>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134ADC-C380-4456-B853-C45933CA9419}">
  <sheetPr codeName="Sheet7"/>
  <dimension ref="A1:J45"/>
  <sheetViews>
    <sheetView showGridLines="0" zoomScaleNormal="100" workbookViewId="0"/>
  </sheetViews>
  <sheetFormatPr defaultColWidth="8.77734375" defaultRowHeight="12.75" x14ac:dyDescent="0.2"/>
  <cols>
    <col min="1" max="1" width="8.77734375" style="1"/>
    <col min="2" max="2" width="27.77734375" style="1" customWidth="1"/>
    <col min="3" max="10" width="6.77734375" style="1" customWidth="1"/>
    <col min="11" max="16384" width="8.77734375" style="1"/>
  </cols>
  <sheetData>
    <row r="1" spans="1:10" ht="40.15" customHeight="1" x14ac:dyDescent="0.2">
      <c r="A1" s="4" t="s">
        <v>7</v>
      </c>
    </row>
    <row r="2" spans="1:10" ht="17.25" customHeight="1" thickBot="1" x14ac:dyDescent="0.35">
      <c r="B2" s="2" t="s">
        <v>2</v>
      </c>
    </row>
    <row r="3" spans="1:10" ht="12.75" customHeight="1" x14ac:dyDescent="0.2">
      <c r="B3" s="13"/>
      <c r="C3" s="284" t="s">
        <v>48</v>
      </c>
      <c r="D3" s="284"/>
      <c r="E3" s="284"/>
      <c r="F3" s="284"/>
      <c r="G3" s="284"/>
      <c r="H3" s="284"/>
      <c r="I3" s="284"/>
      <c r="J3" s="285" t="s">
        <v>49</v>
      </c>
    </row>
    <row r="4" spans="1:10" ht="12.75" customHeight="1" x14ac:dyDescent="0.2">
      <c r="B4" s="14"/>
      <c r="C4" s="91" t="s">
        <v>9</v>
      </c>
      <c r="D4" s="287" t="s">
        <v>10</v>
      </c>
      <c r="E4" s="287"/>
      <c r="F4" s="287"/>
      <c r="G4" s="287"/>
      <c r="H4" s="287"/>
      <c r="I4" s="287"/>
      <c r="J4" s="286"/>
    </row>
    <row r="5" spans="1:10" ht="12.75" customHeight="1" x14ac:dyDescent="0.2">
      <c r="B5" s="14"/>
      <c r="C5" s="183" t="s">
        <v>50</v>
      </c>
      <c r="D5" s="183" t="s">
        <v>51</v>
      </c>
      <c r="E5" s="183" t="s">
        <v>52</v>
      </c>
      <c r="F5" s="183" t="s">
        <v>53</v>
      </c>
      <c r="G5" s="183" t="s">
        <v>54</v>
      </c>
      <c r="H5" s="183" t="s">
        <v>55</v>
      </c>
      <c r="I5" s="183" t="s">
        <v>217</v>
      </c>
      <c r="J5" s="286"/>
    </row>
    <row r="6" spans="1:10" ht="14.25" customHeight="1" x14ac:dyDescent="0.2">
      <c r="B6" s="184" t="s">
        <v>56</v>
      </c>
      <c r="C6" s="87"/>
      <c r="D6" s="87"/>
      <c r="E6" s="87"/>
      <c r="F6" s="87"/>
      <c r="G6" s="87"/>
      <c r="H6" s="87"/>
      <c r="I6" s="87"/>
      <c r="J6" s="88"/>
    </row>
    <row r="7" spans="1:10" ht="14.25" customHeight="1" x14ac:dyDescent="0.2">
      <c r="B7" s="184" t="s">
        <v>57</v>
      </c>
      <c r="C7" s="92">
        <v>1.0890985966619307</v>
      </c>
      <c r="D7" s="92">
        <v>1.2914061400551939</v>
      </c>
      <c r="E7" s="92">
        <v>1.1112200167350683</v>
      </c>
      <c r="F7" s="92">
        <v>1.7434060486147089</v>
      </c>
      <c r="G7" s="92">
        <v>1.7809530794888884</v>
      </c>
      <c r="H7" s="92">
        <v>1.6662293958317891</v>
      </c>
      <c r="I7" s="92">
        <v>1.5670299075061442</v>
      </c>
      <c r="J7" s="93">
        <v>9.5151508791779662</v>
      </c>
    </row>
    <row r="8" spans="1:10" ht="14.25" customHeight="1" x14ac:dyDescent="0.2">
      <c r="B8" s="184" t="s">
        <v>58</v>
      </c>
      <c r="C8" s="92">
        <v>4.6300998584163215</v>
      </c>
      <c r="D8" s="92">
        <v>3.5855144913396608</v>
      </c>
      <c r="E8" s="92">
        <v>3.4976583272841624</v>
      </c>
      <c r="F8" s="92">
        <v>3.740088413692451</v>
      </c>
      <c r="G8" s="92">
        <v>3.7739757586492688</v>
      </c>
      <c r="H8" s="92">
        <v>3.6700182455920478</v>
      </c>
      <c r="I8" s="92">
        <v>3.5070808276126928</v>
      </c>
      <c r="J8" s="93">
        <v>23.847674489437267</v>
      </c>
    </row>
    <row r="9" spans="1:10" ht="14.25" customHeight="1" x14ac:dyDescent="0.2">
      <c r="B9" s="184" t="s">
        <v>59</v>
      </c>
      <c r="C9" s="94">
        <v>3069.799</v>
      </c>
      <c r="D9" s="94">
        <v>3179.867088</v>
      </c>
      <c r="E9" s="94">
        <v>3291.0879740000005</v>
      </c>
      <c r="F9" s="94">
        <v>3414.1775739999998</v>
      </c>
      <c r="G9" s="94">
        <v>3543.0278079999998</v>
      </c>
      <c r="H9" s="94">
        <v>3673.0575749999998</v>
      </c>
      <c r="I9" s="94">
        <v>3801.8746730000003</v>
      </c>
      <c r="J9" s="95">
        <v>732.07567300000028</v>
      </c>
    </row>
    <row r="10" spans="1:10" ht="14.25" customHeight="1" x14ac:dyDescent="0.2">
      <c r="B10" s="184" t="s">
        <v>60</v>
      </c>
      <c r="C10" s="94">
        <v>3134.6877250000002</v>
      </c>
      <c r="D10" s="94">
        <v>3227.4027749999996</v>
      </c>
      <c r="E10" s="94">
        <v>3349.6510929999999</v>
      </c>
      <c r="F10" s="94">
        <v>3478.3987369999995</v>
      </c>
      <c r="G10" s="94">
        <v>3607.1640269999998</v>
      </c>
      <c r="H10" s="94">
        <v>3737.6708480000002</v>
      </c>
      <c r="I10" s="94">
        <v>3864.1605650000006</v>
      </c>
      <c r="J10" s="95">
        <v>729.47284000000036</v>
      </c>
    </row>
    <row r="11" spans="1:10" ht="14.25" customHeight="1" x14ac:dyDescent="0.2">
      <c r="B11" s="184" t="s">
        <v>37</v>
      </c>
      <c r="C11" s="89">
        <v>5.0445026155898107</v>
      </c>
      <c r="D11" s="89">
        <v>3.9632469244111492</v>
      </c>
      <c r="E11" s="89">
        <v>2.8963373183753593</v>
      </c>
      <c r="F11" s="89">
        <v>2.5873802742315659</v>
      </c>
      <c r="G11" s="89">
        <v>2.9119891003987513</v>
      </c>
      <c r="H11" s="89">
        <v>3.157823634111709</v>
      </c>
      <c r="I11" s="89">
        <v>3.0142156387428236</v>
      </c>
      <c r="J11" s="90">
        <v>20.015957358696596</v>
      </c>
    </row>
    <row r="12" spans="1:10" ht="14.25" customHeight="1" x14ac:dyDescent="0.2">
      <c r="B12" s="184" t="s">
        <v>61</v>
      </c>
      <c r="C12" s="89">
        <v>3.419153071734724</v>
      </c>
      <c r="D12" s="89">
        <v>5.286103778311892</v>
      </c>
      <c r="E12" s="89">
        <v>4.3005090615671193</v>
      </c>
      <c r="F12" s="89">
        <v>5.2304819603616775</v>
      </c>
      <c r="G12" s="89">
        <v>4.3636367576260362</v>
      </c>
      <c r="H12" s="89">
        <v>4.1020261429370919</v>
      </c>
      <c r="I12" s="89">
        <v>3.9807214836000524</v>
      </c>
      <c r="J12" s="90">
        <v>30.54500385574579</v>
      </c>
    </row>
    <row r="13" spans="1:10" ht="14.25" customHeight="1" x14ac:dyDescent="0.2">
      <c r="B13" s="184" t="s">
        <v>62</v>
      </c>
      <c r="C13" s="89">
        <v>4.6005618815630189</v>
      </c>
      <c r="D13" s="89">
        <v>3.8440445194685613</v>
      </c>
      <c r="E13" s="89">
        <v>3.6764248803763451</v>
      </c>
      <c r="F13" s="89">
        <v>3.9215949838761519</v>
      </c>
      <c r="G13" s="89">
        <v>4.1165310024489425</v>
      </c>
      <c r="H13" s="89">
        <v>3.7404227592252295</v>
      </c>
      <c r="I13" s="89">
        <v>3.583451866338065</v>
      </c>
      <c r="J13" s="90">
        <v>25.177275223879292</v>
      </c>
    </row>
    <row r="14" spans="1:10" ht="14.25" customHeight="1" x14ac:dyDescent="0.2">
      <c r="B14" s="184" t="s">
        <v>63</v>
      </c>
      <c r="C14" s="87"/>
      <c r="D14" s="87"/>
      <c r="E14" s="87"/>
      <c r="F14" s="87"/>
      <c r="G14" s="87"/>
      <c r="H14" s="87"/>
      <c r="I14" s="87"/>
      <c r="J14" s="90"/>
    </row>
    <row r="15" spans="1:10" ht="14.25" customHeight="1" x14ac:dyDescent="0.2">
      <c r="B15" s="184" t="s">
        <v>64</v>
      </c>
      <c r="C15" s="89">
        <v>3.4047619047619122</v>
      </c>
      <c r="D15" s="89">
        <v>2.6327605007840305</v>
      </c>
      <c r="E15" s="89">
        <v>2.1192219342913035</v>
      </c>
      <c r="F15" s="89">
        <v>1.9596999880236297</v>
      </c>
      <c r="G15" s="89">
        <v>1.9577478389426943</v>
      </c>
      <c r="H15" s="89">
        <v>1.9709857032751898</v>
      </c>
      <c r="I15" s="89">
        <v>1.9093798513580111</v>
      </c>
      <c r="J15" s="90">
        <v>13.22258503481099</v>
      </c>
    </row>
    <row r="16" spans="1:10" ht="14.25" customHeight="1" x14ac:dyDescent="0.2">
      <c r="B16" s="184" t="s">
        <v>33</v>
      </c>
      <c r="C16" s="89">
        <v>4.2249006923964494</v>
      </c>
      <c r="D16" s="89">
        <v>3.7756701705261353</v>
      </c>
      <c r="E16" s="89">
        <v>4.0192948735893852</v>
      </c>
      <c r="F16" s="89">
        <v>2.9154565721873027</v>
      </c>
      <c r="G16" s="89">
        <v>2.9610064823766269</v>
      </c>
      <c r="H16" s="89">
        <v>2.1343707352736718</v>
      </c>
      <c r="I16" s="89">
        <v>2.1853734160564908</v>
      </c>
      <c r="J16" s="90">
        <v>19.377777806866078</v>
      </c>
    </row>
    <row r="17" spans="2:10" ht="14.25" customHeight="1" x14ac:dyDescent="0.2">
      <c r="B17" s="184" t="s">
        <v>32</v>
      </c>
      <c r="C17" s="89">
        <v>3.4451161830189925</v>
      </c>
      <c r="D17" s="89">
        <v>3.2850051403153779</v>
      </c>
      <c r="E17" s="89">
        <v>3.06480843350323</v>
      </c>
      <c r="F17" s="89">
        <v>2.0135763108444893</v>
      </c>
      <c r="G17" s="89">
        <v>2.1275392137919402</v>
      </c>
      <c r="H17" s="89">
        <v>1.982192004334471</v>
      </c>
      <c r="I17" s="89">
        <v>1.9999320648777186</v>
      </c>
      <c r="J17" s="90">
        <v>15.364646963385113</v>
      </c>
    </row>
    <row r="18" spans="2:10" ht="14.25" customHeight="1" x14ac:dyDescent="0.2">
      <c r="B18" s="184" t="s">
        <v>222</v>
      </c>
      <c r="C18" s="89">
        <v>3.5873243596172966</v>
      </c>
      <c r="D18" s="89">
        <v>3.5544844820170134</v>
      </c>
      <c r="E18" s="89">
        <v>2.8608307065622189</v>
      </c>
      <c r="F18" s="89">
        <v>2.1186639645702487</v>
      </c>
      <c r="G18" s="89">
        <v>2.3320046582870004</v>
      </c>
      <c r="H18" s="89">
        <v>2.541419569131405</v>
      </c>
      <c r="I18" s="89">
        <v>2.5891926937493914</v>
      </c>
      <c r="J18" s="90">
        <v>17.09449615238556</v>
      </c>
    </row>
    <row r="19" spans="2:10" ht="14.25" customHeight="1" x14ac:dyDescent="0.2">
      <c r="B19" s="185" t="s">
        <v>223</v>
      </c>
      <c r="C19" s="92">
        <v>4.8</v>
      </c>
      <c r="D19" s="100">
        <v>3.9</v>
      </c>
      <c r="E19" s="96">
        <v>3.4000000000000004</v>
      </c>
      <c r="F19" s="96">
        <v>2.5</v>
      </c>
      <c r="G19" s="96">
        <v>2.5</v>
      </c>
      <c r="H19" s="96">
        <v>2.5</v>
      </c>
      <c r="I19" s="96">
        <v>2.6</v>
      </c>
      <c r="J19" s="93">
        <v>18.701181913118717</v>
      </c>
    </row>
    <row r="20" spans="2:10" ht="14.25" customHeight="1" x14ac:dyDescent="0.2">
      <c r="B20" s="184" t="s">
        <v>65</v>
      </c>
      <c r="C20" s="97"/>
      <c r="D20" s="97"/>
      <c r="E20" s="97"/>
      <c r="F20" s="97"/>
      <c r="G20" s="97"/>
      <c r="H20" s="97"/>
      <c r="I20" s="97"/>
      <c r="J20" s="98"/>
    </row>
    <row r="21" spans="2:10" ht="14.25" customHeight="1" x14ac:dyDescent="0.2">
      <c r="B21" s="184" t="s">
        <v>36</v>
      </c>
      <c r="C21" s="89">
        <v>34.263249999999999</v>
      </c>
      <c r="D21" s="89">
        <v>34.451653050000012</v>
      </c>
      <c r="E21" s="89">
        <v>34.506469274999994</v>
      </c>
      <c r="F21" s="89">
        <v>34.717823824999996</v>
      </c>
      <c r="G21" s="89">
        <v>34.968021625000006</v>
      </c>
      <c r="H21" s="89">
        <v>35.232297299999999</v>
      </c>
      <c r="I21" s="89">
        <v>35.433228499999998</v>
      </c>
      <c r="J21" s="90">
        <v>1.1699784999999991</v>
      </c>
    </row>
    <row r="22" spans="2:10" ht="14.25" customHeight="1" x14ac:dyDescent="0.2">
      <c r="B22" s="184" t="s">
        <v>19</v>
      </c>
      <c r="C22" s="89">
        <v>-0.84877376411087369</v>
      </c>
      <c r="D22" s="89">
        <v>-1.1084694793021157</v>
      </c>
      <c r="E22" s="89">
        <v>-0.94972274487422226</v>
      </c>
      <c r="F22" s="89">
        <v>-0.60188345349106953</v>
      </c>
      <c r="G22" s="89">
        <v>-0.28308977332851271</v>
      </c>
      <c r="H22" s="89">
        <v>-9.1897642192392937E-2</v>
      </c>
      <c r="I22" s="89">
        <v>0</v>
      </c>
      <c r="J22" s="89">
        <v>0.84877376411087369</v>
      </c>
    </row>
    <row r="23" spans="2:10" ht="14.25" customHeight="1" x14ac:dyDescent="0.2">
      <c r="B23" s="184" t="s">
        <v>66</v>
      </c>
      <c r="C23" s="97"/>
      <c r="D23" s="97"/>
      <c r="E23" s="97"/>
      <c r="F23" s="97"/>
      <c r="G23" s="97"/>
      <c r="H23" s="97"/>
      <c r="I23" s="97"/>
      <c r="J23" s="98"/>
    </row>
    <row r="24" spans="2:10" ht="14.25" customHeight="1" x14ac:dyDescent="0.2">
      <c r="B24" s="184" t="s">
        <v>67</v>
      </c>
      <c r="C24" s="94">
        <v>5085.0520049999996</v>
      </c>
      <c r="D24" s="94">
        <v>5659.9766325000001</v>
      </c>
      <c r="E24" s="94">
        <v>5843.7633800000003</v>
      </c>
      <c r="F24" s="94">
        <v>6062.3075724999999</v>
      </c>
      <c r="G24" s="94">
        <v>6291.1039250000003</v>
      </c>
      <c r="H24" s="94">
        <v>6521.9909875000003</v>
      </c>
      <c r="I24" s="94">
        <v>6750.7317925000007</v>
      </c>
      <c r="J24" s="95">
        <v>1665.6797875000011</v>
      </c>
    </row>
    <row r="25" spans="2:10" ht="14.25" customHeight="1" x14ac:dyDescent="0.2">
      <c r="B25" s="184" t="s">
        <v>224</v>
      </c>
      <c r="C25" s="99">
        <v>6.8706801602427481</v>
      </c>
      <c r="D25" s="99">
        <v>9.9676562702263993</v>
      </c>
      <c r="E25" s="99">
        <v>4.3944541211378141</v>
      </c>
      <c r="F25" s="99">
        <v>4.5448103868213963</v>
      </c>
      <c r="G25" s="99">
        <v>4.1877120819050484</v>
      </c>
      <c r="H25" s="99">
        <v>4.1991478485514433</v>
      </c>
      <c r="I25" s="99">
        <v>4.1439017834255631</v>
      </c>
      <c r="J25" s="90">
        <v>35.693607671635817</v>
      </c>
    </row>
    <row r="26" spans="2:10" ht="14.25" customHeight="1" x14ac:dyDescent="0.2">
      <c r="B26" s="184" t="s">
        <v>225</v>
      </c>
      <c r="C26" s="89">
        <v>1.8900770952499091</v>
      </c>
      <c r="D26" s="89">
        <v>2.3538911212106717</v>
      </c>
      <c r="E26" s="89">
        <v>2.6082637080684812</v>
      </c>
      <c r="F26" s="89">
        <v>2.7607103319931436</v>
      </c>
      <c r="G26" s="89">
        <v>2.7477919394889749</v>
      </c>
      <c r="H26" s="89">
        <v>2.7477919394889749</v>
      </c>
      <c r="I26" s="89">
        <v>2.7477919394889749</v>
      </c>
      <c r="J26" s="90">
        <v>17.06613680894182</v>
      </c>
    </row>
    <row r="27" spans="2:10" ht="14.25" customHeight="1" x14ac:dyDescent="0.2">
      <c r="B27" s="184" t="s">
        <v>226</v>
      </c>
      <c r="C27" s="94">
        <v>1139.76</v>
      </c>
      <c r="D27" s="94">
        <v>1180.0408776362426</v>
      </c>
      <c r="E27" s="94">
        <v>1203.9532524927995</v>
      </c>
      <c r="F27" s="94">
        <v>1234.6565424935875</v>
      </c>
      <c r="G27" s="94">
        <v>1269.5718201457635</v>
      </c>
      <c r="H27" s="94">
        <v>1303.6307407404333</v>
      </c>
      <c r="I27" s="94">
        <v>1332.1467449084278</v>
      </c>
      <c r="J27" s="95">
        <v>192.38674490842777</v>
      </c>
    </row>
    <row r="28" spans="2:10" ht="14.25" customHeight="1" x14ac:dyDescent="0.2">
      <c r="B28" s="184" t="s">
        <v>227</v>
      </c>
      <c r="C28" s="100">
        <v>3.1969629120637499</v>
      </c>
      <c r="D28" s="100">
        <v>-3.6582766361461738</v>
      </c>
      <c r="E28" s="100">
        <v>3.7690509828402829</v>
      </c>
      <c r="F28" s="100">
        <v>1.9596999880236332</v>
      </c>
      <c r="G28" s="100">
        <v>1.9577478389426917</v>
      </c>
      <c r="H28" s="100">
        <v>1.9709857032752076</v>
      </c>
      <c r="I28" s="100">
        <v>1.9093798513580174</v>
      </c>
      <c r="J28" s="101">
        <v>7.9995173119279315</v>
      </c>
    </row>
    <row r="29" spans="2:10" ht="14.25" customHeight="1" x14ac:dyDescent="0.2">
      <c r="B29" s="184" t="s">
        <v>228</v>
      </c>
      <c r="C29" s="100">
        <v>-0.12634238787112562</v>
      </c>
      <c r="D29" s="100">
        <v>-0.81463747494079364</v>
      </c>
      <c r="E29" s="100">
        <v>1.8426650126210031</v>
      </c>
      <c r="F29" s="100">
        <v>1.7434060486147374</v>
      </c>
      <c r="G29" s="100">
        <v>1.7809530794889117</v>
      </c>
      <c r="H29" s="100">
        <v>1.6662293958317864</v>
      </c>
      <c r="I29" s="100">
        <v>1.5670299075061234</v>
      </c>
      <c r="J29" s="101">
        <v>8.0138871346145208</v>
      </c>
    </row>
    <row r="30" spans="2:10" ht="14.25" customHeight="1" x14ac:dyDescent="0.2">
      <c r="B30" s="184" t="s">
        <v>68</v>
      </c>
      <c r="C30" s="102"/>
      <c r="D30" s="102"/>
      <c r="E30" s="102"/>
      <c r="F30" s="102"/>
      <c r="G30" s="102"/>
      <c r="H30" s="102"/>
      <c r="I30" s="102"/>
      <c r="J30" s="103"/>
    </row>
    <row r="31" spans="2:10" ht="14.25" customHeight="1" x14ac:dyDescent="0.2">
      <c r="B31" s="184" t="s">
        <v>69</v>
      </c>
      <c r="C31" s="89">
        <v>68.392236816927038</v>
      </c>
      <c r="D31" s="89">
        <v>85.849120248109372</v>
      </c>
      <c r="E31" s="89">
        <v>78.021583333333339</v>
      </c>
      <c r="F31" s="89">
        <v>73.593000000000004</v>
      </c>
      <c r="G31" s="89">
        <v>71.66758333333334</v>
      </c>
      <c r="H31" s="89">
        <v>71.418849935819821</v>
      </c>
      <c r="I31" s="89">
        <v>72.945658426906789</v>
      </c>
      <c r="J31" s="90">
        <v>4.5534216099797504</v>
      </c>
    </row>
    <row r="32" spans="2:10" ht="14.25" customHeight="1" x14ac:dyDescent="0.2">
      <c r="B32" s="184" t="s">
        <v>70</v>
      </c>
      <c r="C32" s="89">
        <v>51.875179624489562</v>
      </c>
      <c r="D32" s="89">
        <v>63.7087402817086</v>
      </c>
      <c r="E32" s="89">
        <v>57.68693776956254</v>
      </c>
      <c r="F32" s="89">
        <v>54.412569316081331</v>
      </c>
      <c r="G32" s="89">
        <v>52.98897104128158</v>
      </c>
      <c r="H32" s="89">
        <v>52.805064647556243</v>
      </c>
      <c r="I32" s="89">
        <v>53.933943384034592</v>
      </c>
      <c r="J32" s="90">
        <v>2.0587637595450303</v>
      </c>
    </row>
    <row r="33" spans="2:10" ht="14.25" customHeight="1" x14ac:dyDescent="0.2">
      <c r="B33" s="184" t="s">
        <v>229</v>
      </c>
      <c r="C33" s="89">
        <v>89.231666666666683</v>
      </c>
      <c r="D33" s="89">
        <v>126.59146989966555</v>
      </c>
      <c r="E33" s="89">
        <v>107.68583333333336</v>
      </c>
      <c r="F33" s="89">
        <v>76.785083333333318</v>
      </c>
      <c r="G33" s="89">
        <v>67.57050000000001</v>
      </c>
      <c r="H33" s="89">
        <v>68.995770281478343</v>
      </c>
      <c r="I33" s="89">
        <v>68.937120390500354</v>
      </c>
      <c r="J33" s="90">
        <v>-20.294546276166329</v>
      </c>
    </row>
    <row r="34" spans="2:10" ht="14.25" customHeight="1" x14ac:dyDescent="0.2">
      <c r="B34" s="184" t="s">
        <v>71</v>
      </c>
      <c r="C34" s="89">
        <v>31.179899999999993</v>
      </c>
      <c r="D34" s="89">
        <v>28.495580248428006</v>
      </c>
      <c r="E34" s="89">
        <v>26.215933828553769</v>
      </c>
      <c r="F34" s="89">
        <v>23.921860057364707</v>
      </c>
      <c r="G34" s="89">
        <v>21.709414803425378</v>
      </c>
      <c r="H34" s="89">
        <v>19.755567471117097</v>
      </c>
      <c r="I34" s="89">
        <v>18.162422122055592</v>
      </c>
      <c r="J34" s="90">
        <v>-13.017477877944401</v>
      </c>
    </row>
    <row r="35" spans="2:10" ht="14.25" customHeight="1" x14ac:dyDescent="0.2">
      <c r="B35" s="184" t="s">
        <v>72</v>
      </c>
      <c r="C35" s="89">
        <v>10.076219755622359</v>
      </c>
      <c r="D35" s="89">
        <v>9.3348334457318938</v>
      </c>
      <c r="E35" s="89">
        <v>8.3905069065577926</v>
      </c>
      <c r="F35" s="89">
        <v>7.2788147571640058</v>
      </c>
      <c r="G35" s="89">
        <v>6.1949667145036225</v>
      </c>
      <c r="H35" s="89">
        <v>5.4067383555628545</v>
      </c>
      <c r="I35" s="89">
        <v>4.6805868175891074</v>
      </c>
      <c r="J35" s="90">
        <v>-5.3956329380332519</v>
      </c>
    </row>
    <row r="36" spans="2:10" ht="14.25" customHeight="1" x14ac:dyDescent="0.2">
      <c r="B36" s="184" t="s">
        <v>73</v>
      </c>
      <c r="C36" s="87"/>
      <c r="D36" s="87"/>
      <c r="E36" s="87"/>
      <c r="F36" s="87"/>
      <c r="G36" s="87"/>
      <c r="H36" s="87"/>
      <c r="I36" s="87"/>
      <c r="J36" s="88"/>
    </row>
    <row r="37" spans="2:10" ht="14.25" customHeight="1" x14ac:dyDescent="0.2">
      <c r="B37" s="184" t="s">
        <v>74</v>
      </c>
      <c r="C37" s="89">
        <v>4</v>
      </c>
      <c r="D37" s="89">
        <v>3.9</v>
      </c>
      <c r="E37" s="89">
        <v>4.8</v>
      </c>
      <c r="F37" s="89">
        <v>4.8</v>
      </c>
      <c r="G37" s="89">
        <v>4.7</v>
      </c>
      <c r="H37" s="89">
        <v>4.7</v>
      </c>
      <c r="I37" s="89">
        <v>4.8</v>
      </c>
      <c r="J37" s="90">
        <v>0.79999999999999982</v>
      </c>
    </row>
    <row r="38" spans="2:10" ht="14.25" customHeight="1" x14ac:dyDescent="0.2">
      <c r="B38" s="184" t="s">
        <v>230</v>
      </c>
      <c r="C38" s="89">
        <v>4.4082231170847237</v>
      </c>
      <c r="D38" s="89">
        <v>5.1129712214063758</v>
      </c>
      <c r="E38" s="89">
        <v>5.4134473182876599</v>
      </c>
      <c r="F38" s="89">
        <v>5.5729686366410673</v>
      </c>
      <c r="G38" s="89">
        <v>5.7277843641068609</v>
      </c>
      <c r="H38" s="89">
        <v>5.8862059978128656</v>
      </c>
      <c r="I38" s="89">
        <v>6.0460444232469177</v>
      </c>
      <c r="J38" s="90">
        <v>1.637821306162194</v>
      </c>
    </row>
    <row r="39" spans="2:10" ht="14.25" customHeight="1" x14ac:dyDescent="0.2">
      <c r="B39" s="186" t="s">
        <v>75</v>
      </c>
      <c r="C39" s="104">
        <v>1.156425</v>
      </c>
      <c r="D39" s="102">
        <v>1.1657250000000001</v>
      </c>
      <c r="E39" s="102">
        <v>1.1692</v>
      </c>
      <c r="F39" s="102">
        <v>1.1692</v>
      </c>
      <c r="G39" s="102">
        <v>1.1692</v>
      </c>
      <c r="H39" s="102">
        <v>1.1692</v>
      </c>
      <c r="I39" s="102">
        <v>1.1692</v>
      </c>
      <c r="J39" s="103">
        <v>1.2774999999999981E-2</v>
      </c>
    </row>
    <row r="40" spans="2:10" ht="12.75" customHeight="1" x14ac:dyDescent="0.2">
      <c r="B40" s="288" t="s">
        <v>231</v>
      </c>
      <c r="C40" s="289"/>
      <c r="D40" s="294" t="s">
        <v>232</v>
      </c>
      <c r="E40" s="294"/>
      <c r="F40" s="294"/>
      <c r="G40" s="294"/>
      <c r="H40" s="294"/>
      <c r="I40" s="294"/>
      <c r="J40" s="295"/>
    </row>
    <row r="41" spans="2:10" x14ac:dyDescent="0.2">
      <c r="B41" s="290"/>
      <c r="C41" s="291"/>
      <c r="D41" s="296"/>
      <c r="E41" s="296"/>
      <c r="F41" s="296"/>
      <c r="G41" s="296"/>
      <c r="H41" s="296"/>
      <c r="I41" s="296"/>
      <c r="J41" s="297"/>
    </row>
    <row r="42" spans="2:10" x14ac:dyDescent="0.2">
      <c r="B42" s="290"/>
      <c r="C42" s="291"/>
      <c r="D42" s="296"/>
      <c r="E42" s="296"/>
      <c r="F42" s="296"/>
      <c r="G42" s="296"/>
      <c r="H42" s="296"/>
      <c r="I42" s="296"/>
      <c r="J42" s="297"/>
    </row>
    <row r="43" spans="2:10" x14ac:dyDescent="0.2">
      <c r="B43" s="290"/>
      <c r="C43" s="291"/>
      <c r="D43" s="296"/>
      <c r="E43" s="296"/>
      <c r="F43" s="296"/>
      <c r="G43" s="296"/>
      <c r="H43" s="296"/>
      <c r="I43" s="296"/>
      <c r="J43" s="297"/>
    </row>
    <row r="44" spans="2:10" x14ac:dyDescent="0.2">
      <c r="B44" s="290"/>
      <c r="C44" s="291"/>
      <c r="D44" s="296"/>
      <c r="E44" s="296"/>
      <c r="F44" s="296"/>
      <c r="G44" s="296"/>
      <c r="H44" s="296"/>
      <c r="I44" s="296"/>
      <c r="J44" s="297"/>
    </row>
    <row r="45" spans="2:10" ht="13.5" thickBot="1" x14ac:dyDescent="0.25">
      <c r="B45" s="292"/>
      <c r="C45" s="293"/>
      <c r="D45" s="298"/>
      <c r="E45" s="298"/>
      <c r="F45" s="298"/>
      <c r="G45" s="298"/>
      <c r="H45" s="298"/>
      <c r="I45" s="298"/>
      <c r="J45" s="299"/>
    </row>
  </sheetData>
  <mergeCells count="5">
    <mergeCell ref="C3:I3"/>
    <mergeCell ref="J3:J5"/>
    <mergeCell ref="D4:I4"/>
    <mergeCell ref="B40:C45"/>
    <mergeCell ref="D40:J45"/>
  </mergeCells>
  <hyperlinks>
    <hyperlink ref="A1" location="Contents!A1" display="Contents!A1" xr:uid="{C8B22589-6009-4EB9-8017-A1FEE150D870}"/>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0026CB-D4C9-44B7-88F4-821298ABBCC9}">
  <sheetPr codeName="Sheet8"/>
  <dimension ref="A1:H50"/>
  <sheetViews>
    <sheetView showGridLines="0" zoomScaleNormal="100" workbookViewId="0"/>
  </sheetViews>
  <sheetFormatPr defaultColWidth="8.77734375" defaultRowHeight="12.75" x14ac:dyDescent="0.2"/>
  <cols>
    <col min="1" max="1" width="8.77734375" style="5"/>
    <col min="2" max="2" width="27.77734375" style="1" customWidth="1"/>
    <col min="3" max="8" width="6.77734375" style="1" customWidth="1"/>
    <col min="9" max="10" width="5.77734375" style="1" customWidth="1"/>
    <col min="11" max="16384" width="8.77734375" style="1"/>
  </cols>
  <sheetData>
    <row r="1" spans="1:8" ht="40.15" customHeight="1" x14ac:dyDescent="0.2">
      <c r="A1" s="4" t="s">
        <v>7</v>
      </c>
    </row>
    <row r="2" spans="1:8" ht="17.25" customHeight="1" thickBot="1" x14ac:dyDescent="0.35">
      <c r="A2" s="1"/>
      <c r="B2" s="2" t="s">
        <v>267</v>
      </c>
    </row>
    <row r="3" spans="1:8" ht="12.75" customHeight="1" x14ac:dyDescent="0.2">
      <c r="B3" s="13"/>
      <c r="C3" s="283" t="s">
        <v>47</v>
      </c>
      <c r="D3" s="283"/>
      <c r="E3" s="283"/>
      <c r="F3" s="283"/>
      <c r="G3" s="283"/>
      <c r="H3" s="283"/>
    </row>
    <row r="4" spans="1:8" ht="12.75" customHeight="1" x14ac:dyDescent="0.2">
      <c r="B4" s="14"/>
      <c r="C4" s="206" t="s">
        <v>9</v>
      </c>
      <c r="D4" s="300" t="s">
        <v>10</v>
      </c>
      <c r="E4" s="300"/>
      <c r="F4" s="300"/>
      <c r="G4" s="300"/>
      <c r="H4" s="300"/>
    </row>
    <row r="5" spans="1:8" ht="12.75" customHeight="1" x14ac:dyDescent="0.2">
      <c r="B5" s="14"/>
      <c r="C5" s="207" t="s">
        <v>50</v>
      </c>
      <c r="D5" s="207" t="s">
        <v>51</v>
      </c>
      <c r="E5" s="207" t="s">
        <v>52</v>
      </c>
      <c r="F5" s="207" t="s">
        <v>53</v>
      </c>
      <c r="G5" s="207" t="s">
        <v>54</v>
      </c>
      <c r="H5" s="208" t="s">
        <v>55</v>
      </c>
    </row>
    <row r="6" spans="1:8" ht="14.25" customHeight="1" x14ac:dyDescent="0.2">
      <c r="B6" s="184" t="s">
        <v>56</v>
      </c>
      <c r="C6" s="87"/>
      <c r="D6" s="87"/>
      <c r="E6" s="87"/>
      <c r="F6" s="87"/>
      <c r="G6" s="87"/>
      <c r="H6" s="87"/>
    </row>
    <row r="7" spans="1:8" ht="14.25" customHeight="1" x14ac:dyDescent="0.2">
      <c r="B7" s="184" t="s">
        <v>57</v>
      </c>
      <c r="C7" s="89">
        <v>-6.1992010690494093E-2</v>
      </c>
      <c r="D7" s="89">
        <v>6.0665912858841597E-3</v>
      </c>
      <c r="E7" s="89">
        <v>-0.48520637443580106</v>
      </c>
      <c r="F7" s="89">
        <v>0.16492275391505995</v>
      </c>
      <c r="G7" s="89">
        <v>0.2570931120081954</v>
      </c>
      <c r="H7" s="89">
        <v>0.14397447326540425</v>
      </c>
    </row>
    <row r="8" spans="1:8" ht="14.25" customHeight="1" x14ac:dyDescent="0.2">
      <c r="B8" s="184" t="s">
        <v>58</v>
      </c>
      <c r="C8" s="89">
        <v>0.5181622478811585</v>
      </c>
      <c r="D8" s="89">
        <v>3.8478884208155151E-3</v>
      </c>
      <c r="E8" s="89">
        <v>-7.1614152980262968E-2</v>
      </c>
      <c r="F8" s="89">
        <v>0.26689741622047558</v>
      </c>
      <c r="G8" s="89">
        <v>0.35730550332819755</v>
      </c>
      <c r="H8" s="89">
        <v>0.10103163083480249</v>
      </c>
    </row>
    <row r="9" spans="1:8" ht="14.25" customHeight="1" x14ac:dyDescent="0.2">
      <c r="B9" s="184" t="s">
        <v>59</v>
      </c>
      <c r="C9" s="89">
        <v>15.13288700000021</v>
      </c>
      <c r="D9" s="89">
        <v>15.793018999999731</v>
      </c>
      <c r="E9" s="89">
        <v>14.079480000000331</v>
      </c>
      <c r="F9" s="89">
        <v>23.352315999999973</v>
      </c>
      <c r="G9" s="89">
        <v>36.349232000000029</v>
      </c>
      <c r="H9" s="89">
        <v>41.226110000000062</v>
      </c>
    </row>
    <row r="10" spans="1:8" ht="14.25" customHeight="1" x14ac:dyDescent="0.2">
      <c r="B10" s="184" t="s">
        <v>60</v>
      </c>
      <c r="C10" s="89">
        <v>36.065815000000384</v>
      </c>
      <c r="D10" s="89">
        <v>7.3822299999997085</v>
      </c>
      <c r="E10" s="89">
        <v>16.19905000000017</v>
      </c>
      <c r="F10" s="89">
        <v>30.774105999999392</v>
      </c>
      <c r="G10" s="89">
        <v>39.63566899999978</v>
      </c>
      <c r="H10" s="89">
        <v>41.026590648253205</v>
      </c>
    </row>
    <row r="11" spans="1:8" ht="14.25" customHeight="1" x14ac:dyDescent="0.2">
      <c r="B11" s="184" t="s">
        <v>37</v>
      </c>
      <c r="C11" s="89">
        <v>-1.0133547000250411</v>
      </c>
      <c r="D11" s="89">
        <v>0.78716809196477655</v>
      </c>
      <c r="E11" s="89">
        <v>-2.5242975621769581E-2</v>
      </c>
      <c r="F11" s="89">
        <v>-0.22937266901510345</v>
      </c>
      <c r="G11" s="89">
        <v>7.7921449633489459E-2</v>
      </c>
      <c r="H11" s="89">
        <v>0.25340418197510584</v>
      </c>
    </row>
    <row r="12" spans="1:8" ht="14.25" customHeight="1" x14ac:dyDescent="0.2">
      <c r="B12" s="184" t="s">
        <v>61</v>
      </c>
      <c r="C12" s="89">
        <v>2.4221001086597855</v>
      </c>
      <c r="D12" s="89">
        <v>1.965779265468663</v>
      </c>
      <c r="E12" s="89">
        <v>0.3198253507591895</v>
      </c>
      <c r="F12" s="89">
        <v>1.2304819603617108</v>
      </c>
      <c r="G12" s="89">
        <v>0.36363675762604997</v>
      </c>
      <c r="H12" s="89">
        <v>0.10202614293710521</v>
      </c>
    </row>
    <row r="13" spans="1:8" ht="14.25" customHeight="1" x14ac:dyDescent="0.2">
      <c r="B13" s="184" t="s">
        <v>62</v>
      </c>
      <c r="C13" s="89">
        <v>-0.15822362292249004</v>
      </c>
      <c r="D13" s="89">
        <v>0.73859877069929158</v>
      </c>
      <c r="E13" s="89">
        <v>0.18765463501873514</v>
      </c>
      <c r="F13" s="89">
        <v>8.924996888287362E-2</v>
      </c>
      <c r="G13" s="89">
        <v>0.17665866902827254</v>
      </c>
      <c r="H13" s="89">
        <v>-0.11915645031482924</v>
      </c>
    </row>
    <row r="14" spans="1:8" ht="14.25" customHeight="1" x14ac:dyDescent="0.2">
      <c r="B14" s="184" t="s">
        <v>63</v>
      </c>
      <c r="C14" s="89"/>
      <c r="D14" s="89"/>
      <c r="E14" s="89"/>
      <c r="F14" s="89"/>
      <c r="G14" s="89"/>
      <c r="H14" s="89"/>
    </row>
    <row r="15" spans="1:8" ht="14.25" customHeight="1" x14ac:dyDescent="0.2">
      <c r="B15" s="184" t="s">
        <v>64</v>
      </c>
      <c r="C15" s="89">
        <v>0.16593074796504936</v>
      </c>
      <c r="D15" s="89">
        <v>0.62701857582470666</v>
      </c>
      <c r="E15" s="89">
        <v>0.17724167180470829</v>
      </c>
      <c r="F15" s="89">
        <v>9.4384235821067364E-2</v>
      </c>
      <c r="G15" s="89">
        <v>9.3380602838820437E-2</v>
      </c>
      <c r="H15" s="89">
        <v>-4.4976617851091305E-2</v>
      </c>
    </row>
    <row r="16" spans="1:8" ht="14.25" customHeight="1" x14ac:dyDescent="0.2">
      <c r="B16" s="184" t="s">
        <v>33</v>
      </c>
      <c r="C16" s="89">
        <v>2.523977432988822E-3</v>
      </c>
      <c r="D16" s="89">
        <v>0.91737206787516623</v>
      </c>
      <c r="E16" s="89">
        <v>1.082347013702134</v>
      </c>
      <c r="F16" s="89">
        <v>0.10085066896188266</v>
      </c>
      <c r="G16" s="89">
        <v>7.4088650144821244E-2</v>
      </c>
      <c r="H16" s="89">
        <v>5.865942788609857E-2</v>
      </c>
    </row>
    <row r="17" spans="2:8" ht="14.25" customHeight="1" x14ac:dyDescent="0.2">
      <c r="B17" s="184" t="s">
        <v>32</v>
      </c>
      <c r="C17" s="89">
        <v>7.0843495157957292E-3</v>
      </c>
      <c r="D17" s="89">
        <v>1.2704826164102068</v>
      </c>
      <c r="E17" s="89">
        <v>1.1148826396626177</v>
      </c>
      <c r="F17" s="89">
        <v>-2.2577000953560855E-2</v>
      </c>
      <c r="G17" s="89">
        <v>0.12747496927714153</v>
      </c>
      <c r="H17" s="89">
        <v>-1.7648649325119337E-2</v>
      </c>
    </row>
    <row r="18" spans="2:8" ht="14.25" customHeight="1" x14ac:dyDescent="0.2">
      <c r="B18" s="184" t="s">
        <v>222</v>
      </c>
      <c r="C18" s="89">
        <v>-0.99802660096832785</v>
      </c>
      <c r="D18" s="89">
        <v>0.38261238147357535</v>
      </c>
      <c r="E18" s="89">
        <v>0.66925873371009548</v>
      </c>
      <c r="F18" s="89">
        <v>-2.0751348561782734E-3</v>
      </c>
      <c r="G18" s="89">
        <v>7.9173008895034425E-2</v>
      </c>
      <c r="H18" s="89">
        <v>0.10322646094071608</v>
      </c>
    </row>
    <row r="19" spans="2:8" ht="14.25" customHeight="1" x14ac:dyDescent="0.2">
      <c r="B19" s="185" t="s">
        <v>223</v>
      </c>
      <c r="C19" s="89">
        <v>0</v>
      </c>
      <c r="D19" s="89">
        <v>0.20000000000000018</v>
      </c>
      <c r="E19" s="89">
        <v>0.90000000000000036</v>
      </c>
      <c r="F19" s="89">
        <v>0</v>
      </c>
      <c r="G19" s="89">
        <v>0</v>
      </c>
      <c r="H19" s="89">
        <v>0</v>
      </c>
    </row>
    <row r="20" spans="2:8" ht="14.25" customHeight="1" x14ac:dyDescent="0.2">
      <c r="B20" s="184" t="s">
        <v>65</v>
      </c>
      <c r="C20" s="89"/>
      <c r="D20" s="89"/>
      <c r="E20" s="89"/>
      <c r="F20" s="89"/>
      <c r="G20" s="89"/>
      <c r="H20" s="89"/>
    </row>
    <row r="21" spans="2:8" ht="14.25" customHeight="1" x14ac:dyDescent="0.2">
      <c r="B21" s="184" t="s">
        <v>36</v>
      </c>
      <c r="C21" s="89">
        <v>4.0993500000006122E-2</v>
      </c>
      <c r="D21" s="89">
        <v>0.20352372500001792</v>
      </c>
      <c r="E21" s="89">
        <v>-3.827917500000666E-2</v>
      </c>
      <c r="F21" s="89">
        <v>-0.1148136500000021</v>
      </c>
      <c r="G21" s="89">
        <v>-0.11552599999999558</v>
      </c>
      <c r="H21" s="89">
        <v>-6.4401549999999474E-2</v>
      </c>
    </row>
    <row r="22" spans="2:8" ht="14.25" customHeight="1" x14ac:dyDescent="0.2">
      <c r="B22" s="184" t="s">
        <v>219</v>
      </c>
      <c r="C22" s="89">
        <v>-4.1719305115719862E-2</v>
      </c>
      <c r="D22" s="89">
        <v>-0.33001357884846527</v>
      </c>
      <c r="E22" s="89">
        <v>-0.5334103377017243</v>
      </c>
      <c r="F22" s="89">
        <v>-0.45707721203642393</v>
      </c>
      <c r="G22" s="89">
        <v>-0.2422231633883456</v>
      </c>
      <c r="H22" s="89">
        <v>-8.6925905455800034E-2</v>
      </c>
    </row>
    <row r="23" spans="2:8" ht="14.25" customHeight="1" x14ac:dyDescent="0.2">
      <c r="B23" s="184" t="s">
        <v>66</v>
      </c>
      <c r="C23" s="89"/>
      <c r="D23" s="89"/>
      <c r="E23" s="89"/>
      <c r="F23" s="89"/>
      <c r="G23" s="89"/>
      <c r="H23" s="89"/>
    </row>
    <row r="24" spans="2:8" ht="14.25" customHeight="1" x14ac:dyDescent="0.2">
      <c r="B24" s="184" t="s">
        <v>220</v>
      </c>
      <c r="C24" s="89">
        <v>0.4192957901908434</v>
      </c>
      <c r="D24" s="89">
        <v>1.5718419597005928</v>
      </c>
      <c r="E24" s="89">
        <v>1.2558955038050934</v>
      </c>
      <c r="F24" s="89">
        <v>1.516856798759636</v>
      </c>
      <c r="G24" s="89">
        <v>1.8676824187349172</v>
      </c>
      <c r="H24" s="89">
        <v>1.9669609110936515</v>
      </c>
    </row>
    <row r="25" spans="2:8" ht="14.25" customHeight="1" x14ac:dyDescent="0.2">
      <c r="B25" s="184" t="s">
        <v>224</v>
      </c>
      <c r="C25" s="89">
        <v>0</v>
      </c>
      <c r="D25" s="89">
        <v>7.6827639136654469</v>
      </c>
      <c r="E25" s="89">
        <v>-0.21540272048203857</v>
      </c>
      <c r="F25" s="89">
        <v>4.5653549515356495E-2</v>
      </c>
      <c r="G25" s="89">
        <v>-2.720785777210466E-2</v>
      </c>
      <c r="H25" s="89">
        <v>5.0229664989132061E-3</v>
      </c>
    </row>
    <row r="26" spans="2:8" ht="14.25" customHeight="1" x14ac:dyDescent="0.2">
      <c r="B26" s="184" t="s">
        <v>225</v>
      </c>
      <c r="C26" s="89">
        <v>-0.15165443135374268</v>
      </c>
      <c r="D26" s="89">
        <v>-0.46627215391517041</v>
      </c>
      <c r="E26" s="89">
        <v>-0.30522502585481615</v>
      </c>
      <c r="F26" s="89">
        <v>9.6079882767985403E-2</v>
      </c>
      <c r="G26" s="89">
        <v>0.20922853029421429</v>
      </c>
      <c r="H26" s="89">
        <v>0.3732237188631693</v>
      </c>
    </row>
    <row r="27" spans="2:8" ht="14.25" customHeight="1" x14ac:dyDescent="0.2">
      <c r="B27" s="184" t="s">
        <v>226</v>
      </c>
      <c r="C27" s="89">
        <v>6.4624026275000688</v>
      </c>
      <c r="D27" s="89">
        <v>-45.567584216976911</v>
      </c>
      <c r="E27" s="89">
        <v>-57.210757424416443</v>
      </c>
      <c r="F27" s="89">
        <v>-60.718186570194121</v>
      </c>
      <c r="G27" s="89">
        <v>-54.817801670840026</v>
      </c>
      <c r="H27" s="89">
        <v>-43.968703329014488</v>
      </c>
    </row>
    <row r="28" spans="2:8" ht="14.25" customHeight="1" x14ac:dyDescent="0.2">
      <c r="B28" s="184" t="s">
        <v>227</v>
      </c>
      <c r="C28" s="89">
        <v>0.72057137636660773</v>
      </c>
      <c r="D28" s="89">
        <v>-6.058091410808486</v>
      </c>
      <c r="E28" s="89">
        <v>1.992498767987172</v>
      </c>
      <c r="F28" s="89">
        <v>9.4384235821065587E-2</v>
      </c>
      <c r="G28" s="89">
        <v>9.3380602838788462E-2</v>
      </c>
      <c r="H28" s="89">
        <v>-4.4976617851077982E-2</v>
      </c>
    </row>
    <row r="29" spans="2:8" ht="14.25" customHeight="1" x14ac:dyDescent="0.2">
      <c r="B29" s="184" t="s">
        <v>228</v>
      </c>
      <c r="C29" s="89">
        <v>1.1631609678335653</v>
      </c>
      <c r="D29" s="89">
        <v>-2.0188749653854421</v>
      </c>
      <c r="E29" s="89">
        <v>0.24623862145012332</v>
      </c>
      <c r="F29" s="89">
        <v>0.1649227539150866</v>
      </c>
      <c r="G29" s="89">
        <v>0.25709311200823315</v>
      </c>
      <c r="H29" s="89">
        <v>0.14397447326539581</v>
      </c>
    </row>
    <row r="30" spans="2:8" ht="14.25" customHeight="1" x14ac:dyDescent="0.2">
      <c r="B30" s="184" t="s">
        <v>68</v>
      </c>
      <c r="C30" s="89"/>
      <c r="D30" s="89"/>
      <c r="E30" s="89"/>
      <c r="F30" s="89"/>
      <c r="G30" s="89"/>
      <c r="H30" s="89"/>
    </row>
    <row r="31" spans="2:8" ht="14.25" customHeight="1" x14ac:dyDescent="0.2">
      <c r="B31" s="184" t="s">
        <v>69</v>
      </c>
      <c r="C31" s="89">
        <v>0</v>
      </c>
      <c r="D31" s="89">
        <v>22.757546718697611</v>
      </c>
      <c r="E31" s="89">
        <v>15.366166666666672</v>
      </c>
      <c r="F31" s="89">
        <v>9.8328333333333404</v>
      </c>
      <c r="G31" s="89">
        <v>6.5997692952956299</v>
      </c>
      <c r="H31" s="89">
        <v>5.0453935048362979</v>
      </c>
    </row>
    <row r="32" spans="2:8" ht="14.25" customHeight="1" x14ac:dyDescent="0.2">
      <c r="B32" s="184" t="s">
        <v>70</v>
      </c>
      <c r="C32" s="89">
        <v>0</v>
      </c>
      <c r="D32" s="89">
        <v>16.792590466479268</v>
      </c>
      <c r="E32" s="89">
        <v>11.082437297111362</v>
      </c>
      <c r="F32" s="89">
        <v>6.9863310811817314</v>
      </c>
      <c r="G32" s="89">
        <v>4.5900754404421633</v>
      </c>
      <c r="H32" s="89">
        <v>3.4350030285796009</v>
      </c>
    </row>
    <row r="33" spans="2:8" ht="14.25" customHeight="1" x14ac:dyDescent="0.2">
      <c r="B33" s="184" t="s">
        <v>229</v>
      </c>
      <c r="C33" s="89">
        <v>-4.598913043476216E-2</v>
      </c>
      <c r="D33" s="89">
        <v>52.646253232998887</v>
      </c>
      <c r="E33" s="89">
        <v>43.330333333333357</v>
      </c>
      <c r="F33" s="89">
        <v>16.410083333333326</v>
      </c>
      <c r="G33" s="89">
        <v>5.4714021767882883</v>
      </c>
      <c r="H33" s="89">
        <v>7.1551154814087852</v>
      </c>
    </row>
    <row r="34" spans="2:8" ht="14.25" customHeight="1" x14ac:dyDescent="0.2">
      <c r="B34" s="184" t="s">
        <v>71</v>
      </c>
      <c r="C34" s="89">
        <v>-8.222509283237045E-2</v>
      </c>
      <c r="D34" s="89">
        <v>0</v>
      </c>
      <c r="E34" s="89">
        <v>0</v>
      </c>
      <c r="F34" s="89">
        <v>0</v>
      </c>
      <c r="G34" s="89">
        <v>0</v>
      </c>
      <c r="H34" s="89">
        <v>0</v>
      </c>
    </row>
    <row r="35" spans="2:8" ht="14.25" customHeight="1" x14ac:dyDescent="0.2">
      <c r="B35" s="184" t="s">
        <v>72</v>
      </c>
      <c r="C35" s="89">
        <v>8.6524971852533383E-2</v>
      </c>
      <c r="D35" s="89">
        <v>-3.9579575234931497E-2</v>
      </c>
      <c r="E35" s="89">
        <v>-5.2546506214019573E-2</v>
      </c>
      <c r="F35" s="89">
        <v>-4.7724533201383146E-2</v>
      </c>
      <c r="G35" s="89">
        <v>-3.504160452786742E-2</v>
      </c>
      <c r="H35" s="89">
        <v>9.8987206525080751E-4</v>
      </c>
    </row>
    <row r="36" spans="2:8" ht="14.25" customHeight="1" x14ac:dyDescent="0.2">
      <c r="B36" s="184" t="s">
        <v>73</v>
      </c>
      <c r="C36" s="89"/>
      <c r="D36" s="89"/>
      <c r="E36" s="89"/>
      <c r="F36" s="89"/>
      <c r="G36" s="89"/>
      <c r="H36" s="89"/>
    </row>
    <row r="37" spans="2:8" ht="14.25" customHeight="1" x14ac:dyDescent="0.2">
      <c r="B37" s="184" t="s">
        <v>221</v>
      </c>
      <c r="C37" s="89">
        <v>-2.4872319101327811E-2</v>
      </c>
      <c r="D37" s="89">
        <v>0.4965437609648844</v>
      </c>
      <c r="E37" s="89">
        <v>1.2472168328947277</v>
      </c>
      <c r="F37" s="89">
        <v>1.0602223000081437</v>
      </c>
      <c r="G37" s="89">
        <v>0.81000691980818296</v>
      </c>
      <c r="H37" s="89">
        <v>0.65603196732374158</v>
      </c>
    </row>
    <row r="38" spans="2:8" ht="14.25" customHeight="1" x14ac:dyDescent="0.2">
      <c r="B38" s="184" t="s">
        <v>242</v>
      </c>
      <c r="C38" s="89">
        <v>3.8551562252825633E-2</v>
      </c>
      <c r="D38" s="89">
        <v>0.62029970324830863</v>
      </c>
      <c r="E38" s="89">
        <v>0.66147991672064776</v>
      </c>
      <c r="F38" s="89">
        <v>0.58305201198563328</v>
      </c>
      <c r="G38" s="89">
        <v>0.50859620660714988</v>
      </c>
      <c r="H38" s="89">
        <v>0.45634875115633911</v>
      </c>
    </row>
    <row r="39" spans="2:8" ht="14.25" customHeight="1" x14ac:dyDescent="0.2">
      <c r="B39" s="186" t="s">
        <v>75</v>
      </c>
      <c r="C39" s="278">
        <v>5.5563499999999877E-4</v>
      </c>
      <c r="D39" s="278">
        <v>1.9359000000000126E-2</v>
      </c>
      <c r="E39" s="278">
        <v>2.2834000000000021E-2</v>
      </c>
      <c r="F39" s="278">
        <v>2.2834000000000021E-2</v>
      </c>
      <c r="G39" s="278">
        <v>2.2834000000000021E-2</v>
      </c>
      <c r="H39" s="278">
        <v>2.2834000000000021E-2</v>
      </c>
    </row>
    <row r="40" spans="2:8" ht="14.25" customHeight="1" x14ac:dyDescent="0.2">
      <c r="B40" s="288" t="s">
        <v>231</v>
      </c>
      <c r="C40" s="289"/>
      <c r="D40" s="294" t="s">
        <v>232</v>
      </c>
      <c r="E40" s="294"/>
      <c r="F40" s="294"/>
      <c r="G40" s="294"/>
      <c r="H40" s="294"/>
    </row>
    <row r="41" spans="2:8" x14ac:dyDescent="0.2">
      <c r="B41" s="290"/>
      <c r="C41" s="291"/>
      <c r="D41" s="296"/>
      <c r="E41" s="296"/>
      <c r="F41" s="296"/>
      <c r="G41" s="296"/>
      <c r="H41" s="296"/>
    </row>
    <row r="42" spans="2:8" x14ac:dyDescent="0.2">
      <c r="B42" s="290"/>
      <c r="C42" s="291"/>
      <c r="D42" s="296"/>
      <c r="E42" s="296"/>
      <c r="F42" s="296"/>
      <c r="G42" s="296"/>
      <c r="H42" s="296"/>
    </row>
    <row r="43" spans="2:8" x14ac:dyDescent="0.2">
      <c r="B43" s="290"/>
      <c r="C43" s="291"/>
      <c r="D43" s="296"/>
      <c r="E43" s="296"/>
      <c r="F43" s="296"/>
      <c r="G43" s="296"/>
      <c r="H43" s="296"/>
    </row>
    <row r="44" spans="2:8" x14ac:dyDescent="0.2">
      <c r="B44" s="290"/>
      <c r="C44" s="291"/>
      <c r="D44" s="296"/>
      <c r="E44" s="296"/>
      <c r="F44" s="296"/>
      <c r="G44" s="296"/>
      <c r="H44" s="296"/>
    </row>
    <row r="45" spans="2:8" x14ac:dyDescent="0.2">
      <c r="B45" s="290"/>
      <c r="C45" s="291"/>
      <c r="D45" s="296"/>
      <c r="E45" s="296"/>
      <c r="F45" s="296"/>
      <c r="G45" s="296"/>
      <c r="H45" s="296"/>
    </row>
    <row r="46" spans="2:8" ht="13.5" thickBot="1" x14ac:dyDescent="0.25">
      <c r="B46" s="292"/>
      <c r="C46" s="293"/>
      <c r="D46" s="298"/>
      <c r="E46" s="298"/>
      <c r="F46" s="298"/>
      <c r="G46" s="298"/>
      <c r="H46" s="298"/>
    </row>
    <row r="48" spans="2:8" ht="12.75" customHeight="1" x14ac:dyDescent="0.2">
      <c r="B48" s="209"/>
      <c r="C48" s="209"/>
      <c r="D48" s="209"/>
      <c r="E48" s="209"/>
      <c r="F48" s="209"/>
      <c r="G48" s="209"/>
      <c r="H48" s="209"/>
    </row>
    <row r="49" spans="2:8" x14ac:dyDescent="0.2">
      <c r="B49" s="210"/>
      <c r="C49" s="96"/>
      <c r="D49" s="211"/>
      <c r="E49" s="212"/>
      <c r="F49" s="212"/>
      <c r="G49" s="212"/>
      <c r="H49" s="212"/>
    </row>
    <row r="50" spans="2:8" x14ac:dyDescent="0.2">
      <c r="B50" s="211"/>
      <c r="C50" s="96"/>
      <c r="D50" s="96"/>
      <c r="E50" s="213"/>
      <c r="F50" s="213"/>
      <c r="G50" s="213"/>
      <c r="H50" s="213"/>
    </row>
  </sheetData>
  <mergeCells count="4">
    <mergeCell ref="C3:H3"/>
    <mergeCell ref="D4:H4"/>
    <mergeCell ref="B40:C46"/>
    <mergeCell ref="D40:H46"/>
  </mergeCells>
  <hyperlinks>
    <hyperlink ref="A1" location="Contents!A1" display="Contents!A1" xr:uid="{C71FE23B-629C-418B-B428-46B7D349C3A8}"/>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D348DB-7C40-43D2-B889-CE646486C87E}">
  <sheetPr codeName="Sheet2"/>
  <dimension ref="A1:J52"/>
  <sheetViews>
    <sheetView showGridLines="0" zoomScaleNormal="100" zoomScaleSheetLayoutView="70" workbookViewId="0"/>
  </sheetViews>
  <sheetFormatPr defaultColWidth="8.77734375" defaultRowHeight="12.75" x14ac:dyDescent="0.2"/>
  <cols>
    <col min="1" max="1" width="8.77734375" style="1"/>
    <col min="2" max="2" width="6.21875" style="1" customWidth="1"/>
    <col min="3" max="3" width="18.77734375" style="1" customWidth="1"/>
    <col min="4" max="10" width="6.77734375" style="1" customWidth="1"/>
    <col min="11" max="16384" width="8.77734375" style="1"/>
  </cols>
  <sheetData>
    <row r="1" spans="1:10" ht="40.15" customHeight="1" x14ac:dyDescent="0.2">
      <c r="A1" s="4" t="s">
        <v>7</v>
      </c>
    </row>
    <row r="2" spans="1:10" ht="17.25" customHeight="1" thickBot="1" x14ac:dyDescent="0.35">
      <c r="B2" s="2" t="s">
        <v>3</v>
      </c>
    </row>
    <row r="3" spans="1:10" x14ac:dyDescent="0.2">
      <c r="B3" s="13"/>
      <c r="C3" s="70"/>
      <c r="D3" s="301" t="s">
        <v>76</v>
      </c>
      <c r="E3" s="301"/>
      <c r="F3" s="301"/>
      <c r="G3" s="301"/>
      <c r="H3" s="301"/>
      <c r="I3" s="301"/>
      <c r="J3" s="302"/>
    </row>
    <row r="4" spans="1:10" x14ac:dyDescent="0.2">
      <c r="B4" s="14"/>
      <c r="C4" s="71"/>
      <c r="D4" s="44" t="s">
        <v>77</v>
      </c>
      <c r="E4" s="303" t="s">
        <v>10</v>
      </c>
      <c r="F4" s="303"/>
      <c r="G4" s="303"/>
      <c r="H4" s="303"/>
      <c r="I4" s="303"/>
      <c r="J4" s="304"/>
    </row>
    <row r="5" spans="1:10" x14ac:dyDescent="0.2">
      <c r="B5" s="14"/>
      <c r="C5" s="71"/>
      <c r="D5" s="72" t="s">
        <v>50</v>
      </c>
      <c r="E5" s="72" t="s">
        <v>51</v>
      </c>
      <c r="F5" s="72" t="s">
        <v>52</v>
      </c>
      <c r="G5" s="72" t="s">
        <v>53</v>
      </c>
      <c r="H5" s="72" t="s">
        <v>54</v>
      </c>
      <c r="I5" s="72" t="s">
        <v>55</v>
      </c>
      <c r="J5" s="73" t="s">
        <v>217</v>
      </c>
    </row>
    <row r="6" spans="1:10" ht="14.25" customHeight="1" x14ac:dyDescent="0.2">
      <c r="B6" s="74" t="s">
        <v>78</v>
      </c>
      <c r="C6" s="47"/>
      <c r="D6" s="75">
        <v>329.33800000000002</v>
      </c>
      <c r="E6" s="75">
        <v>365.43646711688956</v>
      </c>
      <c r="F6" s="75">
        <v>392.19192240520425</v>
      </c>
      <c r="G6" s="75">
        <v>403.78285749485821</v>
      </c>
      <c r="H6" s="75">
        <v>426.43701052328879</v>
      </c>
      <c r="I6" s="75">
        <v>444.49682046849006</v>
      </c>
      <c r="J6" s="76">
        <v>463.68054561144601</v>
      </c>
    </row>
    <row r="7" spans="1:10" ht="14.25" customHeight="1" x14ac:dyDescent="0.2">
      <c r="B7" s="78" t="s">
        <v>79</v>
      </c>
      <c r="C7" s="47" t="s">
        <v>80</v>
      </c>
      <c r="D7" s="75">
        <v>280.51299999999998</v>
      </c>
      <c r="E7" s="75">
        <v>302.45130461395331</v>
      </c>
      <c r="F7" s="75">
        <v>316.2208154894293</v>
      </c>
      <c r="G7" s="75">
        <v>329.55768588471517</v>
      </c>
      <c r="H7" s="75">
        <v>347.27654844704375</v>
      </c>
      <c r="I7" s="75">
        <v>362.24768554224391</v>
      </c>
      <c r="J7" s="76">
        <v>375.63868121857553</v>
      </c>
    </row>
    <row r="8" spans="1:10" ht="14.25" customHeight="1" x14ac:dyDescent="0.2">
      <c r="B8" s="74"/>
      <c r="C8" s="77" t="s">
        <v>81</v>
      </c>
      <c r="D8" s="75">
        <v>54.070999999999998</v>
      </c>
      <c r="E8" s="75">
        <v>63.395504517682944</v>
      </c>
      <c r="F8" s="75">
        <v>72.016368915741964</v>
      </c>
      <c r="G8" s="75">
        <v>77.155094746390489</v>
      </c>
      <c r="H8" s="75">
        <v>84.664115328839671</v>
      </c>
      <c r="I8" s="75">
        <v>87.733503009175394</v>
      </c>
      <c r="J8" s="76">
        <v>93.566175082153734</v>
      </c>
    </row>
    <row r="9" spans="1:10" ht="14.25" customHeight="1" x14ac:dyDescent="0.2">
      <c r="B9" s="74"/>
      <c r="C9" s="77" t="s">
        <v>82</v>
      </c>
      <c r="D9" s="75">
        <v>-5.2460000000000004</v>
      </c>
      <c r="E9" s="75">
        <v>-0.41034201474674048</v>
      </c>
      <c r="F9" s="75">
        <v>3.9547380000329695</v>
      </c>
      <c r="G9" s="75">
        <v>-2.9299231362473965</v>
      </c>
      <c r="H9" s="75">
        <v>-5.5036532525946225</v>
      </c>
      <c r="I9" s="75">
        <v>-5.4843680829292598</v>
      </c>
      <c r="J9" s="76">
        <v>-5.5243106892832019</v>
      </c>
    </row>
    <row r="10" spans="1:10" ht="14.25" customHeight="1" x14ac:dyDescent="0.2">
      <c r="B10" s="74" t="s">
        <v>201</v>
      </c>
      <c r="C10" s="77"/>
      <c r="D10" s="75">
        <v>204.429</v>
      </c>
      <c r="E10" s="75">
        <v>214.23140458946406</v>
      </c>
      <c r="F10" s="75">
        <v>220.80192093782233</v>
      </c>
      <c r="G10" s="75">
        <v>228.57365176441644</v>
      </c>
      <c r="H10" s="75">
        <v>240.54136370472256</v>
      </c>
      <c r="I10" s="75">
        <v>249.4661189694134</v>
      </c>
      <c r="J10" s="76">
        <v>257.65220501216396</v>
      </c>
    </row>
    <row r="11" spans="1:10" ht="14.25" customHeight="1" x14ac:dyDescent="0.2">
      <c r="B11" s="74" t="s">
        <v>83</v>
      </c>
      <c r="C11" s="47"/>
      <c r="D11" s="75">
        <v>180.32599999999999</v>
      </c>
      <c r="E11" s="75">
        <v>186.35488780120835</v>
      </c>
      <c r="F11" s="75">
        <v>196.22294561801104</v>
      </c>
      <c r="G11" s="75">
        <v>204.50867990422458</v>
      </c>
      <c r="H11" s="75">
        <v>213.15490546756408</v>
      </c>
      <c r="I11" s="75">
        <v>221.58743663693892</v>
      </c>
      <c r="J11" s="76">
        <v>229.79018283180898</v>
      </c>
    </row>
    <row r="12" spans="1:10" ht="14.25" customHeight="1" x14ac:dyDescent="0.2">
      <c r="B12" s="74" t="s">
        <v>84</v>
      </c>
      <c r="C12" s="47"/>
      <c r="D12" s="75">
        <v>98.290999999999997</v>
      </c>
      <c r="E12" s="75">
        <v>109.02503252780774</v>
      </c>
      <c r="F12" s="75">
        <v>114.50830247818885</v>
      </c>
      <c r="G12" s="75">
        <v>121.20056202404994</v>
      </c>
      <c r="H12" s="75">
        <v>126.48439320730955</v>
      </c>
      <c r="I12" s="75">
        <v>131.54796365128124</v>
      </c>
      <c r="J12" s="76">
        <v>136.38701138674514</v>
      </c>
    </row>
    <row r="13" spans="1:10" ht="14.25" customHeight="1" x14ac:dyDescent="0.2">
      <c r="B13" s="78" t="s">
        <v>85</v>
      </c>
      <c r="C13" s="47" t="s">
        <v>86</v>
      </c>
      <c r="D13" s="75">
        <v>96.497</v>
      </c>
      <c r="E13" s="75">
        <v>107.22280146293886</v>
      </c>
      <c r="F13" s="75">
        <v>113.61499611642567</v>
      </c>
      <c r="G13" s="75">
        <v>120.7312065563973</v>
      </c>
      <c r="H13" s="75">
        <v>125.90473351090679</v>
      </c>
      <c r="I13" s="75">
        <v>131.05745079889317</v>
      </c>
      <c r="J13" s="76">
        <v>136.24197141706188</v>
      </c>
    </row>
    <row r="14" spans="1:10" ht="14.25" customHeight="1" x14ac:dyDescent="0.2">
      <c r="B14" s="84"/>
      <c r="C14" s="47" t="s">
        <v>87</v>
      </c>
      <c r="D14" s="75">
        <v>1.794</v>
      </c>
      <c r="E14" s="75">
        <v>1.8022310648688677</v>
      </c>
      <c r="F14" s="75">
        <v>0.89330636176318556</v>
      </c>
      <c r="G14" s="75">
        <v>0.46935546765263764</v>
      </c>
      <c r="H14" s="75">
        <v>0.57965969640275938</v>
      </c>
      <c r="I14" s="75">
        <v>0.49051285238807907</v>
      </c>
      <c r="J14" s="76">
        <v>0.14503996968326646</v>
      </c>
    </row>
    <row r="15" spans="1:10" ht="14.25" customHeight="1" x14ac:dyDescent="0.2">
      <c r="B15" s="74" t="s">
        <v>88</v>
      </c>
      <c r="C15" s="77"/>
      <c r="D15" s="75">
        <v>-0.443</v>
      </c>
      <c r="E15" s="75">
        <v>-0.42271651937708682</v>
      </c>
      <c r="F15" s="75">
        <v>-0.42036165630086875</v>
      </c>
      <c r="G15" s="75">
        <v>-0.32123049110812329</v>
      </c>
      <c r="H15" s="75">
        <v>-0.19349361337483945</v>
      </c>
      <c r="I15" s="75">
        <v>-0.15405157713538772</v>
      </c>
      <c r="J15" s="76">
        <v>-0.16366834601868693</v>
      </c>
    </row>
    <row r="16" spans="1:10" ht="14.25" customHeight="1" x14ac:dyDescent="0.2">
      <c r="B16" s="74" t="s">
        <v>89</v>
      </c>
      <c r="C16" s="77"/>
      <c r="D16" s="75">
        <v>24.559000000000001</v>
      </c>
      <c r="E16" s="75">
        <v>23.949875612719485</v>
      </c>
      <c r="F16" s="75">
        <v>25.712857535107847</v>
      </c>
      <c r="G16" s="75">
        <v>26.580918075032077</v>
      </c>
      <c r="H16" s="75">
        <v>26.267202338491654</v>
      </c>
      <c r="I16" s="75">
        <v>25.550678682149009</v>
      </c>
      <c r="J16" s="76">
        <v>24.431511977974214</v>
      </c>
    </row>
    <row r="17" spans="2:10" ht="14.25" customHeight="1" x14ac:dyDescent="0.2">
      <c r="B17" s="74" t="s">
        <v>90</v>
      </c>
      <c r="C17" s="47"/>
      <c r="D17" s="75">
        <v>33.609000000000002</v>
      </c>
      <c r="E17" s="75">
        <v>35.117080328632625</v>
      </c>
      <c r="F17" s="75">
        <v>36.898352183388006</v>
      </c>
      <c r="G17" s="75">
        <v>38.346109196859153</v>
      </c>
      <c r="H17" s="75">
        <v>41.143982206056641</v>
      </c>
      <c r="I17" s="75">
        <v>42.101358110989736</v>
      </c>
      <c r="J17" s="76">
        <v>43.128399285510653</v>
      </c>
    </row>
    <row r="18" spans="2:10" ht="14.25" customHeight="1" x14ac:dyDescent="0.2">
      <c r="B18" s="74" t="s">
        <v>91</v>
      </c>
      <c r="C18" s="47"/>
      <c r="D18" s="75">
        <v>50.444000000000003</v>
      </c>
      <c r="E18" s="75">
        <v>53.987856403836325</v>
      </c>
      <c r="F18" s="75">
        <v>56.821684292908934</v>
      </c>
      <c r="G18" s="75">
        <v>60.392693090892301</v>
      </c>
      <c r="H18" s="75">
        <v>63.723967697853453</v>
      </c>
      <c r="I18" s="75">
        <v>67.165556181824897</v>
      </c>
      <c r="J18" s="76">
        <v>70.730759879660951</v>
      </c>
    </row>
    <row r="19" spans="2:10" ht="14.25" customHeight="1" x14ac:dyDescent="0.2">
      <c r="B19" s="74" t="s">
        <v>92</v>
      </c>
      <c r="C19" s="47"/>
      <c r="D19" s="75">
        <v>30.5</v>
      </c>
      <c r="E19" s="75">
        <v>31.315068141938593</v>
      </c>
      <c r="F19" s="75">
        <v>32.821158717351267</v>
      </c>
      <c r="G19" s="75">
        <v>33.317302722389798</v>
      </c>
      <c r="H19" s="75">
        <v>33.852586742921631</v>
      </c>
      <c r="I19" s="75">
        <v>35.218647937791843</v>
      </c>
      <c r="J19" s="76">
        <v>36.276989791787315</v>
      </c>
    </row>
    <row r="20" spans="2:10" ht="14.25" customHeight="1" x14ac:dyDescent="0.2">
      <c r="B20" s="74" t="s">
        <v>93</v>
      </c>
      <c r="C20" s="47"/>
      <c r="D20" s="75">
        <v>24.31</v>
      </c>
      <c r="E20" s="75">
        <v>25.589726500008943</v>
      </c>
      <c r="F20" s="75">
        <v>29.199412115171018</v>
      </c>
      <c r="G20" s="75">
        <v>32.387090517118722</v>
      </c>
      <c r="H20" s="75">
        <v>34.183624772668495</v>
      </c>
      <c r="I20" s="75">
        <v>37.706107341485207</v>
      </c>
      <c r="J20" s="76">
        <v>41.275407250990114</v>
      </c>
    </row>
    <row r="21" spans="2:10" ht="14.25" customHeight="1" x14ac:dyDescent="0.2">
      <c r="B21" s="74" t="s">
        <v>94</v>
      </c>
      <c r="C21" s="47"/>
      <c r="D21" s="75">
        <v>8.5020000000000007</v>
      </c>
      <c r="E21" s="75">
        <v>9.1103925478000001</v>
      </c>
      <c r="F21" s="75">
        <v>10.783792817</v>
      </c>
      <c r="G21" s="75">
        <v>12.299988318</v>
      </c>
      <c r="H21" s="75">
        <v>13.257952686000001</v>
      </c>
      <c r="I21" s="75">
        <v>14.244596769999999</v>
      </c>
      <c r="J21" s="76">
        <v>15.145583172</v>
      </c>
    </row>
    <row r="22" spans="2:10" ht="14.25" customHeight="1" x14ac:dyDescent="0.2">
      <c r="B22" s="74" t="s">
        <v>95</v>
      </c>
      <c r="C22" s="47"/>
      <c r="D22" s="75">
        <v>16.626999999999999</v>
      </c>
      <c r="E22" s="75">
        <v>16.523736273216194</v>
      </c>
      <c r="F22" s="75">
        <v>18.428514541761778</v>
      </c>
      <c r="G22" s="75">
        <v>20.583540220307441</v>
      </c>
      <c r="H22" s="75">
        <v>22.144872366833233</v>
      </c>
      <c r="I22" s="75">
        <v>23.873859850582942</v>
      </c>
      <c r="J22" s="76">
        <v>25.660927281257532</v>
      </c>
    </row>
    <row r="23" spans="2:10" ht="14.25" customHeight="1" x14ac:dyDescent="0.2">
      <c r="B23" s="74" t="s">
        <v>96</v>
      </c>
      <c r="C23" s="47"/>
      <c r="D23" s="75">
        <v>4.7350000000000003</v>
      </c>
      <c r="E23" s="75">
        <v>5.0762231065267471</v>
      </c>
      <c r="F23" s="75">
        <v>5.2063190563427941</v>
      </c>
      <c r="G23" s="75">
        <v>5.3599474561638933</v>
      </c>
      <c r="H23" s="75">
        <v>5.5413274345561625</v>
      </c>
      <c r="I23" s="75">
        <v>5.7238684501395367</v>
      </c>
      <c r="J23" s="76">
        <v>5.9115921337421211</v>
      </c>
    </row>
    <row r="24" spans="2:10" ht="14.25" customHeight="1" x14ac:dyDescent="0.2">
      <c r="B24" s="74" t="s">
        <v>97</v>
      </c>
      <c r="C24" s="47"/>
      <c r="D24" s="75">
        <v>7.468</v>
      </c>
      <c r="E24" s="75">
        <v>7.3899099882143853</v>
      </c>
      <c r="F24" s="75">
        <v>7.305504953382119</v>
      </c>
      <c r="G24" s="75">
        <v>7.0515642508728957</v>
      </c>
      <c r="H24" s="75">
        <v>6.7715287391080539</v>
      </c>
      <c r="I24" s="75">
        <v>6.5336284280083463</v>
      </c>
      <c r="J24" s="76">
        <v>6.2905351221530115</v>
      </c>
    </row>
    <row r="25" spans="2:10" ht="14.25" customHeight="1" x14ac:dyDescent="0.2">
      <c r="B25" s="74" t="s">
        <v>98</v>
      </c>
      <c r="C25" s="47"/>
      <c r="D25" s="75">
        <v>12.432</v>
      </c>
      <c r="E25" s="75">
        <v>12.762943504385916</v>
      </c>
      <c r="F25" s="75">
        <v>13.055662281969171</v>
      </c>
      <c r="G25" s="75">
        <v>13.390057860982207</v>
      </c>
      <c r="H25" s="75">
        <v>13.703796483104318</v>
      </c>
      <c r="I25" s="75">
        <v>13.888741112233253</v>
      </c>
      <c r="J25" s="76">
        <v>14.063376630565713</v>
      </c>
    </row>
    <row r="26" spans="2:10" ht="14.25" customHeight="1" x14ac:dyDescent="0.2">
      <c r="B26" s="74" t="s">
        <v>235</v>
      </c>
      <c r="C26" s="47"/>
      <c r="D26" s="75">
        <v>4.6159999999999997</v>
      </c>
      <c r="E26" s="75">
        <v>4.8633445459805085</v>
      </c>
      <c r="F26" s="75">
        <v>5.1845903404354097</v>
      </c>
      <c r="G26" s="75">
        <v>5.4850060484265404</v>
      </c>
      <c r="H26" s="75">
        <v>5.8100729972640552</v>
      </c>
      <c r="I26" s="75">
        <v>6.1063920691789555</v>
      </c>
      <c r="J26" s="76">
        <v>6.4498473567188235</v>
      </c>
    </row>
    <row r="27" spans="2:10" ht="14.25" customHeight="1" x14ac:dyDescent="0.2">
      <c r="B27" s="74" t="s">
        <v>99</v>
      </c>
      <c r="C27" s="47"/>
      <c r="D27" s="75">
        <v>9.0389999999999997</v>
      </c>
      <c r="E27" s="75">
        <v>9.2156112566041539</v>
      </c>
      <c r="F27" s="75">
        <v>9.486835760003741</v>
      </c>
      <c r="G27" s="75">
        <v>9.7239593393010804</v>
      </c>
      <c r="H27" s="75">
        <v>9.9625827032751797</v>
      </c>
      <c r="I27" s="75">
        <v>10.171248905333773</v>
      </c>
      <c r="J27" s="76">
        <v>10.380548895135808</v>
      </c>
    </row>
    <row r="28" spans="2:10" ht="14.25" customHeight="1" x14ac:dyDescent="0.2">
      <c r="B28" s="74" t="s">
        <v>100</v>
      </c>
      <c r="C28" s="47"/>
      <c r="D28" s="75">
        <v>1.74</v>
      </c>
      <c r="E28" s="75">
        <v>1.7748985122251624</v>
      </c>
      <c r="F28" s="75">
        <v>1.7136594648415049</v>
      </c>
      <c r="G28" s="75">
        <v>1.4928676232871454</v>
      </c>
      <c r="H28" s="75">
        <v>1.5448425632421821</v>
      </c>
      <c r="I28" s="75">
        <v>1.5986192845293976</v>
      </c>
      <c r="J28" s="76">
        <v>1.6260781504703172</v>
      </c>
    </row>
    <row r="29" spans="2:10" ht="14.25" customHeight="1" x14ac:dyDescent="0.2">
      <c r="B29" s="74" t="s">
        <v>101</v>
      </c>
      <c r="C29" s="47"/>
      <c r="D29" s="75">
        <v>1.5149999999999999</v>
      </c>
      <c r="E29" s="75">
        <v>1.6374126383677163</v>
      </c>
      <c r="F29" s="75">
        <v>1.6271328918935681</v>
      </c>
      <c r="G29" s="75">
        <v>1.6168531454194202</v>
      </c>
      <c r="H29" s="75">
        <v>1.6065733989452731</v>
      </c>
      <c r="I29" s="75">
        <v>1.5962936524711253</v>
      </c>
      <c r="J29" s="76">
        <v>1.5860309021172418</v>
      </c>
    </row>
    <row r="30" spans="2:10" ht="14.25" customHeight="1" x14ac:dyDescent="0.2">
      <c r="B30" s="74" t="s">
        <v>102</v>
      </c>
      <c r="C30" s="47"/>
      <c r="D30" s="75">
        <v>1.17</v>
      </c>
      <c r="E30" s="75">
        <v>1.6072371405144594</v>
      </c>
      <c r="F30" s="75">
        <v>2.3907234328820168</v>
      </c>
      <c r="G30" s="75">
        <v>1.6578330318673158</v>
      </c>
      <c r="H30" s="75">
        <v>1.4737323706986598</v>
      </c>
      <c r="I30" s="75">
        <v>1.5382926697696531</v>
      </c>
      <c r="J30" s="76">
        <v>1.6104337488542182</v>
      </c>
    </row>
    <row r="31" spans="2:10" ht="14.25" customHeight="1" x14ac:dyDescent="0.2">
      <c r="B31" s="74" t="s">
        <v>103</v>
      </c>
      <c r="C31" s="47"/>
      <c r="D31" s="75">
        <v>4.3239999999999998</v>
      </c>
      <c r="E31" s="75">
        <v>4.6443257528996043</v>
      </c>
      <c r="F31" s="75">
        <v>4.7987811669462861</v>
      </c>
      <c r="G31" s="75">
        <v>4.9392852211468412</v>
      </c>
      <c r="H31" s="75">
        <v>5.1017426547401161</v>
      </c>
      <c r="I31" s="75">
        <v>5.2837313138315674</v>
      </c>
      <c r="J31" s="76">
        <v>5.4644235200624189</v>
      </c>
    </row>
    <row r="32" spans="2:10" ht="14.25" customHeight="1" x14ac:dyDescent="0.2">
      <c r="B32" s="74" t="s">
        <v>104</v>
      </c>
      <c r="C32" s="47"/>
      <c r="D32" s="75">
        <v>0.94399999999999995</v>
      </c>
      <c r="E32" s="75">
        <v>1.1317900342294707</v>
      </c>
      <c r="F32" s="75">
        <v>1.2275907426747961</v>
      </c>
      <c r="G32" s="75">
        <v>1.32650414795821</v>
      </c>
      <c r="H32" s="75">
        <v>1.423302838557821</v>
      </c>
      <c r="I32" s="75">
        <v>1.5185224125171315</v>
      </c>
      <c r="J32" s="76">
        <v>1.6201122170551847</v>
      </c>
    </row>
    <row r="33" spans="2:10" ht="14.25" customHeight="1" x14ac:dyDescent="0.2">
      <c r="B33" s="74" t="s">
        <v>236</v>
      </c>
      <c r="C33" s="47"/>
      <c r="D33" s="75">
        <v>11.182968580780001</v>
      </c>
      <c r="E33" s="75">
        <v>11.894682351004789</v>
      </c>
      <c r="F33" s="75">
        <v>12.712751390469437</v>
      </c>
      <c r="G33" s="75">
        <v>13.424107577744255</v>
      </c>
      <c r="H33" s="75">
        <v>14.21618902914657</v>
      </c>
      <c r="I33" s="75">
        <v>14.755455984707245</v>
      </c>
      <c r="J33" s="76">
        <v>15.084790698468893</v>
      </c>
    </row>
    <row r="34" spans="2:10" ht="14.25" customHeight="1" x14ac:dyDescent="0.2">
      <c r="B34" s="74" t="s">
        <v>105</v>
      </c>
      <c r="C34" s="85"/>
      <c r="D34" s="75">
        <v>8.8710000000000004</v>
      </c>
      <c r="E34" s="75">
        <v>9.407809774771339</v>
      </c>
      <c r="F34" s="75">
        <v>10.077760253200839</v>
      </c>
      <c r="G34" s="75">
        <v>11.735603405258372</v>
      </c>
      <c r="H34" s="75">
        <v>12.514529379500653</v>
      </c>
      <c r="I34" s="75">
        <v>13.355209493706486</v>
      </c>
      <c r="J34" s="76">
        <v>14.242137901782771</v>
      </c>
    </row>
    <row r="35" spans="2:10" ht="14.25" customHeight="1" x14ac:dyDescent="0.2">
      <c r="B35" s="74" t="s">
        <v>106</v>
      </c>
      <c r="C35" s="86"/>
      <c r="D35" s="75">
        <v>3.91</v>
      </c>
      <c r="E35" s="75">
        <v>3.8996516826136722</v>
      </c>
      <c r="F35" s="75">
        <v>3.9070938149235039</v>
      </c>
      <c r="G35" s="75">
        <v>3.9337753592787119</v>
      </c>
      <c r="H35" s="75">
        <v>3.902834154723291</v>
      </c>
      <c r="I35" s="75">
        <v>3.8721363189553326</v>
      </c>
      <c r="J35" s="76">
        <v>3.8416799377517954</v>
      </c>
    </row>
    <row r="36" spans="2:10" ht="14.25" customHeight="1" x14ac:dyDescent="0.2">
      <c r="B36" s="74" t="s">
        <v>107</v>
      </c>
      <c r="C36" s="47"/>
      <c r="D36" s="75">
        <v>13.7</v>
      </c>
      <c r="E36" s="75">
        <v>14.301679623903691</v>
      </c>
      <c r="F36" s="75">
        <v>13.736200010950057</v>
      </c>
      <c r="G36" s="75">
        <v>16.075201188272182</v>
      </c>
      <c r="H36" s="75">
        <v>16.00219519577017</v>
      </c>
      <c r="I36" s="75">
        <v>16.235984165616173</v>
      </c>
      <c r="J36" s="76">
        <v>16.014979750100863</v>
      </c>
    </row>
    <row r="37" spans="2:10" ht="14.25" customHeight="1" x14ac:dyDescent="0.2">
      <c r="B37" s="74" t="s">
        <v>198</v>
      </c>
      <c r="C37" s="47"/>
      <c r="D37" s="75">
        <v>2.1219999999999999</v>
      </c>
      <c r="E37" s="75">
        <v>2.8474255767500005</v>
      </c>
      <c r="F37" s="75">
        <v>2.8326035549897521</v>
      </c>
      <c r="G37" s="75">
        <v>2.6169276852899293</v>
      </c>
      <c r="H37" s="75">
        <v>2.1701848393812773</v>
      </c>
      <c r="I37" s="75">
        <v>2.0741993129812766</v>
      </c>
      <c r="J37" s="76">
        <v>2.0161010125812773</v>
      </c>
    </row>
    <row r="38" spans="2:10" ht="14.25" customHeight="1" x14ac:dyDescent="0.2">
      <c r="B38" s="74" t="s">
        <v>108</v>
      </c>
      <c r="C38" s="47"/>
      <c r="D38" s="75">
        <v>2.7559999999999998</v>
      </c>
      <c r="E38" s="75">
        <v>3.7580904677052711</v>
      </c>
      <c r="F38" s="75">
        <v>2.6580021405957339</v>
      </c>
      <c r="G38" s="75">
        <v>1.7176020009956621</v>
      </c>
      <c r="H38" s="75">
        <v>0.8250614631096671</v>
      </c>
      <c r="I38" s="75">
        <v>0</v>
      </c>
      <c r="J38" s="76">
        <v>0</v>
      </c>
    </row>
    <row r="39" spans="2:10" ht="14.25" customHeight="1" x14ac:dyDescent="0.2">
      <c r="B39" s="74" t="s">
        <v>109</v>
      </c>
      <c r="C39" s="47"/>
      <c r="D39" s="75">
        <v>4.1000000000000002E-2</v>
      </c>
      <c r="E39" s="75">
        <v>0.55660487726000007</v>
      </c>
      <c r="F39" s="75">
        <v>0.19495899014000001</v>
      </c>
      <c r="G39" s="75">
        <v>0</v>
      </c>
      <c r="H39" s="75">
        <v>0</v>
      </c>
      <c r="I39" s="75">
        <v>0</v>
      </c>
      <c r="J39" s="76">
        <v>0</v>
      </c>
    </row>
    <row r="40" spans="2:10" ht="14.25" customHeight="1" x14ac:dyDescent="0.2">
      <c r="B40" s="74" t="s">
        <v>110</v>
      </c>
      <c r="C40" s="47"/>
      <c r="D40" s="75">
        <v>13.628031419219724</v>
      </c>
      <c r="E40" s="75">
        <v>15.853279336317655</v>
      </c>
      <c r="F40" s="75">
        <v>16.6021335416076</v>
      </c>
      <c r="G40" s="75">
        <v>17.57085974359461</v>
      </c>
      <c r="H40" s="75">
        <v>17.792630694496438</v>
      </c>
      <c r="I40" s="75">
        <v>18.07632145953221</v>
      </c>
      <c r="J40" s="76">
        <v>18.2791502087141</v>
      </c>
    </row>
    <row r="41" spans="2:10" ht="14.25" customHeight="1" x14ac:dyDescent="0.2">
      <c r="B41" s="214" t="s">
        <v>111</v>
      </c>
      <c r="C41" s="197"/>
      <c r="D41" s="130">
        <v>1104.6859999999999</v>
      </c>
      <c r="E41" s="130">
        <v>1182.8417314944193</v>
      </c>
      <c r="F41" s="130">
        <v>1248.6888057738631</v>
      </c>
      <c r="G41" s="130">
        <v>1300.7701179228993</v>
      </c>
      <c r="H41" s="130">
        <v>1361.3614950399549</v>
      </c>
      <c r="I41" s="130">
        <v>1415.1337380573234</v>
      </c>
      <c r="J41" s="131">
        <v>1468.4776733216006</v>
      </c>
    </row>
    <row r="42" spans="2:10" ht="14.25" customHeight="1" x14ac:dyDescent="0.2">
      <c r="B42" s="74" t="s">
        <v>112</v>
      </c>
      <c r="C42" s="47"/>
      <c r="D42" s="79">
        <v>40.646000000000001</v>
      </c>
      <c r="E42" s="79">
        <v>43.555050577615042</v>
      </c>
      <c r="F42" s="79">
        <v>48.648448530647933</v>
      </c>
      <c r="G42" s="79">
        <v>49.962633874514019</v>
      </c>
      <c r="H42" s="79">
        <v>49.99965883516591</v>
      </c>
      <c r="I42" s="79">
        <v>51.095543113888382</v>
      </c>
      <c r="J42" s="80">
        <v>51.760862917878761</v>
      </c>
    </row>
    <row r="43" spans="2:10" ht="14.25" customHeight="1" x14ac:dyDescent="0.2">
      <c r="B43" s="74" t="s">
        <v>113</v>
      </c>
      <c r="C43" s="47"/>
      <c r="D43" s="79">
        <v>82.91</v>
      </c>
      <c r="E43" s="79">
        <v>86.335069176103758</v>
      </c>
      <c r="F43" s="79">
        <v>91.172766921053039</v>
      </c>
      <c r="G43" s="79">
        <v>94.611821458781776</v>
      </c>
      <c r="H43" s="79">
        <v>98.223333421739028</v>
      </c>
      <c r="I43" s="79">
        <v>101.60266865493666</v>
      </c>
      <c r="J43" s="80">
        <v>105.37197085290157</v>
      </c>
    </row>
    <row r="44" spans="2:10" ht="14.25" customHeight="1" x14ac:dyDescent="0.2">
      <c r="B44" s="74" t="s">
        <v>114</v>
      </c>
      <c r="C44" s="47"/>
      <c r="D44" s="79">
        <v>3.069999999999979</v>
      </c>
      <c r="E44" s="79">
        <v>3.2393100715501717</v>
      </c>
      <c r="F44" s="79">
        <v>3.5147462895258386</v>
      </c>
      <c r="G44" s="79">
        <v>3.6415308720896391</v>
      </c>
      <c r="H44" s="79">
        <v>3.6000541141945703</v>
      </c>
      <c r="I44" s="79">
        <v>3.6606496324050681</v>
      </c>
      <c r="J44" s="80">
        <v>3.7094880479107317</v>
      </c>
    </row>
    <row r="45" spans="2:10" ht="14.25" customHeight="1" x14ac:dyDescent="0.2">
      <c r="B45" s="214" t="s">
        <v>115</v>
      </c>
      <c r="C45" s="197"/>
      <c r="D45" s="132">
        <v>1231.3119999999999</v>
      </c>
      <c r="E45" s="132">
        <v>1315.9711613196882</v>
      </c>
      <c r="F45" s="132">
        <v>1392.0247675150899</v>
      </c>
      <c r="G45" s="132">
        <v>1448.9861041282848</v>
      </c>
      <c r="H45" s="132">
        <v>1513.1845414110544</v>
      </c>
      <c r="I45" s="132">
        <v>1571.4925994585535</v>
      </c>
      <c r="J45" s="133">
        <v>1629.3199951402917</v>
      </c>
    </row>
    <row r="46" spans="2:10" ht="14.25" customHeight="1" x14ac:dyDescent="0.2">
      <c r="B46" s="127" t="s">
        <v>237</v>
      </c>
      <c r="C46" s="215"/>
      <c r="D46" s="81">
        <v>4.1069999999999993</v>
      </c>
      <c r="E46" s="81">
        <v>5.1376050131970521</v>
      </c>
      <c r="F46" s="81">
        <v>3.130946846058051</v>
      </c>
      <c r="G46" s="81">
        <v>1.8657269775401764</v>
      </c>
      <c r="H46" s="81">
        <v>1.211227546137587</v>
      </c>
      <c r="I46" s="81">
        <v>0.33646127525269132</v>
      </c>
      <c r="J46" s="82">
        <v>-1.8628376335420471E-2</v>
      </c>
    </row>
    <row r="47" spans="2:10" ht="14.25" customHeight="1" x14ac:dyDescent="0.2">
      <c r="B47" s="181" t="s">
        <v>204</v>
      </c>
      <c r="C47" s="169"/>
      <c r="D47" s="169"/>
      <c r="E47" s="169"/>
      <c r="F47" s="169"/>
      <c r="G47" s="169"/>
      <c r="H47" s="169"/>
      <c r="I47" s="169"/>
      <c r="J47" s="177"/>
    </row>
    <row r="48" spans="2:10" ht="14.25" customHeight="1" x14ac:dyDescent="0.25">
      <c r="B48" s="182" t="s">
        <v>205</v>
      </c>
      <c r="C48" s="172"/>
      <c r="D48" s="172"/>
      <c r="E48" s="182" t="s">
        <v>206</v>
      </c>
      <c r="F48" s="198"/>
      <c r="G48" s="172"/>
      <c r="H48" s="172"/>
      <c r="I48" s="172"/>
      <c r="J48" s="170"/>
    </row>
    <row r="49" spans="2:10" ht="14.25" customHeight="1" x14ac:dyDescent="0.2">
      <c r="B49" s="182" t="s">
        <v>207</v>
      </c>
      <c r="C49" s="172"/>
      <c r="D49" s="172"/>
      <c r="E49" s="172"/>
      <c r="F49" s="172"/>
      <c r="G49" s="172"/>
      <c r="H49" s="172"/>
      <c r="I49" s="172"/>
      <c r="J49" s="170"/>
    </row>
    <row r="50" spans="2:10" ht="14.25" customHeight="1" x14ac:dyDescent="0.2">
      <c r="B50" s="199" t="s">
        <v>238</v>
      </c>
      <c r="C50" s="172"/>
      <c r="D50" s="172"/>
      <c r="E50" s="172"/>
      <c r="F50" s="172"/>
      <c r="G50" s="172"/>
      <c r="H50" s="172"/>
      <c r="I50" s="172"/>
      <c r="J50" s="170"/>
    </row>
    <row r="51" spans="2:10" ht="30" customHeight="1" x14ac:dyDescent="0.2">
      <c r="B51" s="305" t="s">
        <v>239</v>
      </c>
      <c r="C51" s="306"/>
      <c r="D51" s="306"/>
      <c r="E51" s="306"/>
      <c r="F51" s="306"/>
      <c r="G51" s="306"/>
      <c r="H51" s="306"/>
      <c r="I51" s="306"/>
      <c r="J51" s="307"/>
    </row>
    <row r="52" spans="2:10" ht="14.25" customHeight="1" thickBot="1" x14ac:dyDescent="0.25">
      <c r="B52" s="200" t="s">
        <v>240</v>
      </c>
      <c r="C52" s="171"/>
      <c r="D52" s="171"/>
      <c r="E52" s="171"/>
      <c r="F52" s="171"/>
      <c r="G52" s="171"/>
      <c r="H52" s="171"/>
      <c r="I52" s="171"/>
      <c r="J52" s="178"/>
    </row>
  </sheetData>
  <mergeCells count="3">
    <mergeCell ref="D3:J3"/>
    <mergeCell ref="E4:J4"/>
    <mergeCell ref="B51:J51"/>
  </mergeCells>
  <hyperlinks>
    <hyperlink ref="A1" location="Contents!A1" display="Contents!A1" xr:uid="{AB2067B9-1055-44F7-9C2A-260ACCC89131}"/>
  </hyperlinks>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D0760D-C5E2-4617-9814-5AEBD4572F1C}">
  <sheetPr codeName="Sheet4"/>
  <dimension ref="A1:J52"/>
  <sheetViews>
    <sheetView showGridLines="0" zoomScaleNormal="100" zoomScaleSheetLayoutView="70" workbookViewId="0"/>
  </sheetViews>
  <sheetFormatPr defaultColWidth="8.77734375" defaultRowHeight="12.75" x14ac:dyDescent="0.2"/>
  <cols>
    <col min="1" max="1" width="8.77734375" style="1"/>
    <col min="2" max="2" width="6.21875" style="1" customWidth="1"/>
    <col min="3" max="3" width="18.77734375" style="1" customWidth="1"/>
    <col min="4" max="9" width="6.77734375" style="1" customWidth="1"/>
    <col min="10" max="16384" width="8.77734375" style="1"/>
  </cols>
  <sheetData>
    <row r="1" spans="1:9" ht="40.15" customHeight="1" x14ac:dyDescent="0.2">
      <c r="A1" s="4" t="s">
        <v>7</v>
      </c>
    </row>
    <row r="2" spans="1:9" ht="17.25" customHeight="1" thickBot="1" x14ac:dyDescent="0.35">
      <c r="B2" s="2" t="s">
        <v>268</v>
      </c>
    </row>
    <row r="3" spans="1:9" x14ac:dyDescent="0.2">
      <c r="B3" s="13"/>
      <c r="C3" s="70"/>
      <c r="D3" s="301" t="s">
        <v>76</v>
      </c>
      <c r="E3" s="301"/>
      <c r="F3" s="301"/>
      <c r="G3" s="301"/>
      <c r="H3" s="301"/>
      <c r="I3" s="301"/>
    </row>
    <row r="4" spans="1:9" x14ac:dyDescent="0.2">
      <c r="B4" s="14"/>
      <c r="C4" s="71"/>
      <c r="D4" s="44" t="s">
        <v>77</v>
      </c>
      <c r="E4" s="303" t="s">
        <v>10</v>
      </c>
      <c r="F4" s="303"/>
      <c r="G4" s="303"/>
      <c r="H4" s="303"/>
      <c r="I4" s="303"/>
    </row>
    <row r="5" spans="1:9" x14ac:dyDescent="0.2">
      <c r="B5" s="14"/>
      <c r="C5" s="71"/>
      <c r="D5" s="72" t="s">
        <v>50</v>
      </c>
      <c r="E5" s="72" t="s">
        <v>51</v>
      </c>
      <c r="F5" s="72" t="s">
        <v>52</v>
      </c>
      <c r="G5" s="72" t="s">
        <v>53</v>
      </c>
      <c r="H5" s="72" t="s">
        <v>54</v>
      </c>
      <c r="I5" s="72" t="s">
        <v>55</v>
      </c>
    </row>
    <row r="6" spans="1:9" ht="14.25" customHeight="1" x14ac:dyDescent="0.2">
      <c r="B6" s="74" t="s">
        <v>78</v>
      </c>
      <c r="C6" s="47"/>
      <c r="D6" s="75">
        <v>-2.099583074442819</v>
      </c>
      <c r="E6" s="75">
        <v>5.8175996352030097</v>
      </c>
      <c r="F6" s="75">
        <v>7.5541377112323289</v>
      </c>
      <c r="G6" s="75">
        <v>8.1597617115703542</v>
      </c>
      <c r="H6" s="75">
        <v>12.630446769002788</v>
      </c>
      <c r="I6" s="75">
        <v>13.653232371936895</v>
      </c>
    </row>
    <row r="7" spans="1:9" ht="14.25" customHeight="1" x14ac:dyDescent="0.2">
      <c r="B7" s="78" t="s">
        <v>79</v>
      </c>
      <c r="C7" s="47" t="s">
        <v>80</v>
      </c>
      <c r="D7" s="75">
        <v>0.13764220925065729</v>
      </c>
      <c r="E7" s="75">
        <v>6.1582564598452905</v>
      </c>
      <c r="F7" s="75">
        <v>6.0307561004325976</v>
      </c>
      <c r="G7" s="75">
        <v>5.2487321681735466</v>
      </c>
      <c r="H7" s="75">
        <v>3.7644704692114033</v>
      </c>
      <c r="I7" s="75">
        <v>2.1310327990705673</v>
      </c>
    </row>
    <row r="8" spans="1:9" ht="14.25" customHeight="1" x14ac:dyDescent="0.2">
      <c r="B8" s="74"/>
      <c r="C8" s="77" t="s">
        <v>81</v>
      </c>
      <c r="D8" s="75">
        <v>-1.7988818184984581</v>
      </c>
      <c r="E8" s="75">
        <v>-0.97722532776717941</v>
      </c>
      <c r="F8" s="75">
        <v>0.92432629332694205</v>
      </c>
      <c r="G8" s="75">
        <v>2.4107129687673279</v>
      </c>
      <c r="H8" s="75">
        <v>8.357991718917603</v>
      </c>
      <c r="I8" s="75">
        <v>10.755211153546085</v>
      </c>
    </row>
    <row r="9" spans="1:9" ht="14.25" customHeight="1" x14ac:dyDescent="0.2">
      <c r="B9" s="74"/>
      <c r="C9" s="77" t="s">
        <v>82</v>
      </c>
      <c r="D9" s="75">
        <v>-0.43834346519509637</v>
      </c>
      <c r="E9" s="75">
        <v>0.63656850312487223</v>
      </c>
      <c r="F9" s="75">
        <v>0.59905531747273644</v>
      </c>
      <c r="G9" s="75">
        <v>0.50031657462955437</v>
      </c>
      <c r="H9" s="75">
        <v>0.50798458087381881</v>
      </c>
      <c r="I9" s="75">
        <v>0.76698841932022788</v>
      </c>
    </row>
    <row r="10" spans="1:9" ht="14.25" customHeight="1" x14ac:dyDescent="0.2">
      <c r="B10" s="74" t="s">
        <v>201</v>
      </c>
      <c r="C10" s="77"/>
      <c r="D10" s="75">
        <v>0.44253252626990047</v>
      </c>
      <c r="E10" s="75">
        <v>2.6370129470364247</v>
      </c>
      <c r="F10" s="75">
        <v>1.9113897338622508</v>
      </c>
      <c r="G10" s="75">
        <v>2.0385166354962792</v>
      </c>
      <c r="H10" s="75">
        <v>2.9366481902907537</v>
      </c>
      <c r="I10" s="75">
        <v>3.7124453312057142</v>
      </c>
    </row>
    <row r="11" spans="1:9" ht="14.25" customHeight="1" x14ac:dyDescent="0.2">
      <c r="B11" s="74" t="s">
        <v>83</v>
      </c>
      <c r="C11" s="47"/>
      <c r="D11" s="75">
        <v>-0.61673588546406677</v>
      </c>
      <c r="E11" s="75">
        <v>-2.34219448276761</v>
      </c>
      <c r="F11" s="75">
        <v>-1.6240838799972721</v>
      </c>
      <c r="G11" s="75">
        <v>-1.2693496067949468</v>
      </c>
      <c r="H11" s="75">
        <v>-1.530936390869897</v>
      </c>
      <c r="I11" s="75">
        <v>-2.1916101276174516</v>
      </c>
    </row>
    <row r="12" spans="1:9" ht="14.25" customHeight="1" x14ac:dyDescent="0.2">
      <c r="B12" s="74" t="s">
        <v>84</v>
      </c>
      <c r="C12" s="47"/>
      <c r="D12" s="75">
        <v>-0.50625260001970673</v>
      </c>
      <c r="E12" s="75">
        <v>6.557577018363574</v>
      </c>
      <c r="F12" s="75">
        <v>5.393390750495513</v>
      </c>
      <c r="G12" s="75">
        <v>7.750805338300097</v>
      </c>
      <c r="H12" s="75">
        <v>8.721865370758124</v>
      </c>
      <c r="I12" s="75">
        <v>8.3905049454040039</v>
      </c>
    </row>
    <row r="13" spans="1:9" ht="14.25" customHeight="1" x14ac:dyDescent="0.2">
      <c r="B13" s="78" t="s">
        <v>85</v>
      </c>
      <c r="C13" s="47" t="s">
        <v>86</v>
      </c>
      <c r="D13" s="75">
        <v>-0.32301023618806823</v>
      </c>
      <c r="E13" s="75">
        <v>5.7863912000098452</v>
      </c>
      <c r="F13" s="75">
        <v>5.0692797960972058</v>
      </c>
      <c r="G13" s="75">
        <v>7.600035347365889</v>
      </c>
      <c r="H13" s="75">
        <v>8.325976748795398</v>
      </c>
      <c r="I13" s="75">
        <v>8.0586622780695336</v>
      </c>
    </row>
    <row r="14" spans="1:9" ht="14.25" customHeight="1" x14ac:dyDescent="0.2">
      <c r="B14" s="84"/>
      <c r="C14" s="47" t="s">
        <v>87</v>
      </c>
      <c r="D14" s="75">
        <v>-0.18324236383164116</v>
      </c>
      <c r="E14" s="75">
        <v>0.77118581835371591</v>
      </c>
      <c r="F14" s="75">
        <v>0.32411095439831594</v>
      </c>
      <c r="G14" s="75">
        <v>0.15076999093419835</v>
      </c>
      <c r="H14" s="75">
        <v>0.39588862196273267</v>
      </c>
      <c r="I14" s="75">
        <v>0.33184266733449208</v>
      </c>
    </row>
    <row r="15" spans="1:9" ht="14.25" customHeight="1" x14ac:dyDescent="0.2">
      <c r="B15" s="74" t="s">
        <v>88</v>
      </c>
      <c r="C15" s="77"/>
      <c r="D15" s="75">
        <v>-9.2311245214170001E-2</v>
      </c>
      <c r="E15" s="75">
        <v>-0.23260324764295906</v>
      </c>
      <c r="F15" s="75">
        <v>-0.24649441269398878</v>
      </c>
      <c r="G15" s="75">
        <v>-0.19033307793028761</v>
      </c>
      <c r="H15" s="75">
        <v>-0.12177653683379015</v>
      </c>
      <c r="I15" s="75">
        <v>-6.4235519931983093E-2</v>
      </c>
    </row>
    <row r="16" spans="1:9" ht="14.25" customHeight="1" x14ac:dyDescent="0.2">
      <c r="B16" s="74" t="s">
        <v>89</v>
      </c>
      <c r="C16" s="77"/>
      <c r="D16" s="75">
        <v>0.31712522478662564</v>
      </c>
      <c r="E16" s="75">
        <v>-0.67869581360532294</v>
      </c>
      <c r="F16" s="75">
        <v>-0.8327648311583502</v>
      </c>
      <c r="G16" s="75">
        <v>-5.4837859775734188E-2</v>
      </c>
      <c r="H16" s="75">
        <v>-0.1148744677112532</v>
      </c>
      <c r="I16" s="75">
        <v>-0.19006944413261806</v>
      </c>
    </row>
    <row r="17" spans="2:9" ht="14.25" customHeight="1" x14ac:dyDescent="0.2">
      <c r="B17" s="74" t="s">
        <v>90</v>
      </c>
      <c r="C17" s="47"/>
      <c r="D17" s="75">
        <v>-0.12351556102493788</v>
      </c>
      <c r="E17" s="75">
        <v>-1.9775062435119537</v>
      </c>
      <c r="F17" s="75">
        <v>-1.0235787644365999</v>
      </c>
      <c r="G17" s="75">
        <v>-0.44674175788928494</v>
      </c>
      <c r="H17" s="75">
        <v>-0.95608555849026544</v>
      </c>
      <c r="I17" s="75">
        <v>-4.2835511529524695E-2</v>
      </c>
    </row>
    <row r="18" spans="2:9" ht="14.25" customHeight="1" x14ac:dyDescent="0.2">
      <c r="B18" s="74" t="s">
        <v>91</v>
      </c>
      <c r="C18" s="47"/>
      <c r="D18" s="75">
        <v>-0.48116382630538368</v>
      </c>
      <c r="E18" s="75">
        <v>0.32052630477915756</v>
      </c>
      <c r="F18" s="75">
        <v>-2.4605051232981623E-2</v>
      </c>
      <c r="G18" s="75">
        <v>-0.33096866088092014</v>
      </c>
      <c r="H18" s="75">
        <v>-0.36257209162285164</v>
      </c>
      <c r="I18" s="75">
        <v>-0.41082619498136808</v>
      </c>
    </row>
    <row r="19" spans="2:9" ht="14.25" customHeight="1" x14ac:dyDescent="0.2">
      <c r="B19" s="74" t="s">
        <v>92</v>
      </c>
      <c r="C19" s="47"/>
      <c r="D19" s="75">
        <v>0.20744411578086996</v>
      </c>
      <c r="E19" s="75">
        <v>5.8728934634363128E-2</v>
      </c>
      <c r="F19" s="75">
        <v>0.39780439258954203</v>
      </c>
      <c r="G19" s="75">
        <v>0.60633115076423394</v>
      </c>
      <c r="H19" s="75">
        <v>0.55480098345314133</v>
      </c>
      <c r="I19" s="75">
        <v>0.51568554096936481</v>
      </c>
    </row>
    <row r="20" spans="2:9" ht="14.25" customHeight="1" x14ac:dyDescent="0.2">
      <c r="B20" s="74" t="s">
        <v>93</v>
      </c>
      <c r="C20" s="47"/>
      <c r="D20" s="75">
        <v>2.5084538029083525</v>
      </c>
      <c r="E20" s="75">
        <v>4.7885612979907712</v>
      </c>
      <c r="F20" s="75">
        <v>3.7294467653671894</v>
      </c>
      <c r="G20" s="75">
        <v>3.4686876814963341</v>
      </c>
      <c r="H20" s="75">
        <v>2.2275262657756372</v>
      </c>
      <c r="I20" s="75">
        <v>2.8053928223240376</v>
      </c>
    </row>
    <row r="21" spans="2:9" ht="14.25" customHeight="1" x14ac:dyDescent="0.2">
      <c r="B21" s="74" t="s">
        <v>94</v>
      </c>
      <c r="C21" s="47"/>
      <c r="D21" s="75">
        <v>-0.16284871299999892</v>
      </c>
      <c r="E21" s="75">
        <v>-0.38837092540000029</v>
      </c>
      <c r="F21" s="75">
        <v>-0.41856155600000022</v>
      </c>
      <c r="G21" s="75">
        <v>-0.49463874199999935</v>
      </c>
      <c r="H21" s="75">
        <v>-0.49149446599999891</v>
      </c>
      <c r="I21" s="75">
        <v>-0.4613571210000007</v>
      </c>
    </row>
    <row r="22" spans="2:9" ht="14.25" customHeight="1" x14ac:dyDescent="0.2">
      <c r="B22" s="74" t="s">
        <v>95</v>
      </c>
      <c r="C22" s="47"/>
      <c r="D22" s="75">
        <v>-0.28027574218627294</v>
      </c>
      <c r="E22" s="75">
        <v>-3.1861420893086283</v>
      </c>
      <c r="F22" s="75">
        <v>-3.5160925529589413</v>
      </c>
      <c r="G22" s="75">
        <v>-3.7163025673677197</v>
      </c>
      <c r="H22" s="75">
        <v>-4.1791091458061622</v>
      </c>
      <c r="I22" s="75">
        <v>-4.2137301941100809</v>
      </c>
    </row>
    <row r="23" spans="2:9" ht="14.25" customHeight="1" x14ac:dyDescent="0.2">
      <c r="B23" s="74" t="s">
        <v>96</v>
      </c>
      <c r="C23" s="47"/>
      <c r="D23" s="75">
        <v>0.10749148048343304</v>
      </c>
      <c r="E23" s="75">
        <v>3.1296979608995912E-2</v>
      </c>
      <c r="F23" s="75">
        <v>-1.0778932533240138E-2</v>
      </c>
      <c r="G23" s="75">
        <v>-2.4593225958853715E-2</v>
      </c>
      <c r="H23" s="75">
        <v>-1.8658605993127075E-2</v>
      </c>
      <c r="I23" s="75">
        <v>-1.090726813622922E-2</v>
      </c>
    </row>
    <row r="24" spans="2:9" ht="14.25" customHeight="1" x14ac:dyDescent="0.2">
      <c r="B24" s="74" t="s">
        <v>97</v>
      </c>
      <c r="C24" s="47"/>
      <c r="D24" s="75">
        <v>-0.19329474009174596</v>
      </c>
      <c r="E24" s="75">
        <v>-7.8590318525681546E-2</v>
      </c>
      <c r="F24" s="75">
        <v>2.543031202426782E-2</v>
      </c>
      <c r="G24" s="75">
        <v>1.334037698334356E-2</v>
      </c>
      <c r="H24" s="75">
        <v>4.9342324546763017E-2</v>
      </c>
      <c r="I24" s="75">
        <v>-5.1879338762987004E-2</v>
      </c>
    </row>
    <row r="25" spans="2:9" ht="14.25" customHeight="1" x14ac:dyDescent="0.2">
      <c r="B25" s="74" t="s">
        <v>98</v>
      </c>
      <c r="C25" s="47"/>
      <c r="D25" s="75">
        <v>0.13510710447976138</v>
      </c>
      <c r="E25" s="75">
        <v>7.7048070606739572E-2</v>
      </c>
      <c r="F25" s="75">
        <v>-6.5680904732072776E-2</v>
      </c>
      <c r="G25" s="75">
        <v>-0.21589027106853287</v>
      </c>
      <c r="H25" s="75">
        <v>-0.38818071154293499</v>
      </c>
      <c r="I25" s="75">
        <v>-0.62961001642041303</v>
      </c>
    </row>
    <row r="26" spans="2:9" ht="14.25" customHeight="1" x14ac:dyDescent="0.2">
      <c r="B26" s="74" t="s">
        <v>235</v>
      </c>
      <c r="C26" s="47"/>
      <c r="D26" s="75">
        <v>9.9410511806714119E-2</v>
      </c>
      <c r="E26" s="75">
        <v>-0.30307169230447339</v>
      </c>
      <c r="F26" s="75">
        <v>-0.32472698518977783</v>
      </c>
      <c r="G26" s="75">
        <v>-0.32151268303768177</v>
      </c>
      <c r="H26" s="75">
        <v>-0.32085561145563446</v>
      </c>
      <c r="I26" s="75">
        <v>-0.32294780231005049</v>
      </c>
    </row>
    <row r="27" spans="2:9" ht="14.25" customHeight="1" x14ac:dyDescent="0.2">
      <c r="B27" s="74" t="s">
        <v>99</v>
      </c>
      <c r="C27" s="47"/>
      <c r="D27" s="75">
        <v>-3.8924431759571831E-2</v>
      </c>
      <c r="E27" s="75">
        <v>-5.6437176428438818E-2</v>
      </c>
      <c r="F27" s="75">
        <v>-1.1380267187455217E-2</v>
      </c>
      <c r="G27" s="75">
        <v>-2.0278182099604081E-2</v>
      </c>
      <c r="H27" s="75">
        <v>-2.6235976046491416E-2</v>
      </c>
      <c r="I27" s="75">
        <v>-3.1430321194299893E-2</v>
      </c>
    </row>
    <row r="28" spans="2:9" ht="14.25" customHeight="1" x14ac:dyDescent="0.2">
      <c r="B28" s="74" t="s">
        <v>100</v>
      </c>
      <c r="C28" s="47"/>
      <c r="D28" s="75">
        <v>-3.4871387059418613E-3</v>
      </c>
      <c r="E28" s="75">
        <v>1.5628945240577119E-2</v>
      </c>
      <c r="F28" s="75">
        <v>3.1740584568849206E-2</v>
      </c>
      <c r="G28" s="75">
        <v>-0.14145489992755711</v>
      </c>
      <c r="H28" s="75">
        <v>-0.10262419540396084</v>
      </c>
      <c r="I28" s="75">
        <v>-9.7759697007814061E-2</v>
      </c>
    </row>
    <row r="29" spans="2:9" ht="14.25" customHeight="1" x14ac:dyDescent="0.2">
      <c r="B29" s="74" t="s">
        <v>101</v>
      </c>
      <c r="C29" s="47"/>
      <c r="D29" s="75">
        <v>1.3334556872680148E-2</v>
      </c>
      <c r="E29" s="75">
        <v>0.15452339196561238</v>
      </c>
      <c r="F29" s="75">
        <v>0.15355305367358785</v>
      </c>
      <c r="G29" s="75">
        <v>0.1525827153815642</v>
      </c>
      <c r="H29" s="75">
        <v>0.15161237708954078</v>
      </c>
      <c r="I29" s="75">
        <v>0.15064203879751736</v>
      </c>
    </row>
    <row r="30" spans="2:9" ht="14.25" customHeight="1" x14ac:dyDescent="0.2">
      <c r="B30" s="74" t="s">
        <v>102</v>
      </c>
      <c r="C30" s="47"/>
      <c r="D30" s="75">
        <v>3.8968242945355724E-2</v>
      </c>
      <c r="E30" s="75">
        <v>0.37603443749147947</v>
      </c>
      <c r="F30" s="75">
        <v>1.097977896208358</v>
      </c>
      <c r="G30" s="75">
        <v>0.28615648431719909</v>
      </c>
      <c r="H30" s="75">
        <v>3.7141008866016234E-2</v>
      </c>
      <c r="I30" s="75">
        <v>3.7401454628907649E-2</v>
      </c>
    </row>
    <row r="31" spans="2:9" ht="14.25" customHeight="1" x14ac:dyDescent="0.2">
      <c r="B31" s="74" t="s">
        <v>103</v>
      </c>
      <c r="C31" s="47"/>
      <c r="D31" s="75">
        <v>-4.8748023338283986E-2</v>
      </c>
      <c r="E31" s="75">
        <v>0.11322904041581161</v>
      </c>
      <c r="F31" s="75">
        <v>0.11881501319732202</v>
      </c>
      <c r="G31" s="75">
        <v>0.11121069235474135</v>
      </c>
      <c r="H31" s="75">
        <v>0.1193247488590341</v>
      </c>
      <c r="I31" s="75">
        <v>0.13747130056839563</v>
      </c>
    </row>
    <row r="32" spans="2:9" ht="14.25" customHeight="1" x14ac:dyDescent="0.2">
      <c r="B32" s="74" t="s">
        <v>104</v>
      </c>
      <c r="C32" s="47"/>
      <c r="D32" s="75">
        <v>-7.9064091013812732E-2</v>
      </c>
      <c r="E32" s="75">
        <v>2.0556933925168996E-2</v>
      </c>
      <c r="F32" s="75">
        <v>2.8342352619608047E-2</v>
      </c>
      <c r="G32" s="75">
        <v>4.113833330564276E-2</v>
      </c>
      <c r="H32" s="75">
        <v>5.3908116649145077E-2</v>
      </c>
      <c r="I32" s="75">
        <v>6.4215368560573971E-2</v>
      </c>
    </row>
    <row r="33" spans="2:10" ht="14.25" customHeight="1" x14ac:dyDescent="0.2">
      <c r="B33" s="74" t="s">
        <v>236</v>
      </c>
      <c r="C33" s="47"/>
      <c r="D33" s="75">
        <v>0.22184639246744098</v>
      </c>
      <c r="E33" s="75">
        <v>0.54504826793011141</v>
      </c>
      <c r="F33" s="75">
        <v>0.30806462354443198</v>
      </c>
      <c r="G33" s="75">
        <v>0.36493427335262041</v>
      </c>
      <c r="H33" s="75">
        <v>0.27835117284740463</v>
      </c>
      <c r="I33" s="75">
        <v>0.33798585195590825</v>
      </c>
    </row>
    <row r="34" spans="2:10" ht="14.25" customHeight="1" x14ac:dyDescent="0.2">
      <c r="B34" s="74" t="s">
        <v>105</v>
      </c>
      <c r="C34" s="85"/>
      <c r="D34" s="75">
        <v>-0.5326898618672864</v>
      </c>
      <c r="E34" s="75">
        <v>-0.51599226286445976</v>
      </c>
      <c r="F34" s="75">
        <v>-0.2677188267116648</v>
      </c>
      <c r="G34" s="75">
        <v>-0.10572055568034244</v>
      </c>
      <c r="H34" s="75">
        <v>-3.2578655227336384E-2</v>
      </c>
      <c r="I34" s="75">
        <v>1.3318662928675451E-2</v>
      </c>
    </row>
    <row r="35" spans="2:10" ht="14.25" customHeight="1" x14ac:dyDescent="0.2">
      <c r="B35" s="74" t="s">
        <v>106</v>
      </c>
      <c r="C35" s="86"/>
      <c r="D35" s="75">
        <v>3.8000000000000256E-2</v>
      </c>
      <c r="E35" s="75">
        <v>-5.1348317386327835E-2</v>
      </c>
      <c r="F35" s="75">
        <v>-7.4906185076496268E-2</v>
      </c>
      <c r="G35" s="75">
        <v>-4.8224640721288292E-2</v>
      </c>
      <c r="H35" s="75">
        <v>-7.9165845276709224E-2</v>
      </c>
      <c r="I35" s="75">
        <v>-0.18189601328451754</v>
      </c>
    </row>
    <row r="36" spans="2:10" ht="14.25" customHeight="1" x14ac:dyDescent="0.2">
      <c r="B36" s="74" t="s">
        <v>107</v>
      </c>
      <c r="C36" s="47"/>
      <c r="D36" s="75">
        <v>-0.29094562216999797</v>
      </c>
      <c r="E36" s="75">
        <v>-1.6373859469296441</v>
      </c>
      <c r="F36" s="75">
        <v>-1.6280258060677664</v>
      </c>
      <c r="G36" s="75">
        <v>0.12185854104929383</v>
      </c>
      <c r="H36" s="75">
        <v>-0.73551309666152775</v>
      </c>
      <c r="I36" s="75">
        <v>-2.2707376507850441</v>
      </c>
    </row>
    <row r="37" spans="2:10" ht="14.25" customHeight="1" x14ac:dyDescent="0.2">
      <c r="B37" s="74" t="s">
        <v>198</v>
      </c>
      <c r="C37" s="47"/>
      <c r="D37" s="75">
        <v>-0.45695937099999995</v>
      </c>
      <c r="E37" s="75">
        <v>-0.19566978393191725</v>
      </c>
      <c r="F37" s="75">
        <v>-0.59569476565457569</v>
      </c>
      <c r="G37" s="75">
        <v>-0.61549883473228606</v>
      </c>
      <c r="H37" s="75">
        <v>-0.88478480613173716</v>
      </c>
      <c r="I37" s="75">
        <v>-0.82631926537237499</v>
      </c>
    </row>
    <row r="38" spans="2:10" ht="14.25" customHeight="1" x14ac:dyDescent="0.2">
      <c r="B38" s="74" t="s">
        <v>108</v>
      </c>
      <c r="C38" s="47"/>
      <c r="D38" s="75">
        <v>0.2393431771477732</v>
      </c>
      <c r="E38" s="75">
        <v>2.086472763444605</v>
      </c>
      <c r="F38" s="75">
        <v>1.8059352291923774</v>
      </c>
      <c r="G38" s="75">
        <v>1.7176020009956621</v>
      </c>
      <c r="H38" s="75">
        <v>0.8250614631096671</v>
      </c>
      <c r="I38" s="75">
        <v>0</v>
      </c>
    </row>
    <row r="39" spans="2:10" ht="14.25" customHeight="1" x14ac:dyDescent="0.2">
      <c r="B39" s="74" t="s">
        <v>109</v>
      </c>
      <c r="C39" s="47"/>
      <c r="D39" s="75">
        <v>2.9678691000000618E-4</v>
      </c>
      <c r="E39" s="75">
        <v>0.55660487726000007</v>
      </c>
      <c r="F39" s="75">
        <v>0.19495899014000001</v>
      </c>
      <c r="G39" s="75">
        <v>0</v>
      </c>
      <c r="H39" s="75">
        <v>0</v>
      </c>
      <c r="I39" s="75">
        <v>0</v>
      </c>
    </row>
    <row r="40" spans="2:10" ht="14.25" customHeight="1" x14ac:dyDescent="0.2">
      <c r="B40" s="74" t="s">
        <v>110</v>
      </c>
      <c r="C40" s="47"/>
      <c r="D40" s="75">
        <v>-1.719544450157855</v>
      </c>
      <c r="E40" s="75">
        <v>-0.24658620628906647</v>
      </c>
      <c r="F40" s="75">
        <v>0.44286188816045069</v>
      </c>
      <c r="G40" s="75">
        <v>0.64744218501186879</v>
      </c>
      <c r="H40" s="75">
        <v>0.43398878376137873</v>
      </c>
      <c r="I40" s="75">
        <v>0.42272653269992588</v>
      </c>
    </row>
    <row r="41" spans="2:10" ht="14.25" customHeight="1" x14ac:dyDescent="0.2">
      <c r="B41" s="214" t="s">
        <v>111</v>
      </c>
      <c r="C41" s="197"/>
      <c r="D41" s="134">
        <v>-3.3569904549028706</v>
      </c>
      <c r="E41" s="134">
        <v>12.265855339000154</v>
      </c>
      <c r="F41" s="134">
        <v>12.528755575245214</v>
      </c>
      <c r="G41" s="134">
        <v>17.484022554513558</v>
      </c>
      <c r="H41" s="134">
        <v>18.674571413935837</v>
      </c>
      <c r="I41" s="134">
        <v>18.242870735402903</v>
      </c>
    </row>
    <row r="42" spans="2:10" ht="14.25" customHeight="1" x14ac:dyDescent="0.2">
      <c r="B42" s="74" t="s">
        <v>112</v>
      </c>
      <c r="C42" s="47"/>
      <c r="D42" s="79">
        <v>-0.4444404270766853</v>
      </c>
      <c r="E42" s="79">
        <v>0.70737994727421949</v>
      </c>
      <c r="F42" s="79">
        <v>3.3237565271620184</v>
      </c>
      <c r="G42" s="79">
        <v>3.1097256920578857</v>
      </c>
      <c r="H42" s="79">
        <v>0.89225883553656615</v>
      </c>
      <c r="I42" s="79">
        <v>-3.0769855704768645E-2</v>
      </c>
    </row>
    <row r="43" spans="2:10" ht="14.25" customHeight="1" x14ac:dyDescent="0.2">
      <c r="B43" s="74" t="s">
        <v>113</v>
      </c>
      <c r="C43" s="47"/>
      <c r="D43" s="79">
        <v>-0.28683559324466046</v>
      </c>
      <c r="E43" s="79">
        <v>-0.99337507133540726</v>
      </c>
      <c r="F43" s="79">
        <v>0.43573733131482584</v>
      </c>
      <c r="G43" s="79">
        <v>0.65134607465023464</v>
      </c>
      <c r="H43" s="79">
        <v>1.3570370997461652</v>
      </c>
      <c r="I43" s="79">
        <v>1.5789734078011577</v>
      </c>
    </row>
    <row r="44" spans="2:10" ht="14.25" customHeight="1" x14ac:dyDescent="0.2">
      <c r="B44" s="74" t="s">
        <v>114</v>
      </c>
      <c r="C44" s="47"/>
      <c r="D44" s="79">
        <v>0.14702963557765258</v>
      </c>
      <c r="E44" s="79">
        <v>0.19784931340979739</v>
      </c>
      <c r="F44" s="79">
        <v>0.32896967691427648</v>
      </c>
      <c r="G44" s="79">
        <v>0.303404754895233</v>
      </c>
      <c r="H44" s="79">
        <v>0.31625881947480394</v>
      </c>
      <c r="I44" s="79">
        <v>0.2169712446419112</v>
      </c>
    </row>
    <row r="45" spans="2:10" ht="14.25" customHeight="1" x14ac:dyDescent="0.2">
      <c r="B45" s="214" t="s">
        <v>115</v>
      </c>
      <c r="C45" s="197"/>
      <c r="D45" s="135">
        <v>-3.9412368396465354</v>
      </c>
      <c r="E45" s="135">
        <v>12.177709528348714</v>
      </c>
      <c r="F45" s="135">
        <v>16.617219110636142</v>
      </c>
      <c r="G45" s="135">
        <v>21.548499076116968</v>
      </c>
      <c r="H45" s="135">
        <v>21.24012616869345</v>
      </c>
      <c r="I45" s="135">
        <v>20.008045532141296</v>
      </c>
    </row>
    <row r="46" spans="2:10" ht="14.25" customHeight="1" x14ac:dyDescent="0.2">
      <c r="B46" s="127" t="s">
        <v>237</v>
      </c>
      <c r="C46" s="215"/>
      <c r="D46" s="81">
        <v>-3.6210431898038742E-2</v>
      </c>
      <c r="E46" s="81">
        <v>2.6250553341553617</v>
      </c>
      <c r="F46" s="81">
        <v>1.8835517708967047</v>
      </c>
      <c r="G46" s="81">
        <v>1.6780389139995728</v>
      </c>
      <c r="H46" s="81">
        <v>1.0991735482386096</v>
      </c>
      <c r="I46" s="81">
        <v>0.2676071474025089</v>
      </c>
    </row>
    <row r="47" spans="2:10" ht="14.25" customHeight="1" x14ac:dyDescent="0.2">
      <c r="B47" s="181" t="s">
        <v>204</v>
      </c>
      <c r="C47" s="173"/>
      <c r="D47" s="173"/>
      <c r="E47" s="173"/>
      <c r="F47" s="173"/>
      <c r="G47" s="173"/>
      <c r="H47" s="173"/>
      <c r="I47" s="201"/>
      <c r="J47" s="128"/>
    </row>
    <row r="48" spans="2:10" ht="14.25" customHeight="1" x14ac:dyDescent="0.2">
      <c r="B48" s="202" t="s">
        <v>205</v>
      </c>
      <c r="C48" s="175"/>
      <c r="D48" s="175"/>
      <c r="E48" s="174" t="s">
        <v>206</v>
      </c>
      <c r="F48" s="175"/>
      <c r="G48" s="175"/>
      <c r="H48" s="175"/>
      <c r="I48" s="203"/>
      <c r="J48" s="83"/>
    </row>
    <row r="49" spans="2:10" ht="14.25" customHeight="1" x14ac:dyDescent="0.2">
      <c r="B49" s="174" t="s">
        <v>207</v>
      </c>
      <c r="C49" s="175"/>
      <c r="D49" s="175"/>
      <c r="E49" s="175"/>
      <c r="F49" s="175"/>
      <c r="G49" s="175"/>
      <c r="H49" s="175"/>
      <c r="I49" s="203"/>
      <c r="J49" s="83"/>
    </row>
    <row r="50" spans="2:10" ht="14.25" customHeight="1" x14ac:dyDescent="0.2">
      <c r="B50" s="199" t="s">
        <v>238</v>
      </c>
      <c r="C50" s="175"/>
      <c r="D50" s="175"/>
      <c r="E50" s="175"/>
      <c r="F50" s="175"/>
      <c r="G50" s="175"/>
      <c r="H50" s="175"/>
      <c r="I50" s="203"/>
      <c r="J50" s="83"/>
    </row>
    <row r="51" spans="2:10" ht="35.25" customHeight="1" x14ac:dyDescent="0.2">
      <c r="B51" s="305" t="s">
        <v>241</v>
      </c>
      <c r="C51" s="306"/>
      <c r="D51" s="306"/>
      <c r="E51" s="306"/>
      <c r="F51" s="306"/>
      <c r="G51" s="306"/>
      <c r="H51" s="306"/>
      <c r="I51" s="308"/>
      <c r="J51" s="125"/>
    </row>
    <row r="52" spans="2:10" ht="14.25" customHeight="1" thickBot="1" x14ac:dyDescent="0.25">
      <c r="B52" s="204" t="s">
        <v>240</v>
      </c>
      <c r="C52" s="176"/>
      <c r="D52" s="176"/>
      <c r="E52" s="176"/>
      <c r="F52" s="176"/>
      <c r="G52" s="176"/>
      <c r="H52" s="176"/>
      <c r="I52" s="205"/>
      <c r="J52" s="83"/>
    </row>
  </sheetData>
  <mergeCells count="3">
    <mergeCell ref="D3:I3"/>
    <mergeCell ref="E4:I4"/>
    <mergeCell ref="B51:I51"/>
  </mergeCells>
  <hyperlinks>
    <hyperlink ref="A1" location="Contents!A1" display="Contents!A1" xr:uid="{C7510C94-21C2-462E-8A2D-56B1918BB28E}"/>
  </hyperlinks>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00CD57-F75B-40AC-98F5-5D06F96F64E2}">
  <sheetPr codeName="Sheet9"/>
  <dimension ref="A1:J44"/>
  <sheetViews>
    <sheetView showGridLines="0" zoomScaleNormal="100" workbookViewId="0"/>
  </sheetViews>
  <sheetFormatPr defaultColWidth="8.77734375" defaultRowHeight="12.75" x14ac:dyDescent="0.2"/>
  <cols>
    <col min="1" max="1" width="8.77734375" style="1"/>
    <col min="2" max="2" width="31.88671875" style="1" customWidth="1"/>
    <col min="3" max="9" width="6.77734375" style="1" customWidth="1"/>
    <col min="10" max="16384" width="8.77734375" style="1"/>
  </cols>
  <sheetData>
    <row r="1" spans="1:9" ht="40.15" customHeight="1" x14ac:dyDescent="0.2">
      <c r="A1" s="4" t="s">
        <v>7</v>
      </c>
    </row>
    <row r="2" spans="1:9" ht="17.25" customHeight="1" thickBot="1" x14ac:dyDescent="0.35">
      <c r="B2" s="2" t="s">
        <v>4</v>
      </c>
    </row>
    <row r="3" spans="1:9" x14ac:dyDescent="0.2">
      <c r="B3" s="13"/>
      <c r="C3" s="311" t="s">
        <v>76</v>
      </c>
      <c r="D3" s="311"/>
      <c r="E3" s="311"/>
      <c r="F3" s="311"/>
      <c r="G3" s="311"/>
      <c r="H3" s="311"/>
      <c r="I3" s="312"/>
    </row>
    <row r="4" spans="1:9" x14ac:dyDescent="0.2">
      <c r="B4" s="14"/>
      <c r="C4" s="121" t="s">
        <v>200</v>
      </c>
      <c r="D4" s="313" t="s">
        <v>10</v>
      </c>
      <c r="E4" s="313"/>
      <c r="F4" s="313"/>
      <c r="G4" s="313"/>
      <c r="H4" s="313"/>
      <c r="I4" s="314"/>
    </row>
    <row r="5" spans="1:9" x14ac:dyDescent="0.2">
      <c r="B5" s="14"/>
      <c r="C5" s="63" t="s">
        <v>50</v>
      </c>
      <c r="D5" s="63" t="s">
        <v>51</v>
      </c>
      <c r="E5" s="63" t="s">
        <v>52</v>
      </c>
      <c r="F5" s="63" t="s">
        <v>53</v>
      </c>
      <c r="G5" s="63" t="s">
        <v>54</v>
      </c>
      <c r="H5" s="63" t="s">
        <v>55</v>
      </c>
      <c r="I5" s="69" t="s">
        <v>217</v>
      </c>
    </row>
    <row r="6" spans="1:9" ht="14.25" customHeight="1" x14ac:dyDescent="0.2">
      <c r="B6" s="138" t="s">
        <v>116</v>
      </c>
      <c r="C6" s="246"/>
      <c r="D6" s="247"/>
      <c r="E6" s="247"/>
      <c r="F6" s="248"/>
      <c r="G6" s="248"/>
      <c r="H6" s="248"/>
      <c r="I6" s="247"/>
    </row>
    <row r="7" spans="1:9" ht="14.25" customHeight="1" x14ac:dyDescent="0.2">
      <c r="B7" s="74" t="s">
        <v>117</v>
      </c>
      <c r="C7" s="249">
        <v>526.60086100000001</v>
      </c>
      <c r="D7" s="250">
        <v>555.46823527141748</v>
      </c>
      <c r="E7" s="250">
        <v>554.64071393221604</v>
      </c>
      <c r="F7" s="250">
        <v>573.00028193096421</v>
      </c>
      <c r="G7" s="250">
        <v>584.79562025324333</v>
      </c>
      <c r="H7" s="250">
        <v>604.76496412252129</v>
      </c>
      <c r="I7" s="251">
        <v>620.85445600253274</v>
      </c>
    </row>
    <row r="8" spans="1:9" ht="14.25" customHeight="1" x14ac:dyDescent="0.2">
      <c r="B8" s="74" t="s">
        <v>118</v>
      </c>
      <c r="C8" s="252">
        <v>679.77313900000047</v>
      </c>
      <c r="D8" s="250">
        <v>722.96504963521841</v>
      </c>
      <c r="E8" s="250">
        <v>772.16444514334012</v>
      </c>
      <c r="F8" s="250">
        <v>797.32132403094113</v>
      </c>
      <c r="G8" s="250">
        <v>824.03067551651259</v>
      </c>
      <c r="H8" s="250">
        <v>851.91583725812143</v>
      </c>
      <c r="I8" s="251">
        <v>890.82908999199094</v>
      </c>
    </row>
    <row r="9" spans="1:9" ht="14.25" customHeight="1" x14ac:dyDescent="0.2">
      <c r="B9" s="78" t="s">
        <v>79</v>
      </c>
      <c r="C9" s="253"/>
      <c r="D9" s="254"/>
      <c r="E9" s="254"/>
      <c r="F9" s="254"/>
      <c r="G9" s="254"/>
      <c r="H9" s="254"/>
      <c r="I9" s="255"/>
    </row>
    <row r="10" spans="1:9" ht="14.25" customHeight="1" x14ac:dyDescent="0.2">
      <c r="B10" s="256" t="s">
        <v>119</v>
      </c>
      <c r="C10" s="249">
        <v>333.76237605681303</v>
      </c>
      <c r="D10" s="250">
        <v>352.66244212468717</v>
      </c>
      <c r="E10" s="250">
        <v>367.18860390130118</v>
      </c>
      <c r="F10" s="250">
        <v>382.09896514675359</v>
      </c>
      <c r="G10" s="250">
        <v>397.45142049009388</v>
      </c>
      <c r="H10" s="250">
        <v>413.05284476737887</v>
      </c>
      <c r="I10" s="251">
        <v>431.28435994997386</v>
      </c>
    </row>
    <row r="11" spans="1:9" ht="14.25" customHeight="1" x14ac:dyDescent="0.2">
      <c r="B11" s="256" t="s">
        <v>243</v>
      </c>
      <c r="C11" s="249">
        <v>78.243933499746234</v>
      </c>
      <c r="D11" s="250">
        <v>81.4982369369868</v>
      </c>
      <c r="E11" s="250">
        <v>87.161113887639829</v>
      </c>
      <c r="F11" s="250">
        <v>85.665061494323155</v>
      </c>
      <c r="G11" s="250">
        <v>87.183721307636162</v>
      </c>
      <c r="H11" s="250">
        <v>91.027850923823109</v>
      </c>
      <c r="I11" s="251">
        <v>95.370147374468672</v>
      </c>
    </row>
    <row r="12" spans="1:9" s="257" customFormat="1" ht="14.25" customHeight="1" x14ac:dyDescent="0.2">
      <c r="B12" s="277" t="s">
        <v>254</v>
      </c>
      <c r="C12" s="48">
        <v>108.739</v>
      </c>
      <c r="D12" s="250">
        <v>123.85392604910422</v>
      </c>
      <c r="E12" s="250">
        <v>133.9829773943317</v>
      </c>
      <c r="F12" s="250">
        <v>138.96325687916939</v>
      </c>
      <c r="G12" s="250">
        <v>147.39967416619606</v>
      </c>
      <c r="H12" s="250">
        <v>149.55647566060529</v>
      </c>
      <c r="I12" s="251">
        <v>159.9524108316399</v>
      </c>
    </row>
    <row r="13" spans="1:9" ht="14.25" customHeight="1" x14ac:dyDescent="0.2">
      <c r="B13" s="256" t="s">
        <v>244</v>
      </c>
      <c r="C13" s="258">
        <v>7.4360349999999995</v>
      </c>
      <c r="D13" s="259">
        <v>8.0482946826527808</v>
      </c>
      <c r="E13" s="259">
        <v>7.6343545203952914</v>
      </c>
      <c r="F13" s="259">
        <v>7.6798513498493266</v>
      </c>
      <c r="G13" s="259">
        <v>7.686861834575148</v>
      </c>
      <c r="H13" s="259">
        <v>8.3795345182819059</v>
      </c>
      <c r="I13" s="260">
        <v>8.8244362078657588</v>
      </c>
    </row>
    <row r="14" spans="1:9" ht="14.25" customHeight="1" x14ac:dyDescent="0.2">
      <c r="B14" s="256" t="s">
        <v>120</v>
      </c>
      <c r="C14" s="261">
        <v>0.89245419340485455</v>
      </c>
      <c r="D14" s="259">
        <v>0.34693718366139631</v>
      </c>
      <c r="E14" s="259">
        <v>4.7176217219099384E-2</v>
      </c>
      <c r="F14" s="259">
        <v>0.7366370021775378</v>
      </c>
      <c r="G14" s="259">
        <v>0.15784143500052836</v>
      </c>
      <c r="H14" s="259">
        <v>0.22222990864935308</v>
      </c>
      <c r="I14" s="260">
        <v>0.26748361658955866</v>
      </c>
    </row>
    <row r="15" spans="1:9" ht="14.25" customHeight="1" x14ac:dyDescent="0.2">
      <c r="B15" s="256" t="s">
        <v>121</v>
      </c>
      <c r="C15" s="261">
        <v>-0.3753618622985182</v>
      </c>
      <c r="D15" s="259">
        <v>-1.0968911998226099</v>
      </c>
      <c r="E15" s="259">
        <v>14.300496493666602</v>
      </c>
      <c r="F15" s="259">
        <v>14.883434874815132</v>
      </c>
      <c r="G15" s="259">
        <v>14.922156344864897</v>
      </c>
      <c r="H15" s="259">
        <v>14.873128822648512</v>
      </c>
      <c r="I15" s="260">
        <v>15.10339832764965</v>
      </c>
    </row>
    <row r="16" spans="1:9" ht="14.25" customHeight="1" x14ac:dyDescent="0.2">
      <c r="B16" s="256" t="s">
        <v>122</v>
      </c>
      <c r="C16" s="258">
        <v>10.930237885181359</v>
      </c>
      <c r="D16" s="259">
        <v>11.587710243817101</v>
      </c>
      <c r="E16" s="259">
        <v>11.959913841287555</v>
      </c>
      <c r="F16" s="259">
        <v>12.178176903567023</v>
      </c>
      <c r="G16" s="259">
        <v>12.438058201037055</v>
      </c>
      <c r="H16" s="259">
        <v>12.762958783815856</v>
      </c>
      <c r="I16" s="260">
        <v>13.112696324712532</v>
      </c>
    </row>
    <row r="17" spans="2:9" ht="14.25" customHeight="1" x14ac:dyDescent="0.2">
      <c r="B17" s="256" t="s">
        <v>123</v>
      </c>
      <c r="C17" s="258">
        <v>4.2729909734032239</v>
      </c>
      <c r="D17" s="259">
        <v>4.4270479232736726</v>
      </c>
      <c r="E17" s="259">
        <v>4.1677209157635025</v>
      </c>
      <c r="F17" s="259">
        <v>4.3174312566387121</v>
      </c>
      <c r="G17" s="259">
        <v>4.2976340855632902</v>
      </c>
      <c r="H17" s="259">
        <v>4.3346103324591452</v>
      </c>
      <c r="I17" s="260">
        <v>4.3745029589534274</v>
      </c>
    </row>
    <row r="18" spans="2:9" ht="14.25" customHeight="1" x14ac:dyDescent="0.2">
      <c r="B18" s="256" t="s">
        <v>124</v>
      </c>
      <c r="C18" s="258">
        <v>1.4810848140000001</v>
      </c>
      <c r="D18" s="259">
        <v>1.4810848140000001</v>
      </c>
      <c r="E18" s="259">
        <v>1.514982920431027</v>
      </c>
      <c r="F18" s="259">
        <v>1.5302589839667078</v>
      </c>
      <c r="G18" s="259">
        <v>1.4971095343150771</v>
      </c>
      <c r="H18" s="259">
        <v>1.496677200249227</v>
      </c>
      <c r="I18" s="260">
        <v>1.4959569144416442</v>
      </c>
    </row>
    <row r="19" spans="2:9" ht="14.25" customHeight="1" x14ac:dyDescent="0.2">
      <c r="B19" s="256" t="s">
        <v>125</v>
      </c>
      <c r="C19" s="258">
        <v>1.5515199584957418</v>
      </c>
      <c r="D19" s="259">
        <v>1.6130105255324496</v>
      </c>
      <c r="E19" s="259">
        <v>1.6597287513327681</v>
      </c>
      <c r="F19" s="259">
        <v>1.7026722456505021</v>
      </c>
      <c r="G19" s="259">
        <v>1.7522538758593598</v>
      </c>
      <c r="H19" s="259">
        <v>1.8075869628808849</v>
      </c>
      <c r="I19" s="260">
        <v>1.862071531799917</v>
      </c>
    </row>
    <row r="20" spans="2:9" ht="14.25" customHeight="1" x14ac:dyDescent="0.2">
      <c r="B20" s="256" t="s">
        <v>126</v>
      </c>
      <c r="C20" s="258">
        <v>0.502</v>
      </c>
      <c r="D20" s="259">
        <v>0.51400000000000001</v>
      </c>
      <c r="E20" s="259">
        <v>0.51600000000000001</v>
      </c>
      <c r="F20" s="259">
        <v>0.51600000000000001</v>
      </c>
      <c r="G20" s="259">
        <v>0.51600000000000001</v>
      </c>
      <c r="H20" s="259">
        <v>0.51600000000000001</v>
      </c>
      <c r="I20" s="260">
        <v>0.51600000000000001</v>
      </c>
    </row>
    <row r="21" spans="2:9" ht="14.25" customHeight="1" x14ac:dyDescent="0.2">
      <c r="B21" s="256" t="s">
        <v>127</v>
      </c>
      <c r="C21" s="258">
        <v>19.896000000000001</v>
      </c>
      <c r="D21" s="259">
        <v>18.764876998990783</v>
      </c>
      <c r="E21" s="259">
        <v>19.621557566038561</v>
      </c>
      <c r="F21" s="259">
        <v>20.425863943109686</v>
      </c>
      <c r="G21" s="259">
        <v>21.236578388129498</v>
      </c>
      <c r="H21" s="259">
        <v>22.185468827854034</v>
      </c>
      <c r="I21" s="260">
        <v>23.068394755849457</v>
      </c>
    </row>
    <row r="22" spans="2:9" ht="14.25" customHeight="1" x14ac:dyDescent="0.2">
      <c r="B22" s="256" t="s">
        <v>128</v>
      </c>
      <c r="C22" s="258">
        <v>64.668999999999997</v>
      </c>
      <c r="D22" s="259">
        <v>69.451578485613396</v>
      </c>
      <c r="E22" s="259">
        <v>73.715292228604795</v>
      </c>
      <c r="F22" s="259">
        <v>77.120804045239566</v>
      </c>
      <c r="G22" s="259">
        <v>80.196134917937655</v>
      </c>
      <c r="H22" s="259">
        <v>83.183392939071638</v>
      </c>
      <c r="I22" s="260">
        <v>86.581077018841299</v>
      </c>
    </row>
    <row r="23" spans="2:9" ht="14.25" customHeight="1" x14ac:dyDescent="0.2">
      <c r="B23" s="256" t="s">
        <v>129</v>
      </c>
      <c r="C23" s="258">
        <v>26.44932833310229</v>
      </c>
      <c r="D23" s="259">
        <v>26.96102354483769</v>
      </c>
      <c r="E23" s="259">
        <v>27.843665973754163</v>
      </c>
      <c r="F23" s="259">
        <v>28.506972200499817</v>
      </c>
      <c r="G23" s="259">
        <v>29.045125291378216</v>
      </c>
      <c r="H23" s="259">
        <v>30.352786695298189</v>
      </c>
      <c r="I23" s="260">
        <v>31.516215961846015</v>
      </c>
    </row>
    <row r="24" spans="2:9" ht="14.25" customHeight="1" x14ac:dyDescent="0.2">
      <c r="B24" s="256" t="s">
        <v>107</v>
      </c>
      <c r="C24" s="258">
        <v>15.198799999999999</v>
      </c>
      <c r="D24" s="259">
        <v>17.641444995364399</v>
      </c>
      <c r="E24" s="259">
        <v>17.854615973559319</v>
      </c>
      <c r="F24" s="259">
        <v>18.776537921282493</v>
      </c>
      <c r="G24" s="259">
        <v>16.594795195770175</v>
      </c>
      <c r="H24" s="259">
        <v>16.935884165616173</v>
      </c>
      <c r="I24" s="260">
        <v>16.573979750100865</v>
      </c>
    </row>
    <row r="25" spans="2:9" ht="14.25" customHeight="1" x14ac:dyDescent="0.2">
      <c r="B25" s="256" t="s">
        <v>245</v>
      </c>
      <c r="C25" s="258">
        <v>9.2290130671427448</v>
      </c>
      <c r="D25" s="259">
        <v>2.0834172361380467</v>
      </c>
      <c r="E25" s="259">
        <v>2.0007997414444958</v>
      </c>
      <c r="F25" s="259">
        <v>1.89299368467573</v>
      </c>
      <c r="G25" s="259">
        <v>1.8835382246283245</v>
      </c>
      <c r="H25" s="259">
        <v>1.9043461415468244</v>
      </c>
      <c r="I25" s="260">
        <v>2.0471626358045398</v>
      </c>
    </row>
    <row r="26" spans="2:9" ht="14.25" customHeight="1" x14ac:dyDescent="0.2">
      <c r="B26" s="256" t="s">
        <v>130</v>
      </c>
      <c r="C26" s="258">
        <v>-3.105272918990484</v>
      </c>
      <c r="D26" s="259">
        <v>3.1269090903811101</v>
      </c>
      <c r="E26" s="259">
        <v>0.99544481657024364</v>
      </c>
      <c r="F26" s="259">
        <v>0.32640609922277247</v>
      </c>
      <c r="G26" s="259">
        <v>-0.22822777647277753</v>
      </c>
      <c r="H26" s="259">
        <v>-0.67593939205755882</v>
      </c>
      <c r="I26" s="260">
        <v>-1.1212041685461531</v>
      </c>
    </row>
    <row r="27" spans="2:9" ht="14.25" customHeight="1" x14ac:dyDescent="0.2">
      <c r="B27" s="262" t="s">
        <v>131</v>
      </c>
      <c r="C27" s="263">
        <v>1206.3740000000005</v>
      </c>
      <c r="D27" s="264">
        <v>1278.4332849066359</v>
      </c>
      <c r="E27" s="264">
        <v>1326.805159075556</v>
      </c>
      <c r="F27" s="264">
        <v>1370.3216059619056</v>
      </c>
      <c r="G27" s="264">
        <v>1408.8262957697559</v>
      </c>
      <c r="H27" s="264">
        <v>1456.6808013806426</v>
      </c>
      <c r="I27" s="265">
        <v>1511.6835459945235</v>
      </c>
    </row>
    <row r="28" spans="2:9" ht="14.25" customHeight="1" x14ac:dyDescent="0.2">
      <c r="B28" s="138" t="s">
        <v>132</v>
      </c>
      <c r="C28" s="258"/>
      <c r="D28" s="259"/>
      <c r="E28" s="259"/>
      <c r="F28" s="259"/>
      <c r="G28" s="259"/>
      <c r="H28" s="259"/>
      <c r="I28" s="260"/>
    </row>
    <row r="29" spans="2:9" ht="14.25" customHeight="1" x14ac:dyDescent="0.2">
      <c r="B29" s="74" t="s">
        <v>133</v>
      </c>
      <c r="C29" s="258">
        <v>122.17543800000001</v>
      </c>
      <c r="D29" s="259">
        <v>127.74444365554962</v>
      </c>
      <c r="E29" s="259">
        <v>130.23486794011328</v>
      </c>
      <c r="F29" s="259">
        <v>131.70924126003848</v>
      </c>
      <c r="G29" s="259">
        <v>133.70959358940664</v>
      </c>
      <c r="H29" s="259">
        <v>136.87764760160039</v>
      </c>
      <c r="I29" s="260">
        <v>141.40408773494673</v>
      </c>
    </row>
    <row r="30" spans="2:9" ht="14.25" customHeight="1" x14ac:dyDescent="0.2">
      <c r="B30" s="74" t="s">
        <v>134</v>
      </c>
      <c r="C30" s="258">
        <v>37.048562000000025</v>
      </c>
      <c r="D30" s="259">
        <v>42.989437829691035</v>
      </c>
      <c r="E30" s="259">
        <v>46.965211291655706</v>
      </c>
      <c r="F30" s="259">
        <v>46.491383447346692</v>
      </c>
      <c r="G30" s="259">
        <v>44.429113099909706</v>
      </c>
      <c r="H30" s="259">
        <v>44.834257762159837</v>
      </c>
      <c r="I30" s="260">
        <v>44.571520299093223</v>
      </c>
    </row>
    <row r="31" spans="2:9" ht="14.25" customHeight="1" x14ac:dyDescent="0.2">
      <c r="B31" s="78" t="s">
        <v>79</v>
      </c>
      <c r="C31" s="266"/>
      <c r="D31" s="267"/>
      <c r="E31" s="267"/>
      <c r="F31" s="267"/>
      <c r="G31" s="267"/>
      <c r="H31" s="267"/>
      <c r="I31" s="268"/>
    </row>
    <row r="32" spans="2:9" ht="14.25" customHeight="1" x14ac:dyDescent="0.2">
      <c r="B32" s="256" t="s">
        <v>135</v>
      </c>
      <c r="C32" s="269">
        <v>8.3922017720721858</v>
      </c>
      <c r="D32" s="259">
        <v>10.800598828292658</v>
      </c>
      <c r="E32" s="259">
        <v>9.7757911864362601</v>
      </c>
      <c r="F32" s="259">
        <v>10.374449675080669</v>
      </c>
      <c r="G32" s="259">
        <v>9.3426881617297326</v>
      </c>
      <c r="H32" s="259">
        <v>9.487541677401973</v>
      </c>
      <c r="I32" s="260">
        <v>9.201977908265432</v>
      </c>
    </row>
    <row r="33" spans="2:10" ht="14.25" customHeight="1" x14ac:dyDescent="0.2">
      <c r="B33" s="256" t="s">
        <v>246</v>
      </c>
      <c r="C33" s="258">
        <v>15.933000000000002</v>
      </c>
      <c r="D33" s="259">
        <v>16.853901189021869</v>
      </c>
      <c r="E33" s="259">
        <v>17.129441680860619</v>
      </c>
      <c r="F33" s="259">
        <v>17.362435198137</v>
      </c>
      <c r="G33" s="259">
        <v>17.489526668482284</v>
      </c>
      <c r="H33" s="259">
        <v>17.780511370525929</v>
      </c>
      <c r="I33" s="260">
        <v>18.013857315396891</v>
      </c>
    </row>
    <row r="34" spans="2:10" ht="14.25" customHeight="1" x14ac:dyDescent="0.2">
      <c r="B34" s="256" t="s">
        <v>136</v>
      </c>
      <c r="C34" s="258">
        <v>8.5282422708604706</v>
      </c>
      <c r="D34" s="259">
        <v>1.3936102608215599</v>
      </c>
      <c r="E34" s="259">
        <v>8.3025635942113354</v>
      </c>
      <c r="F34" s="259">
        <v>8.2853401148751775</v>
      </c>
      <c r="G34" s="259">
        <v>8.260247894186028</v>
      </c>
      <c r="H34" s="259">
        <v>8.2072489736972756</v>
      </c>
      <c r="I34" s="260">
        <v>8.1701170896610353</v>
      </c>
    </row>
    <row r="35" spans="2:10" ht="14.25" customHeight="1" x14ac:dyDescent="0.2">
      <c r="B35" s="256" t="s">
        <v>127</v>
      </c>
      <c r="C35" s="258">
        <v>0.59</v>
      </c>
      <c r="D35" s="259">
        <v>2.0098346824725848</v>
      </c>
      <c r="E35" s="259">
        <v>0.68183468247258516</v>
      </c>
      <c r="F35" s="259">
        <v>0.68183468247258516</v>
      </c>
      <c r="G35" s="259">
        <v>0.68383468247258516</v>
      </c>
      <c r="H35" s="259">
        <v>0.68683468247258517</v>
      </c>
      <c r="I35" s="260">
        <v>0.68683468247258517</v>
      </c>
    </row>
    <row r="36" spans="2:10" ht="14.25" customHeight="1" x14ac:dyDescent="0.2">
      <c r="B36" s="256" t="s">
        <v>137</v>
      </c>
      <c r="C36" s="258">
        <v>0</v>
      </c>
      <c r="D36" s="259">
        <v>0</v>
      </c>
      <c r="E36" s="259">
        <v>0.64</v>
      </c>
      <c r="F36" s="259">
        <v>0.64</v>
      </c>
      <c r="G36" s="259">
        <v>0.64</v>
      </c>
      <c r="H36" s="259">
        <v>0.64</v>
      </c>
      <c r="I36" s="260">
        <v>0.64</v>
      </c>
    </row>
    <row r="37" spans="2:10" ht="14.25" customHeight="1" x14ac:dyDescent="0.2">
      <c r="B37" s="256" t="s">
        <v>138</v>
      </c>
      <c r="C37" s="258">
        <v>3.2300653249579114</v>
      </c>
      <c r="D37" s="259">
        <v>9.1532547000424174</v>
      </c>
      <c r="E37" s="259">
        <v>7.828135918840303</v>
      </c>
      <c r="F37" s="259">
        <v>6.7394155308853376</v>
      </c>
      <c r="G37" s="259">
        <v>5.6401502787212578</v>
      </c>
      <c r="H37" s="259">
        <v>5.6334296140255526</v>
      </c>
      <c r="I37" s="259">
        <v>5.5975030330446591</v>
      </c>
    </row>
    <row r="38" spans="2:10" ht="14.25" customHeight="1" x14ac:dyDescent="0.2">
      <c r="B38" s="256" t="s">
        <v>139</v>
      </c>
      <c r="C38" s="258">
        <v>0.37505263210945122</v>
      </c>
      <c r="D38" s="270">
        <v>2.7782381690399416</v>
      </c>
      <c r="E38" s="270">
        <v>2.6074442288345967</v>
      </c>
      <c r="F38" s="270">
        <v>2.4079082458959236</v>
      </c>
      <c r="G38" s="270">
        <v>2.3726654143178245</v>
      </c>
      <c r="H38" s="270">
        <v>2.398691444036519</v>
      </c>
      <c r="I38" s="271">
        <v>2.2612302702526188</v>
      </c>
    </row>
    <row r="39" spans="2:10" ht="14.25" customHeight="1" x14ac:dyDescent="0.2">
      <c r="B39" s="262" t="s">
        <v>140</v>
      </c>
      <c r="C39" s="272">
        <v>159.22400000000002</v>
      </c>
      <c r="D39" s="273">
        <v>170.73388148524066</v>
      </c>
      <c r="E39" s="273">
        <v>177.200079231769</v>
      </c>
      <c r="F39" s="273">
        <v>178.20062470738517</v>
      </c>
      <c r="G39" s="273">
        <v>178.13870668931634</v>
      </c>
      <c r="H39" s="273">
        <v>181.71190536376022</v>
      </c>
      <c r="I39" s="274">
        <v>185.97560803403991</v>
      </c>
    </row>
    <row r="40" spans="2:10" ht="14.25" customHeight="1" x14ac:dyDescent="0.2">
      <c r="B40" s="74" t="s">
        <v>141</v>
      </c>
      <c r="C40" s="258">
        <v>-72.33</v>
      </c>
      <c r="D40" s="259">
        <v>-78.104142561483329</v>
      </c>
      <c r="E40" s="259">
        <v>-82.735259088319424</v>
      </c>
      <c r="F40" s="259">
        <v>-86.457953325313269</v>
      </c>
      <c r="G40" s="259">
        <v>-89.831530282847936</v>
      </c>
      <c r="H40" s="259">
        <v>-93.095079851553905</v>
      </c>
      <c r="I40" s="260">
        <v>-96.752896697650272</v>
      </c>
    </row>
    <row r="41" spans="2:10" ht="14.25" customHeight="1" x14ac:dyDescent="0.2">
      <c r="B41" s="74" t="s">
        <v>142</v>
      </c>
      <c r="C41" s="258">
        <v>86.89400000000002</v>
      </c>
      <c r="D41" s="270">
        <v>92.62973892375733</v>
      </c>
      <c r="E41" s="270">
        <v>94.464820143449572</v>
      </c>
      <c r="F41" s="270">
        <v>91.742671382071904</v>
      </c>
      <c r="G41" s="270">
        <v>88.3071764064684</v>
      </c>
      <c r="H41" s="270">
        <v>88.616825512206319</v>
      </c>
      <c r="I41" s="271">
        <v>89.222711336389636</v>
      </c>
    </row>
    <row r="42" spans="2:10" ht="14.25" customHeight="1" x14ac:dyDescent="0.2">
      <c r="B42" s="262" t="s">
        <v>143</v>
      </c>
      <c r="C42" s="263">
        <v>1365.5980000000004</v>
      </c>
      <c r="D42" s="275">
        <v>1449.1671663918767</v>
      </c>
      <c r="E42" s="275">
        <v>1504.005238307325</v>
      </c>
      <c r="F42" s="275">
        <v>1548.5222306692908</v>
      </c>
      <c r="G42" s="275">
        <v>1586.9650024590724</v>
      </c>
      <c r="H42" s="275">
        <v>1638.3927067444029</v>
      </c>
      <c r="I42" s="276">
        <v>1697.6591540285633</v>
      </c>
      <c r="J42" s="139"/>
    </row>
    <row r="43" spans="2:10" ht="14.25" customHeight="1" thickBot="1" x14ac:dyDescent="0.25">
      <c r="B43" s="309" t="s">
        <v>255</v>
      </c>
      <c r="C43" s="310"/>
      <c r="D43" s="310"/>
      <c r="E43" s="310"/>
      <c r="F43" s="310"/>
      <c r="G43" s="310"/>
      <c r="H43" s="310"/>
      <c r="I43" s="310"/>
      <c r="J43" s="217"/>
    </row>
    <row r="44" spans="2:10" x14ac:dyDescent="0.2">
      <c r="B44" s="140"/>
      <c r="C44" s="140"/>
      <c r="D44" s="140"/>
      <c r="E44" s="140"/>
      <c r="F44" s="140"/>
      <c r="G44" s="140"/>
      <c r="H44" s="140"/>
      <c r="I44" s="140"/>
    </row>
  </sheetData>
  <mergeCells count="3">
    <mergeCell ref="B43:I43"/>
    <mergeCell ref="C3:I3"/>
    <mergeCell ref="D4:I4"/>
  </mergeCells>
  <conditionalFormatting sqref="D27:I27 D42:I42">
    <cfRule type="cellIs" dxfId="2" priority="1" operator="greaterThan">
      <formula>1000</formula>
    </cfRule>
  </conditionalFormatting>
  <hyperlinks>
    <hyperlink ref="A1" location="Contents!A1" display="Contents!A1" xr:uid="{B8A34E9B-5407-4C28-977B-16619CE9CDC3}"/>
  </hyperlinks>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C3D93A-B010-4A96-B2DB-02F50EFBEE3B}">
  <sheetPr codeName="Sheet10"/>
  <dimension ref="A1:I46"/>
  <sheetViews>
    <sheetView showGridLines="0" zoomScaleNormal="100" workbookViewId="0"/>
  </sheetViews>
  <sheetFormatPr defaultColWidth="8.77734375" defaultRowHeight="12.75" x14ac:dyDescent="0.2"/>
  <cols>
    <col min="1" max="1" width="8.77734375" style="1"/>
    <col min="2" max="2" width="32.88671875" style="1" customWidth="1"/>
    <col min="3" max="8" width="6.77734375" style="1" customWidth="1"/>
    <col min="9" max="16384" width="8.77734375" style="1"/>
  </cols>
  <sheetData>
    <row r="1" spans="1:8" ht="40.15" customHeight="1" x14ac:dyDescent="0.2">
      <c r="A1" s="4" t="s">
        <v>7</v>
      </c>
    </row>
    <row r="2" spans="1:8" ht="17.25" customHeight="1" thickBot="1" x14ac:dyDescent="0.35">
      <c r="B2" s="2" t="s">
        <v>269</v>
      </c>
    </row>
    <row r="3" spans="1:8" x14ac:dyDescent="0.2">
      <c r="B3" s="13"/>
      <c r="C3" s="315" t="s">
        <v>76</v>
      </c>
      <c r="D3" s="315"/>
      <c r="E3" s="315"/>
      <c r="F3" s="315"/>
      <c r="G3" s="315"/>
      <c r="H3" s="315"/>
    </row>
    <row r="4" spans="1:8" x14ac:dyDescent="0.2">
      <c r="B4" s="14"/>
      <c r="C4" s="122" t="s">
        <v>200</v>
      </c>
      <c r="D4" s="316" t="s">
        <v>10</v>
      </c>
      <c r="E4" s="316"/>
      <c r="F4" s="316"/>
      <c r="G4" s="316"/>
      <c r="H4" s="316"/>
    </row>
    <row r="5" spans="1:8" x14ac:dyDescent="0.2">
      <c r="B5" s="14"/>
      <c r="C5" s="63" t="s">
        <v>50</v>
      </c>
      <c r="D5" s="63" t="s">
        <v>51</v>
      </c>
      <c r="E5" s="63" t="s">
        <v>52</v>
      </c>
      <c r="F5" s="63" t="s">
        <v>53</v>
      </c>
      <c r="G5" s="63" t="s">
        <v>54</v>
      </c>
      <c r="H5" s="63" t="s">
        <v>55</v>
      </c>
    </row>
    <row r="6" spans="1:8" ht="14.25" customHeight="1" x14ac:dyDescent="0.2">
      <c r="A6" s="154"/>
      <c r="B6" s="129" t="s">
        <v>116</v>
      </c>
      <c r="C6" s="64"/>
      <c r="D6" s="64"/>
      <c r="E6" s="64"/>
      <c r="F6" s="65"/>
      <c r="G6" s="64"/>
      <c r="H6" s="64"/>
    </row>
    <row r="7" spans="1:8" ht="15" x14ac:dyDescent="0.2">
      <c r="A7" s="154"/>
      <c r="B7" s="74" t="s">
        <v>256</v>
      </c>
      <c r="C7" s="119">
        <v>3.6930857413622107</v>
      </c>
      <c r="D7" s="66">
        <v>7.245888456395619</v>
      </c>
      <c r="E7" s="66">
        <v>-9.0420278921478712</v>
      </c>
      <c r="F7" s="66">
        <v>-8.7615489782355098</v>
      </c>
      <c r="G7" s="66">
        <v>-9.3593240007272698</v>
      </c>
      <c r="H7" s="66">
        <v>-9.4300031235517281</v>
      </c>
    </row>
    <row r="8" spans="1:8" ht="14.25" customHeight="1" x14ac:dyDescent="0.2">
      <c r="A8" s="154"/>
      <c r="B8" s="143" t="s">
        <v>118</v>
      </c>
      <c r="C8" s="119">
        <v>-8.8037775043063675</v>
      </c>
      <c r="D8" s="66">
        <v>10.92133727221858</v>
      </c>
      <c r="E8" s="66">
        <v>36.66739100475661</v>
      </c>
      <c r="F8" s="66">
        <v>38.964597376081429</v>
      </c>
      <c r="G8" s="66">
        <v>36.781913275984607</v>
      </c>
      <c r="H8" s="66">
        <v>35.096169950830017</v>
      </c>
    </row>
    <row r="9" spans="1:8" ht="14.25" customHeight="1" x14ac:dyDescent="0.2">
      <c r="A9" s="154"/>
      <c r="B9" s="144" t="s">
        <v>79</v>
      </c>
      <c r="C9" s="120"/>
      <c r="D9" s="67"/>
      <c r="E9" s="67"/>
      <c r="F9" s="67"/>
      <c r="G9" s="67"/>
      <c r="H9" s="67"/>
    </row>
    <row r="10" spans="1:8" ht="14.25" customHeight="1" x14ac:dyDescent="0.2">
      <c r="A10" s="154"/>
      <c r="B10" s="145" t="s">
        <v>119</v>
      </c>
      <c r="C10" s="119">
        <v>0.89298896412475415</v>
      </c>
      <c r="D10" s="66">
        <v>-0.13253107690081833</v>
      </c>
      <c r="E10" s="66">
        <v>4.128850151587983</v>
      </c>
      <c r="F10" s="66">
        <v>8.2847734772195736</v>
      </c>
      <c r="G10" s="66">
        <v>7.5320536786068715</v>
      </c>
      <c r="H10" s="66">
        <v>6.1465483166302874</v>
      </c>
    </row>
    <row r="11" spans="1:8" ht="14.25" customHeight="1" x14ac:dyDescent="0.2">
      <c r="A11" s="154"/>
      <c r="B11" s="146" t="s">
        <v>199</v>
      </c>
      <c r="C11" s="119">
        <v>-0.54892561850449795</v>
      </c>
      <c r="D11" s="66">
        <v>-5.9107767049484039</v>
      </c>
      <c r="E11" s="66">
        <v>-2.9569535520171115</v>
      </c>
      <c r="F11" s="66">
        <v>-2.589331737891527</v>
      </c>
      <c r="G11" s="66">
        <v>-3.0129885485623475</v>
      </c>
      <c r="H11" s="66">
        <v>-2.7137761495512223</v>
      </c>
    </row>
    <row r="12" spans="1:8" ht="14.25" customHeight="1" x14ac:dyDescent="0.2">
      <c r="A12" s="154"/>
      <c r="B12" s="277" t="s">
        <v>254</v>
      </c>
      <c r="C12" s="123">
        <v>-0.94258181807187214</v>
      </c>
      <c r="D12" s="124">
        <v>14.487889738365979</v>
      </c>
      <c r="E12" s="124">
        <v>17.273937069761814</v>
      </c>
      <c r="F12" s="124">
        <v>13.040145184568161</v>
      </c>
      <c r="G12" s="124">
        <v>12.695470486723394</v>
      </c>
      <c r="H12" s="66">
        <v>12.445065783412304</v>
      </c>
    </row>
    <row r="13" spans="1:8" ht="14.25" customHeight="1" x14ac:dyDescent="0.2">
      <c r="A13" s="154"/>
      <c r="B13" s="256" t="s">
        <v>244</v>
      </c>
      <c r="C13" s="119">
        <v>-0.23723006419518811</v>
      </c>
      <c r="D13" s="66">
        <v>0.19347369048493679</v>
      </c>
      <c r="E13" s="66">
        <v>-0.19308052903491468</v>
      </c>
      <c r="F13" s="66">
        <v>-0.63037380025094425</v>
      </c>
      <c r="G13" s="66">
        <v>-0.77293240787558037</v>
      </c>
      <c r="H13" s="66">
        <v>-0.33562609798690346</v>
      </c>
    </row>
    <row r="14" spans="1:8" ht="14.25" customHeight="1" x14ac:dyDescent="0.2">
      <c r="A14" s="154"/>
      <c r="B14" s="146" t="s">
        <v>120</v>
      </c>
      <c r="C14" s="119">
        <v>5.6367879820340416E-4</v>
      </c>
      <c r="D14" s="66">
        <v>-0.58466097625382107</v>
      </c>
      <c r="E14" s="66">
        <v>-0.36878559277585021</v>
      </c>
      <c r="F14" s="66">
        <v>-5.5958448482537504E-2</v>
      </c>
      <c r="G14" s="66">
        <v>0.16245407699212466</v>
      </c>
      <c r="H14" s="66">
        <v>0.16033415691493183</v>
      </c>
    </row>
    <row r="15" spans="1:8" ht="15" x14ac:dyDescent="0.2">
      <c r="A15" s="154"/>
      <c r="B15" s="256" t="s">
        <v>257</v>
      </c>
      <c r="C15" s="119">
        <v>-0.93161885132272115</v>
      </c>
      <c r="D15" s="66">
        <v>1.85671226802903</v>
      </c>
      <c r="E15" s="66">
        <v>17.711504195062833</v>
      </c>
      <c r="F15" s="66">
        <v>19.218446113192453</v>
      </c>
      <c r="G15" s="66">
        <v>19.226352338423659</v>
      </c>
      <c r="H15" s="66">
        <v>20.027792157349179</v>
      </c>
    </row>
    <row r="16" spans="1:8" ht="14.25" customHeight="1" x14ac:dyDescent="0.2">
      <c r="A16" s="154"/>
      <c r="B16" s="145" t="s">
        <v>122</v>
      </c>
      <c r="C16" s="119">
        <v>1.917528957949699E-2</v>
      </c>
      <c r="D16" s="66">
        <v>1.9124045271112777E-3</v>
      </c>
      <c r="E16" s="66">
        <v>0.14237103290242459</v>
      </c>
      <c r="F16" s="66">
        <v>0.13429366012335464</v>
      </c>
      <c r="G16" s="66">
        <v>0.13418448717143683</v>
      </c>
      <c r="H16" s="66">
        <v>0.15733353960044383</v>
      </c>
    </row>
    <row r="17" spans="1:8" ht="14.25" customHeight="1" x14ac:dyDescent="0.2">
      <c r="A17" s="154"/>
      <c r="B17" s="146" t="s">
        <v>123</v>
      </c>
      <c r="C17" s="119">
        <v>5.4620211463224599E-2</v>
      </c>
      <c r="D17" s="66">
        <v>0.10694494352367201</v>
      </c>
      <c r="E17" s="66">
        <v>-0.12249929435649776</v>
      </c>
      <c r="F17" s="66">
        <v>3.2110465187118464E-3</v>
      </c>
      <c r="G17" s="66">
        <v>-5.8405808104696533E-2</v>
      </c>
      <c r="H17" s="66">
        <v>-6.5391340386050878E-2</v>
      </c>
    </row>
    <row r="18" spans="1:8" ht="14.25" customHeight="1" x14ac:dyDescent="0.2">
      <c r="A18" s="154"/>
      <c r="B18" s="146" t="s">
        <v>124</v>
      </c>
      <c r="C18" s="119">
        <v>5.0604110376939238E-2</v>
      </c>
      <c r="D18" s="66">
        <v>0.18146568024134879</v>
      </c>
      <c r="E18" s="66">
        <v>0.28319048496695554</v>
      </c>
      <c r="F18" s="66">
        <v>0.27704506063320822</v>
      </c>
      <c r="G18" s="66">
        <v>0.22594376070762379</v>
      </c>
      <c r="H18" s="66">
        <v>0.21904063258247941</v>
      </c>
    </row>
    <row r="19" spans="1:8" ht="14.25" customHeight="1" x14ac:dyDescent="0.2">
      <c r="A19" s="154"/>
      <c r="B19" s="145" t="s">
        <v>125</v>
      </c>
      <c r="C19" s="119">
        <v>-0.39037907356022417</v>
      </c>
      <c r="D19" s="66">
        <v>-0.39056475062812712</v>
      </c>
      <c r="E19" s="66">
        <v>-0.40238258527151483</v>
      </c>
      <c r="F19" s="66">
        <v>-0.41752367272060487</v>
      </c>
      <c r="G19" s="66">
        <v>-0.42802982916714827</v>
      </c>
      <c r="H19" s="66">
        <v>-0.43602132618617739</v>
      </c>
    </row>
    <row r="20" spans="1:8" ht="14.25" customHeight="1" x14ac:dyDescent="0.2">
      <c r="A20" s="154"/>
      <c r="B20" s="147" t="s">
        <v>126</v>
      </c>
      <c r="C20" s="119">
        <v>1.8000000000000016E-2</v>
      </c>
      <c r="D20" s="66">
        <v>2.200000000000002E-2</v>
      </c>
      <c r="E20" s="66">
        <v>2.4000000000000021E-2</v>
      </c>
      <c r="F20" s="66">
        <v>2.4000000000000021E-2</v>
      </c>
      <c r="G20" s="66">
        <v>2.4000000000000021E-2</v>
      </c>
      <c r="H20" s="66">
        <v>2.4000000000000021E-2</v>
      </c>
    </row>
    <row r="21" spans="1:8" ht="14.25" customHeight="1" x14ac:dyDescent="0.2">
      <c r="A21" s="154"/>
      <c r="B21" s="147" t="s">
        <v>127</v>
      </c>
      <c r="C21" s="119">
        <v>0.13171432809069827</v>
      </c>
      <c r="D21" s="66">
        <v>-2.0062460020491066</v>
      </c>
      <c r="E21" s="66">
        <v>-2.1893763475071637</v>
      </c>
      <c r="F21" s="66">
        <v>-2.4276741976126814</v>
      </c>
      <c r="G21" s="66">
        <v>-2.7384168194072416</v>
      </c>
      <c r="H21" s="66">
        <v>-2.9616228067381734</v>
      </c>
    </row>
    <row r="22" spans="1:8" ht="14.25" customHeight="1" x14ac:dyDescent="0.2">
      <c r="A22" s="154"/>
      <c r="B22" s="146" t="s">
        <v>128</v>
      </c>
      <c r="C22" s="119">
        <v>9.0429410214156292E-2</v>
      </c>
      <c r="D22" s="66">
        <v>0.77873915839597885</v>
      </c>
      <c r="E22" s="66">
        <v>1.936776828743703</v>
      </c>
      <c r="F22" s="66">
        <v>2.321417884039974</v>
      </c>
      <c r="G22" s="66">
        <v>2.6590574680337227</v>
      </c>
      <c r="H22" s="66">
        <v>2.6535508758991142</v>
      </c>
    </row>
    <row r="23" spans="1:8" ht="14.25" customHeight="1" x14ac:dyDescent="0.2">
      <c r="A23" s="154"/>
      <c r="B23" s="145" t="s">
        <v>129</v>
      </c>
      <c r="C23" s="119">
        <v>0.16353259302294276</v>
      </c>
      <c r="D23" s="66">
        <v>-0.16982826507819482</v>
      </c>
      <c r="E23" s="66">
        <v>-0.2918692466459305</v>
      </c>
      <c r="F23" s="66">
        <v>3.9467449264158461E-2</v>
      </c>
      <c r="G23" s="66">
        <v>3.991599828167125E-2</v>
      </c>
      <c r="H23" s="66">
        <v>0.14372822571874977</v>
      </c>
    </row>
    <row r="24" spans="1:8" ht="14.25" customHeight="1" x14ac:dyDescent="0.2">
      <c r="A24" s="154"/>
      <c r="B24" s="145" t="s">
        <v>107</v>
      </c>
      <c r="C24" s="119">
        <v>0.30485437782999902</v>
      </c>
      <c r="D24" s="66">
        <v>-1.2412936835655941</v>
      </c>
      <c r="E24" s="66">
        <v>-7.7944645179378824E-2</v>
      </c>
      <c r="F24" s="66">
        <v>0.36760183070152408</v>
      </c>
      <c r="G24" s="66">
        <v>-0.30191309666152222</v>
      </c>
      <c r="H24" s="66">
        <v>-1.5258376507850464</v>
      </c>
    </row>
    <row r="25" spans="1:8" ht="14.25" customHeight="1" x14ac:dyDescent="0.2">
      <c r="A25" s="154"/>
      <c r="B25" s="256" t="s">
        <v>245</v>
      </c>
      <c r="C25" s="119">
        <v>-0.50651716712522799</v>
      </c>
      <c r="D25" s="66">
        <v>-0.18921199845008063</v>
      </c>
      <c r="E25" s="66">
        <v>-0.39531291607720398</v>
      </c>
      <c r="F25" s="66">
        <v>-0.64144088040218739</v>
      </c>
      <c r="G25" s="66">
        <v>-0.77645600262928172</v>
      </c>
      <c r="H25" s="66">
        <v>-1.0200923907267394</v>
      </c>
    </row>
    <row r="26" spans="1:8" ht="14.25" customHeight="1" x14ac:dyDescent="0.2">
      <c r="A26" s="154"/>
      <c r="B26" s="148" t="s">
        <v>130</v>
      </c>
      <c r="C26" s="119">
        <v>-6.973007875027033</v>
      </c>
      <c r="D26" s="66">
        <v>3.9173128465246259</v>
      </c>
      <c r="E26" s="66">
        <v>2.1649659505965069</v>
      </c>
      <c r="F26" s="66">
        <v>2.0164984071807699</v>
      </c>
      <c r="G26" s="66">
        <v>2.1716234934518543</v>
      </c>
      <c r="H26" s="66">
        <v>2.1771440250827507</v>
      </c>
    </row>
    <row r="27" spans="1:8" ht="14.25" customHeight="1" x14ac:dyDescent="0.2">
      <c r="A27" s="154"/>
      <c r="B27" s="149" t="s">
        <v>131</v>
      </c>
      <c r="C27" s="136">
        <v>-5.1106917629440431</v>
      </c>
      <c r="D27" s="137">
        <v>18.167225728614312</v>
      </c>
      <c r="E27" s="137">
        <v>27.625363112608284</v>
      </c>
      <c r="F27" s="137">
        <v>30.20304839784626</v>
      </c>
      <c r="G27" s="137">
        <v>27.422589275257224</v>
      </c>
      <c r="H27" s="137">
        <v>25.666166827278175</v>
      </c>
    </row>
    <row r="28" spans="1:8" ht="14.25" customHeight="1" x14ac:dyDescent="0.2">
      <c r="A28" s="154"/>
      <c r="B28" s="129" t="s">
        <v>132</v>
      </c>
      <c r="C28" s="119"/>
      <c r="D28" s="66"/>
      <c r="E28" s="66"/>
      <c r="F28" s="66"/>
      <c r="G28" s="66"/>
      <c r="H28" s="66"/>
    </row>
    <row r="29" spans="1:8" ht="14.25" customHeight="1" x14ac:dyDescent="0.2">
      <c r="A29" s="154"/>
      <c r="B29" s="142" t="s">
        <v>133</v>
      </c>
      <c r="C29" s="119">
        <v>5.596411000000046</v>
      </c>
      <c r="D29" s="66">
        <v>5.2337032695588874</v>
      </c>
      <c r="E29" s="66">
        <v>-2.5975886579639678</v>
      </c>
      <c r="F29" s="66">
        <v>-1.0590198741142274</v>
      </c>
      <c r="G29" s="66">
        <v>-0.49551099758514283</v>
      </c>
      <c r="H29" s="66">
        <v>-1.1726329102201021</v>
      </c>
    </row>
    <row r="30" spans="1:8" ht="14.25" customHeight="1" x14ac:dyDescent="0.2">
      <c r="A30" s="154"/>
      <c r="B30" s="143" t="s">
        <v>134</v>
      </c>
      <c r="C30" s="119">
        <v>-2.8760318322276817</v>
      </c>
      <c r="D30" s="66">
        <v>6.5113618367166524</v>
      </c>
      <c r="E30" s="66">
        <v>7.1025474995697024</v>
      </c>
      <c r="F30" s="66">
        <v>5.9249631144550818</v>
      </c>
      <c r="G30" s="66">
        <v>4.6900655151794695</v>
      </c>
      <c r="H30" s="66">
        <v>3.3947076995542034</v>
      </c>
    </row>
    <row r="31" spans="1:8" ht="14.25" customHeight="1" x14ac:dyDescent="0.2">
      <c r="A31" s="154"/>
      <c r="B31" s="144" t="s">
        <v>79</v>
      </c>
      <c r="C31" s="120"/>
      <c r="D31" s="67"/>
      <c r="E31" s="67"/>
      <c r="F31" s="67"/>
      <c r="G31" s="67"/>
      <c r="H31" s="67"/>
    </row>
    <row r="32" spans="1:8" ht="14.25" customHeight="1" x14ac:dyDescent="0.2">
      <c r="A32" s="154"/>
      <c r="B32" s="150" t="s">
        <v>135</v>
      </c>
      <c r="C32" s="119">
        <v>-1.1584107435068987</v>
      </c>
      <c r="D32" s="66">
        <v>1.8063216472808872</v>
      </c>
      <c r="E32" s="66">
        <v>1.3682640866168185</v>
      </c>
      <c r="F32" s="66">
        <v>0.73606783370416728</v>
      </c>
      <c r="G32" s="66">
        <v>-0.20555361291030039</v>
      </c>
      <c r="H32" s="66">
        <v>-1.2687908913087718</v>
      </c>
    </row>
    <row r="33" spans="1:9" ht="14.25" customHeight="1" x14ac:dyDescent="0.2">
      <c r="A33" s="154"/>
      <c r="B33" s="256" t="s">
        <v>246</v>
      </c>
      <c r="C33" s="119">
        <v>3.7259520933729888</v>
      </c>
      <c r="D33" s="66">
        <v>3.0065262194463749</v>
      </c>
      <c r="E33" s="66">
        <v>2.9130905011192034</v>
      </c>
      <c r="F33" s="66">
        <v>2.9728293453787842</v>
      </c>
      <c r="G33" s="66">
        <v>3.0045804128149438</v>
      </c>
      <c r="H33" s="66">
        <v>3.1675323967670117</v>
      </c>
    </row>
    <row r="34" spans="1:9" ht="14.25" customHeight="1" x14ac:dyDescent="0.2">
      <c r="A34" s="154"/>
      <c r="B34" s="145" t="s">
        <v>136</v>
      </c>
      <c r="C34" s="119">
        <v>-1.098917454833348E-2</v>
      </c>
      <c r="D34" s="66">
        <v>-1.6926469559336252</v>
      </c>
      <c r="E34" s="66">
        <v>0.16889846181364732</v>
      </c>
      <c r="F34" s="66">
        <v>0.12973372057422239</v>
      </c>
      <c r="G34" s="66">
        <v>2.208512987626321E-2</v>
      </c>
      <c r="H34" s="66">
        <v>-5.7784703974146367E-2</v>
      </c>
    </row>
    <row r="35" spans="1:9" ht="14.25" customHeight="1" x14ac:dyDescent="0.2">
      <c r="A35" s="154"/>
      <c r="B35" s="145" t="s">
        <v>127</v>
      </c>
      <c r="C35" s="119">
        <v>-1.9900925473590929</v>
      </c>
      <c r="D35" s="66">
        <v>0.2237421351134925</v>
      </c>
      <c r="E35" s="66">
        <v>5.7554289809625181E-2</v>
      </c>
      <c r="F35" s="66">
        <v>5.7554289809625181E-2</v>
      </c>
      <c r="G35" s="66">
        <v>5.7554289809625181E-2</v>
      </c>
      <c r="H35" s="66">
        <v>5.655428980962518E-2</v>
      </c>
    </row>
    <row r="36" spans="1:9" ht="14.25" customHeight="1" x14ac:dyDescent="0.2">
      <c r="A36" s="154"/>
      <c r="B36" s="145" t="s">
        <v>137</v>
      </c>
      <c r="C36" s="119">
        <v>-0.39999999999999997</v>
      </c>
      <c r="D36" s="66">
        <v>-0.39999999999999997</v>
      </c>
      <c r="E36" s="66">
        <v>0.24000000000000005</v>
      </c>
      <c r="F36" s="66">
        <v>0.24000000000000005</v>
      </c>
      <c r="G36" s="66">
        <v>0.24000000000000005</v>
      </c>
      <c r="H36" s="66">
        <v>0.24000000000000005</v>
      </c>
    </row>
    <row r="37" spans="1:9" ht="14.25" customHeight="1" x14ac:dyDescent="0.2">
      <c r="A37" s="154"/>
      <c r="B37" s="146" t="s">
        <v>138</v>
      </c>
      <c r="C37" s="119">
        <v>-2.1282429824238318</v>
      </c>
      <c r="D37" s="66">
        <v>2.3883175120622511</v>
      </c>
      <c r="E37" s="66">
        <v>1.476536061539627</v>
      </c>
      <c r="F37" s="66">
        <v>1.0335290581823253</v>
      </c>
      <c r="G37" s="66">
        <v>0.86827443924098091</v>
      </c>
      <c r="H37" s="66">
        <v>0.69714471596278837</v>
      </c>
    </row>
    <row r="38" spans="1:9" ht="14.25" customHeight="1" x14ac:dyDescent="0.2">
      <c r="A38" s="154"/>
      <c r="B38" s="148" t="s">
        <v>139</v>
      </c>
      <c r="C38" s="66">
        <v>-0.91424847776251239</v>
      </c>
      <c r="D38" s="66">
        <v>1.1791012787472739</v>
      </c>
      <c r="E38" s="66">
        <v>0.87820409867077287</v>
      </c>
      <c r="F38" s="66">
        <v>0.75524886680596137</v>
      </c>
      <c r="G38" s="66">
        <v>0.70312485634796218</v>
      </c>
      <c r="H38" s="66">
        <v>0.56005189229769181</v>
      </c>
    </row>
    <row r="39" spans="1:9" ht="14.25" customHeight="1" x14ac:dyDescent="0.2">
      <c r="A39" s="154"/>
      <c r="B39" s="151" t="s">
        <v>140</v>
      </c>
      <c r="C39" s="137">
        <v>2.7203791677723643</v>
      </c>
      <c r="D39" s="137">
        <v>11.745065106275547</v>
      </c>
      <c r="E39" s="137">
        <v>4.5049588416057418</v>
      </c>
      <c r="F39" s="137">
        <v>4.8659432403408687</v>
      </c>
      <c r="G39" s="137">
        <v>4.1945545175943266</v>
      </c>
      <c r="H39" s="137">
        <v>2.2220747893341297</v>
      </c>
    </row>
    <row r="40" spans="1:9" ht="14.25" customHeight="1" x14ac:dyDescent="0.2">
      <c r="A40" s="154"/>
      <c r="B40" s="156" t="s">
        <v>141</v>
      </c>
      <c r="C40" s="66">
        <v>0.62036106765863508</v>
      </c>
      <c r="D40" s="66">
        <v>-0.65921348098967769</v>
      </c>
      <c r="E40" s="66">
        <v>-1.9480360040910227</v>
      </c>
      <c r="F40" s="66">
        <v>-2.4272740575960796</v>
      </c>
      <c r="G40" s="66">
        <v>-2.8544566468787735</v>
      </c>
      <c r="H40" s="66">
        <v>-2.9185271446949912</v>
      </c>
    </row>
    <row r="41" spans="1:9" ht="14.25" customHeight="1" x14ac:dyDescent="0.2">
      <c r="A41" s="154"/>
      <c r="B41" s="152" t="s">
        <v>142</v>
      </c>
      <c r="C41" s="68">
        <v>3.3407402354309852</v>
      </c>
      <c r="D41" s="68">
        <v>11.085851625285869</v>
      </c>
      <c r="E41" s="68">
        <v>2.5569228375147333</v>
      </c>
      <c r="F41" s="68">
        <v>2.4386691827447748</v>
      </c>
      <c r="G41" s="68">
        <v>1.3400978707155673</v>
      </c>
      <c r="H41" s="68">
        <v>-0.69645235536086147</v>
      </c>
    </row>
    <row r="42" spans="1:9" ht="14.25" customHeight="1" x14ac:dyDescent="0.2">
      <c r="A42" s="154"/>
      <c r="B42" s="153" t="s">
        <v>143</v>
      </c>
      <c r="C42" s="137">
        <v>-2.390312595171963</v>
      </c>
      <c r="D42" s="137">
        <v>29.912290834889973</v>
      </c>
      <c r="E42" s="137">
        <v>32.130321954214423</v>
      </c>
      <c r="F42" s="137">
        <v>35.068991638187299</v>
      </c>
      <c r="G42" s="137">
        <v>31.617143792851721</v>
      </c>
      <c r="H42" s="137">
        <v>27.888241616612277</v>
      </c>
      <c r="I42" s="5"/>
    </row>
    <row r="43" spans="1:9" ht="14.25" customHeight="1" x14ac:dyDescent="0.2">
      <c r="A43" s="154"/>
      <c r="B43" s="317" t="s">
        <v>255</v>
      </c>
      <c r="C43" s="318"/>
      <c r="D43" s="318"/>
      <c r="E43" s="318"/>
      <c r="F43" s="318"/>
      <c r="G43" s="318"/>
      <c r="H43" s="318"/>
      <c r="I43" s="217"/>
    </row>
    <row r="44" spans="1:9" x14ac:dyDescent="0.2">
      <c r="A44" s="154"/>
      <c r="B44" s="306" t="s">
        <v>258</v>
      </c>
      <c r="C44" s="306"/>
      <c r="D44" s="306"/>
      <c r="E44" s="306"/>
      <c r="F44" s="306"/>
      <c r="G44" s="306"/>
      <c r="H44" s="306"/>
      <c r="I44" s="170"/>
    </row>
    <row r="45" spans="1:9" ht="14.25" customHeight="1" thickBot="1" x14ac:dyDescent="0.25">
      <c r="A45" s="155"/>
      <c r="B45" s="309" t="s">
        <v>259</v>
      </c>
      <c r="C45" s="310"/>
      <c r="D45" s="310"/>
      <c r="E45" s="310"/>
      <c r="F45" s="310"/>
      <c r="G45" s="310"/>
      <c r="H45" s="310"/>
      <c r="I45" s="217"/>
    </row>
    <row r="46" spans="1:9" ht="13.5" thickTop="1" x14ac:dyDescent="0.2">
      <c r="I46" s="141"/>
    </row>
  </sheetData>
  <mergeCells count="5">
    <mergeCell ref="C3:H3"/>
    <mergeCell ref="D4:H4"/>
    <mergeCell ref="B43:H43"/>
    <mergeCell ref="B44:H44"/>
    <mergeCell ref="B45:H45"/>
  </mergeCells>
  <hyperlinks>
    <hyperlink ref="A1" location="Contents!A1" display="Contents!A1" xr:uid="{738A5F2D-F99F-4EB2-BAD6-036DF4EC8B8F}"/>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B63A41-BA96-4C66-9178-A4B9968693E8}">
  <sheetPr codeName="Sheet11"/>
  <dimension ref="A1:Q46"/>
  <sheetViews>
    <sheetView showGridLines="0" zoomScaleNormal="100" workbookViewId="0"/>
  </sheetViews>
  <sheetFormatPr defaultColWidth="8.77734375" defaultRowHeight="12.75" x14ac:dyDescent="0.2"/>
  <cols>
    <col min="1" max="1" width="8.77734375" style="1"/>
    <col min="2" max="2" width="29.77734375" style="1" customWidth="1"/>
    <col min="3" max="9" width="6.77734375" style="1" customWidth="1"/>
    <col min="10" max="16384" width="8.77734375" style="1"/>
  </cols>
  <sheetData>
    <row r="1" spans="1:17" ht="40.15" customHeight="1" x14ac:dyDescent="0.2">
      <c r="A1" s="4" t="s">
        <v>7</v>
      </c>
    </row>
    <row r="2" spans="1:17" ht="17.25" customHeight="1" thickBot="1" x14ac:dyDescent="0.35">
      <c r="B2" s="2" t="s">
        <v>5</v>
      </c>
      <c r="I2" s="6"/>
    </row>
    <row r="3" spans="1:17" x14ac:dyDescent="0.2">
      <c r="B3" s="13"/>
      <c r="C3" s="319" t="s">
        <v>30</v>
      </c>
      <c r="D3" s="319"/>
      <c r="E3" s="319"/>
      <c r="F3" s="319"/>
      <c r="G3" s="319"/>
      <c r="H3" s="319"/>
      <c r="I3" s="320"/>
    </row>
    <row r="4" spans="1:17" x14ac:dyDescent="0.2">
      <c r="B4" s="14"/>
      <c r="C4" s="61" t="s">
        <v>9</v>
      </c>
      <c r="D4" s="321" t="s">
        <v>10</v>
      </c>
      <c r="E4" s="321"/>
      <c r="F4" s="321"/>
      <c r="G4" s="321"/>
      <c r="H4" s="321"/>
      <c r="I4" s="322"/>
    </row>
    <row r="5" spans="1:17" x14ac:dyDescent="0.2">
      <c r="B5" s="14"/>
      <c r="C5" s="105" t="s">
        <v>50</v>
      </c>
      <c r="D5" s="62" t="s">
        <v>51</v>
      </c>
      <c r="E5" s="62" t="s">
        <v>52</v>
      </c>
      <c r="F5" s="62" t="s">
        <v>53</v>
      </c>
      <c r="G5" s="62" t="s">
        <v>54</v>
      </c>
      <c r="H5" s="62" t="s">
        <v>55</v>
      </c>
      <c r="I5" s="106" t="s">
        <v>217</v>
      </c>
    </row>
    <row r="6" spans="1:17" ht="14.25" customHeight="1" x14ac:dyDescent="0.2">
      <c r="B6" s="241" t="s">
        <v>144</v>
      </c>
      <c r="C6" s="219"/>
      <c r="D6" s="219"/>
      <c r="E6" s="219"/>
      <c r="F6" s="219"/>
      <c r="G6" s="219"/>
      <c r="H6" s="219"/>
      <c r="I6" s="219"/>
    </row>
    <row r="7" spans="1:17" ht="14.25" customHeight="1" x14ac:dyDescent="0.25">
      <c r="B7" s="218" t="s">
        <v>145</v>
      </c>
      <c r="C7" s="219">
        <v>40.110508863935394</v>
      </c>
      <c r="D7" s="219">
        <v>41.384470636707576</v>
      </c>
      <c r="E7" s="219">
        <v>42.296796029527513</v>
      </c>
      <c r="F7" s="219">
        <v>42.44026775768063</v>
      </c>
      <c r="G7" s="219">
        <v>42.708796639821756</v>
      </c>
      <c r="H7" s="219">
        <v>42.78431708107798</v>
      </c>
      <c r="I7" s="219">
        <v>42.85569976073463</v>
      </c>
      <c r="K7" s="10"/>
      <c r="L7" s="10"/>
      <c r="M7" s="10"/>
      <c r="N7" s="10"/>
      <c r="O7" s="10"/>
      <c r="P7" s="10"/>
      <c r="Q7" s="10"/>
    </row>
    <row r="8" spans="1:17" ht="14.25" customHeight="1" x14ac:dyDescent="0.25">
      <c r="B8" s="220" t="s">
        <v>111</v>
      </c>
      <c r="C8" s="219">
        <v>35.985613390322953</v>
      </c>
      <c r="D8" s="219">
        <v>37.19783559376301</v>
      </c>
      <c r="E8" s="219">
        <v>37.941520118534001</v>
      </c>
      <c r="F8" s="219">
        <v>38.09907627033401</v>
      </c>
      <c r="G8" s="219">
        <v>38.423675139271019</v>
      </c>
      <c r="H8" s="219">
        <v>38.52740419015413</v>
      </c>
      <c r="I8" s="219">
        <v>38.62509418709606</v>
      </c>
      <c r="K8" s="10"/>
      <c r="L8" s="10"/>
      <c r="M8" s="10"/>
      <c r="N8" s="10"/>
      <c r="O8" s="10"/>
      <c r="P8" s="10"/>
      <c r="Q8" s="10"/>
    </row>
    <row r="9" spans="1:17" ht="14.25" customHeight="1" x14ac:dyDescent="0.25">
      <c r="B9" s="218" t="s">
        <v>146</v>
      </c>
      <c r="C9" s="219">
        <v>44.484932075357392</v>
      </c>
      <c r="D9" s="219">
        <v>45.57319932838265</v>
      </c>
      <c r="E9" s="219">
        <v>45.699332566894327</v>
      </c>
      <c r="F9" s="219">
        <v>45.355644137017308</v>
      </c>
      <c r="G9" s="219">
        <v>44.791209340095371</v>
      </c>
      <c r="H9" s="219">
        <v>44.605690852651634</v>
      </c>
      <c r="I9" s="219">
        <v>44.65321190319424</v>
      </c>
      <c r="K9" s="10"/>
      <c r="L9" s="10"/>
      <c r="M9" s="10"/>
      <c r="N9" s="10"/>
      <c r="O9" s="10"/>
      <c r="P9" s="10"/>
      <c r="Q9" s="10"/>
    </row>
    <row r="10" spans="1:17" ht="14.25" customHeight="1" x14ac:dyDescent="0.25">
      <c r="B10" s="220" t="s">
        <v>147</v>
      </c>
      <c r="C10" s="219">
        <v>39.298142972878694</v>
      </c>
      <c r="D10" s="219">
        <v>40.203984931669446</v>
      </c>
      <c r="E10" s="219">
        <v>40.31509244230115</v>
      </c>
      <c r="F10" s="219">
        <v>40.136213663791864</v>
      </c>
      <c r="G10" s="219">
        <v>39.763342883978744</v>
      </c>
      <c r="H10" s="219">
        <v>39.658534385501511</v>
      </c>
      <c r="I10" s="219">
        <v>39.761530192726667</v>
      </c>
      <c r="K10" s="10"/>
      <c r="L10" s="10"/>
      <c r="M10" s="10"/>
      <c r="N10" s="10"/>
      <c r="O10" s="10"/>
      <c r="P10" s="10"/>
      <c r="Q10" s="10"/>
    </row>
    <row r="11" spans="1:17" ht="14.25" customHeight="1" x14ac:dyDescent="0.25">
      <c r="B11" s="220" t="s">
        <v>148</v>
      </c>
      <c r="C11" s="219">
        <v>2.8306087792718686</v>
      </c>
      <c r="D11" s="219">
        <v>2.913006624500694</v>
      </c>
      <c r="E11" s="219">
        <v>2.8703219388157732</v>
      </c>
      <c r="F11" s="219">
        <v>2.6871089565088888</v>
      </c>
      <c r="G11" s="219">
        <v>2.4924212055879078</v>
      </c>
      <c r="H11" s="219">
        <v>2.4126173821875452</v>
      </c>
      <c r="I11" s="219">
        <v>2.3468083251146568</v>
      </c>
      <c r="K11" s="10"/>
      <c r="L11" s="10"/>
      <c r="M11" s="10"/>
      <c r="N11" s="10"/>
      <c r="O11" s="10"/>
      <c r="P11" s="10"/>
      <c r="Q11" s="10"/>
    </row>
    <row r="12" spans="1:17" ht="14.25" customHeight="1" x14ac:dyDescent="0.25">
      <c r="B12" s="221" t="s">
        <v>149</v>
      </c>
      <c r="C12" s="222">
        <v>2.3561803232068286</v>
      </c>
      <c r="D12" s="222">
        <v>2.4562077722125011</v>
      </c>
      <c r="E12" s="222">
        <v>2.5139181857774129</v>
      </c>
      <c r="F12" s="222">
        <v>2.5323215167165545</v>
      </c>
      <c r="G12" s="222">
        <v>2.5354452505287237</v>
      </c>
      <c r="H12" s="222">
        <v>2.5345390849625851</v>
      </c>
      <c r="I12" s="222">
        <v>2.5448733853529175</v>
      </c>
      <c r="K12" s="10"/>
      <c r="L12" s="10"/>
      <c r="M12" s="10"/>
      <c r="N12" s="10"/>
      <c r="O12" s="10"/>
      <c r="P12" s="10"/>
      <c r="Q12" s="10"/>
    </row>
    <row r="13" spans="1:17" ht="14.25" customHeight="1" x14ac:dyDescent="0.25">
      <c r="B13" s="241" t="s">
        <v>150</v>
      </c>
      <c r="C13" s="219"/>
      <c r="D13" s="219"/>
      <c r="E13" s="219"/>
      <c r="F13" s="223"/>
      <c r="G13" s="223"/>
      <c r="H13" s="219"/>
      <c r="I13" s="219"/>
      <c r="K13" s="10"/>
      <c r="L13" s="10"/>
      <c r="M13" s="10"/>
      <c r="N13" s="10"/>
      <c r="O13" s="10"/>
      <c r="P13" s="10"/>
      <c r="Q13" s="10"/>
    </row>
    <row r="14" spans="1:17" ht="14.25" customHeight="1" x14ac:dyDescent="0.25">
      <c r="B14" s="218" t="s">
        <v>151</v>
      </c>
      <c r="C14" s="219">
        <v>1.5438144321501333</v>
      </c>
      <c r="D14" s="219">
        <v>1.2757220671743725</v>
      </c>
      <c r="E14" s="219">
        <v>0.5322145985510407</v>
      </c>
      <c r="F14" s="219">
        <v>0.22826742282778473</v>
      </c>
      <c r="G14" s="219">
        <v>-0.41000850531428928</v>
      </c>
      <c r="H14" s="219">
        <v>-0.59124361061389019</v>
      </c>
      <c r="I14" s="219">
        <v>-0.54929618265504643</v>
      </c>
      <c r="K14" s="10"/>
      <c r="L14" s="10"/>
      <c r="M14" s="10"/>
      <c r="N14" s="10"/>
      <c r="O14" s="10"/>
      <c r="P14" s="10"/>
      <c r="Q14" s="10"/>
    </row>
    <row r="15" spans="1:17" ht="14.25" customHeight="1" x14ac:dyDescent="0.25">
      <c r="B15" s="244" t="s">
        <v>152</v>
      </c>
      <c r="C15" s="224">
        <v>81.395954679983319</v>
      </c>
      <c r="D15" s="224">
        <v>83.16528484777956</v>
      </c>
      <c r="E15" s="224">
        <v>83.792074913771515</v>
      </c>
      <c r="F15" s="224">
        <v>83.768869806199078</v>
      </c>
      <c r="G15" s="224">
        <v>83.092659703120674</v>
      </c>
      <c r="H15" s="224">
        <v>82.278769490605612</v>
      </c>
      <c r="I15" s="224">
        <v>81.673051628162881</v>
      </c>
      <c r="K15" s="10"/>
      <c r="L15" s="10"/>
      <c r="M15" s="10"/>
      <c r="N15" s="10"/>
      <c r="O15" s="10"/>
      <c r="P15" s="10"/>
      <c r="Q15" s="10"/>
    </row>
    <row r="16" spans="1:17" ht="14.25" customHeight="1" x14ac:dyDescent="0.25">
      <c r="B16" s="241" t="s">
        <v>153</v>
      </c>
      <c r="C16" s="219"/>
      <c r="D16" s="219"/>
      <c r="E16" s="219"/>
      <c r="F16" s="219"/>
      <c r="G16" s="219"/>
      <c r="H16" s="219"/>
      <c r="I16" s="219"/>
      <c r="K16" s="10"/>
      <c r="L16" s="10"/>
      <c r="M16" s="10"/>
      <c r="N16" s="10"/>
      <c r="O16" s="10"/>
      <c r="P16" s="10"/>
      <c r="Q16" s="10"/>
    </row>
    <row r="17" spans="2:17" ht="14.25" customHeight="1" x14ac:dyDescent="0.25">
      <c r="B17" s="225" t="s">
        <v>154</v>
      </c>
      <c r="C17" s="219">
        <v>4.3744232114220019</v>
      </c>
      <c r="D17" s="219">
        <v>4.1887286916750668</v>
      </c>
      <c r="E17" s="219">
        <v>3.4025365373668142</v>
      </c>
      <c r="F17" s="219">
        <v>2.9153763793366738</v>
      </c>
      <c r="G17" s="219">
        <v>2.0824127002736184</v>
      </c>
      <c r="H17" s="219">
        <v>1.8213737715736547</v>
      </c>
      <c r="I17" s="219">
        <v>1.7975121424596106</v>
      </c>
      <c r="K17" s="10"/>
      <c r="L17" s="10"/>
      <c r="M17" s="10"/>
      <c r="N17" s="10"/>
      <c r="O17" s="10"/>
      <c r="P17" s="10"/>
      <c r="Q17" s="10"/>
    </row>
    <row r="18" spans="2:17" ht="14.25" customHeight="1" x14ac:dyDescent="0.25">
      <c r="B18" s="218" t="s">
        <v>155</v>
      </c>
      <c r="C18" s="219">
        <v>3.8660407731262914</v>
      </c>
      <c r="D18" s="219">
        <v>3.4647391992018344</v>
      </c>
      <c r="E18" s="219">
        <v>2.7059812690692797</v>
      </c>
      <c r="F18" s="219">
        <v>2.4244901036162947</v>
      </c>
      <c r="G18" s="219">
        <v>1.820491122911148</v>
      </c>
      <c r="H18" s="219">
        <v>1.7188069958117556</v>
      </c>
      <c r="I18" s="219">
        <v>1.7791326140211319</v>
      </c>
      <c r="K18" s="10"/>
      <c r="L18" s="10"/>
      <c r="M18" s="10"/>
      <c r="N18" s="10"/>
      <c r="O18" s="10"/>
      <c r="P18" s="10"/>
      <c r="Q18" s="10"/>
    </row>
    <row r="19" spans="2:17" ht="14.25" customHeight="1" x14ac:dyDescent="0.25">
      <c r="B19" s="225" t="s">
        <v>156</v>
      </c>
      <c r="C19" s="219">
        <v>1.0354319938544225</v>
      </c>
      <c r="D19" s="219">
        <v>0.5517325747011399</v>
      </c>
      <c r="E19" s="219">
        <v>-0.16434066974649345</v>
      </c>
      <c r="F19" s="219">
        <v>-0.26261885289259457</v>
      </c>
      <c r="G19" s="219">
        <v>-0.67193008267675958</v>
      </c>
      <c r="H19" s="219">
        <v>-0.69381038637578929</v>
      </c>
      <c r="I19" s="219">
        <v>-0.56767571109352499</v>
      </c>
      <c r="K19" s="10"/>
      <c r="L19" s="10"/>
      <c r="M19" s="10"/>
      <c r="N19" s="10"/>
      <c r="O19" s="10"/>
      <c r="P19" s="10"/>
      <c r="Q19" s="10"/>
    </row>
    <row r="20" spans="2:17" ht="14.25" customHeight="1" x14ac:dyDescent="0.25">
      <c r="B20" s="218" t="s">
        <v>157</v>
      </c>
      <c r="C20" s="219">
        <v>1.5252790166392154</v>
      </c>
      <c r="D20" s="219">
        <v>1.0194640753738655</v>
      </c>
      <c r="E20" s="219">
        <v>0.16163072727748085</v>
      </c>
      <c r="F20" s="219">
        <v>-0.33962308011627573</v>
      </c>
      <c r="G20" s="219">
        <v>-1.3141614717654653</v>
      </c>
      <c r="H20" s="219">
        <v>-1.509675925283267</v>
      </c>
      <c r="I20" s="219">
        <v>-1.6998335271368774</v>
      </c>
      <c r="K20" s="10"/>
      <c r="L20" s="10"/>
      <c r="M20" s="10"/>
      <c r="N20" s="10"/>
      <c r="O20" s="10"/>
      <c r="P20" s="10"/>
      <c r="Q20" s="10"/>
    </row>
    <row r="21" spans="2:17" ht="14.25" customHeight="1" x14ac:dyDescent="0.25">
      <c r="B21" s="226" t="s">
        <v>158</v>
      </c>
      <c r="C21" s="222">
        <v>1.0168965783435047</v>
      </c>
      <c r="D21" s="222">
        <v>0.295474582900633</v>
      </c>
      <c r="E21" s="222">
        <v>-0.53492454102005338</v>
      </c>
      <c r="F21" s="222">
        <v>-0.83050935583665497</v>
      </c>
      <c r="G21" s="222">
        <v>-1.5760830491279352</v>
      </c>
      <c r="H21" s="222">
        <v>-1.6122427010451661</v>
      </c>
      <c r="I21" s="222">
        <v>-1.7182130555753565</v>
      </c>
      <c r="K21" s="10"/>
      <c r="L21" s="10"/>
      <c r="M21" s="10"/>
      <c r="N21" s="10"/>
      <c r="O21" s="10"/>
      <c r="P21" s="10"/>
      <c r="Q21" s="10"/>
    </row>
    <row r="22" spans="2:17" ht="14.25" customHeight="1" x14ac:dyDescent="0.25">
      <c r="B22" s="241" t="s">
        <v>159</v>
      </c>
      <c r="C22" s="219"/>
      <c r="D22" s="219"/>
      <c r="E22" s="219"/>
      <c r="F22" s="219"/>
      <c r="G22" s="219"/>
      <c r="H22" s="219"/>
      <c r="I22" s="219"/>
      <c r="K22" s="10"/>
      <c r="L22" s="10"/>
      <c r="M22" s="10"/>
      <c r="N22" s="10"/>
      <c r="O22" s="10"/>
      <c r="P22" s="10"/>
      <c r="Q22" s="10"/>
    </row>
    <row r="23" spans="2:17" ht="14.25" customHeight="1" x14ac:dyDescent="0.25">
      <c r="B23" s="225" t="s">
        <v>160</v>
      </c>
      <c r="C23" s="219">
        <v>4.4016236893685878</v>
      </c>
      <c r="D23" s="219">
        <v>4.5742814166030339</v>
      </c>
      <c r="E23" s="219">
        <v>4.2610589897618807</v>
      </c>
      <c r="F23" s="219">
        <v>4.4396586562981577</v>
      </c>
      <c r="G23" s="219">
        <v>2.4117231538162511</v>
      </c>
      <c r="H23" s="219">
        <v>3.1513513291326776</v>
      </c>
      <c r="I23" s="219">
        <v>2.8016602025084607</v>
      </c>
      <c r="K23" s="10"/>
      <c r="L23" s="10"/>
      <c r="M23" s="10"/>
      <c r="N23" s="10"/>
      <c r="O23" s="10"/>
      <c r="P23" s="10"/>
      <c r="Q23" s="10"/>
    </row>
    <row r="24" spans="2:17" ht="14.25" customHeight="1" x14ac:dyDescent="0.25">
      <c r="B24" s="226" t="s">
        <v>161</v>
      </c>
      <c r="C24" s="222">
        <v>1.1429087050976303</v>
      </c>
      <c r="D24" s="222">
        <v>3.947218154788088</v>
      </c>
      <c r="E24" s="222">
        <v>4.594034825244953</v>
      </c>
      <c r="F24" s="222">
        <v>4.5589344616129432</v>
      </c>
      <c r="G24" s="222">
        <v>2.4517839077931427</v>
      </c>
      <c r="H24" s="222">
        <v>2.6855044265622028</v>
      </c>
      <c r="I24" s="222">
        <v>2.7540821102591653</v>
      </c>
      <c r="K24" s="10"/>
      <c r="L24" s="10"/>
      <c r="M24" s="10"/>
      <c r="N24" s="10"/>
      <c r="O24" s="10"/>
      <c r="P24" s="10"/>
      <c r="Q24" s="10"/>
    </row>
    <row r="25" spans="2:17" ht="14.25" customHeight="1" x14ac:dyDescent="0.25">
      <c r="B25" s="241" t="s">
        <v>162</v>
      </c>
      <c r="C25" s="219"/>
      <c r="D25" s="219"/>
      <c r="E25" s="219"/>
      <c r="F25" s="223"/>
      <c r="G25" s="223"/>
      <c r="H25" s="219"/>
      <c r="I25" s="219"/>
      <c r="K25" s="10"/>
      <c r="L25" s="10"/>
      <c r="M25" s="10"/>
      <c r="N25" s="10"/>
      <c r="O25" s="10"/>
      <c r="P25" s="10"/>
      <c r="Q25" s="10"/>
    </row>
    <row r="26" spans="2:17" ht="14.25" customHeight="1" x14ac:dyDescent="0.25">
      <c r="B26" s="218" t="s">
        <v>163</v>
      </c>
      <c r="C26" s="219">
        <v>93.101745884432546</v>
      </c>
      <c r="D26" s="219">
        <v>95.505479647346974</v>
      </c>
      <c r="E26" s="219">
        <v>96.699743410198167</v>
      </c>
      <c r="F26" s="219">
        <v>97.284806361768347</v>
      </c>
      <c r="G26" s="219">
        <v>96.674219849806818</v>
      </c>
      <c r="H26" s="219">
        <v>95.867529677646331</v>
      </c>
      <c r="I26" s="219">
        <v>95.610742354267103</v>
      </c>
      <c r="K26" s="10"/>
      <c r="L26" s="10"/>
      <c r="M26" s="10"/>
      <c r="N26" s="10"/>
      <c r="O26" s="10"/>
      <c r="P26" s="10"/>
      <c r="Q26" s="10"/>
    </row>
    <row r="27" spans="2:17" ht="14.25" customHeight="1" x14ac:dyDescent="0.25">
      <c r="B27" s="218" t="s">
        <v>164</v>
      </c>
      <c r="C27" s="219">
        <v>88.921744190643423</v>
      </c>
      <c r="D27" s="219">
        <v>92.351592373620846</v>
      </c>
      <c r="E27" s="219">
        <v>93.751915705286081</v>
      </c>
      <c r="F27" s="219">
        <v>94.659001526463911</v>
      </c>
      <c r="G27" s="219">
        <v>94.250134435727162</v>
      </c>
      <c r="H27" s="219">
        <v>94.172188464631404</v>
      </c>
      <c r="I27" s="219">
        <v>94.013175021440802</v>
      </c>
      <c r="K27" s="10"/>
      <c r="L27" s="10"/>
      <c r="M27" s="10"/>
      <c r="N27" s="10"/>
      <c r="O27" s="10"/>
      <c r="P27" s="10"/>
      <c r="Q27" s="10"/>
    </row>
    <row r="28" spans="2:17" ht="14.25" customHeight="1" x14ac:dyDescent="0.25">
      <c r="B28" s="245" t="s">
        <v>165</v>
      </c>
      <c r="C28" s="224">
        <v>62.502142856989053</v>
      </c>
      <c r="D28" s="224">
        <v>63.319019413934271</v>
      </c>
      <c r="E28" s="224">
        <v>63.377809099992092</v>
      </c>
      <c r="F28" s="224">
        <v>63.059528322898316</v>
      </c>
      <c r="G28" s="224">
        <v>62.200122247037704</v>
      </c>
      <c r="H28" s="224">
        <v>60.984319384536633</v>
      </c>
      <c r="I28" s="224">
        <v>59.792843912952542</v>
      </c>
      <c r="K28" s="10"/>
      <c r="L28" s="10"/>
      <c r="M28" s="10"/>
      <c r="N28" s="10"/>
      <c r="O28" s="10"/>
      <c r="P28" s="10"/>
      <c r="Q28" s="10"/>
    </row>
    <row r="29" spans="2:17" ht="14.25" customHeight="1" x14ac:dyDescent="0.25">
      <c r="B29" s="241" t="s">
        <v>166</v>
      </c>
      <c r="C29" s="219"/>
      <c r="D29" s="219"/>
      <c r="E29" s="219"/>
      <c r="F29" s="219"/>
      <c r="G29" s="219"/>
      <c r="H29" s="219"/>
      <c r="I29" s="219"/>
      <c r="K29" s="10"/>
      <c r="L29" s="10"/>
      <c r="M29" s="10"/>
      <c r="N29" s="10"/>
      <c r="O29" s="10"/>
      <c r="P29" s="10"/>
      <c r="Q29" s="10"/>
    </row>
    <row r="30" spans="2:17" ht="14.25" customHeight="1" x14ac:dyDescent="0.25">
      <c r="B30" s="218" t="s">
        <v>167</v>
      </c>
      <c r="C30" s="219">
        <v>5.3632559908710533</v>
      </c>
      <c r="D30" s="219">
        <v>4.4842743339468951</v>
      </c>
      <c r="E30" s="219">
        <v>3.9291452755400074</v>
      </c>
      <c r="F30" s="219">
        <v>3.4820295296802022</v>
      </c>
      <c r="G30" s="219">
        <v>2.6906241451426647</v>
      </c>
      <c r="H30" s="219">
        <v>2.3512442677200243</v>
      </c>
      <c r="I30" s="219">
        <v>2.139153762497028</v>
      </c>
      <c r="K30" s="10"/>
      <c r="L30" s="10"/>
      <c r="M30" s="10"/>
      <c r="N30" s="10"/>
      <c r="O30" s="10"/>
      <c r="P30" s="10"/>
      <c r="Q30" s="10"/>
    </row>
    <row r="31" spans="2:17" ht="14.25" customHeight="1" x14ac:dyDescent="0.25">
      <c r="B31" s="218" t="s">
        <v>168</v>
      </c>
      <c r="C31" s="219">
        <v>4.8548735525753415</v>
      </c>
      <c r="D31" s="219">
        <v>3.7602848414736587</v>
      </c>
      <c r="E31" s="219">
        <v>3.2325900072424698</v>
      </c>
      <c r="F31" s="219">
        <v>2.9911432539598222</v>
      </c>
      <c r="G31" s="219">
        <v>2.428702567780193</v>
      </c>
      <c r="H31" s="219">
        <v>2.2486774919581234</v>
      </c>
      <c r="I31" s="219">
        <v>2.1207742340585494</v>
      </c>
      <c r="K31" s="10"/>
      <c r="L31" s="10"/>
      <c r="M31" s="10"/>
      <c r="N31" s="10"/>
      <c r="O31" s="10"/>
      <c r="P31" s="10"/>
      <c r="Q31" s="10"/>
    </row>
    <row r="32" spans="2:17" ht="14.25" customHeight="1" x14ac:dyDescent="0.25">
      <c r="B32" s="218" t="s">
        <v>169</v>
      </c>
      <c r="C32" s="219">
        <v>102.39156904095303</v>
      </c>
      <c r="D32" s="219">
        <v>102.26527029780124</v>
      </c>
      <c r="E32" s="219">
        <v>103.94612399552543</v>
      </c>
      <c r="F32" s="219">
        <v>104.82812580413352</v>
      </c>
      <c r="G32" s="219">
        <v>104.3862994311099</v>
      </c>
      <c r="H32" s="219">
        <v>104.00333888193765</v>
      </c>
      <c r="I32" s="219">
        <v>103.61658424411873</v>
      </c>
      <c r="K32" s="10"/>
      <c r="L32" s="10"/>
      <c r="M32" s="10"/>
      <c r="N32" s="10"/>
      <c r="O32" s="10"/>
      <c r="P32" s="10"/>
      <c r="Q32" s="10"/>
    </row>
    <row r="33" spans="2:17" ht="14.25" customHeight="1" x14ac:dyDescent="0.25">
      <c r="B33" s="227"/>
      <c r="C33" s="323" t="s">
        <v>76</v>
      </c>
      <c r="D33" s="323"/>
      <c r="E33" s="323"/>
      <c r="F33" s="323"/>
      <c r="G33" s="323"/>
      <c r="H33" s="323"/>
      <c r="I33" s="324"/>
      <c r="K33" s="10"/>
      <c r="L33" s="10"/>
      <c r="M33" s="10"/>
      <c r="N33" s="10"/>
      <c r="O33" s="10"/>
      <c r="P33" s="10"/>
      <c r="Q33" s="10"/>
    </row>
    <row r="34" spans="2:17" ht="14.25" customHeight="1" x14ac:dyDescent="0.25">
      <c r="B34" s="218" t="s">
        <v>170</v>
      </c>
      <c r="C34" s="219">
        <v>47.392000000000465</v>
      </c>
      <c r="D34" s="219">
        <v>40.566266148431126</v>
      </c>
      <c r="E34" s="219">
        <v>17.515650648785684</v>
      </c>
      <c r="F34" s="219">
        <v>7.7934551589339822</v>
      </c>
      <c r="G34" s="219">
        <v>-14.526715358450426</v>
      </c>
      <c r="H34" s="219">
        <v>-21.716718226356999</v>
      </c>
      <c r="I34" s="219">
        <v>-20.883552448118031</v>
      </c>
      <c r="K34" s="10"/>
      <c r="L34" s="10"/>
      <c r="M34" s="10"/>
      <c r="N34" s="10"/>
      <c r="O34" s="10"/>
      <c r="P34" s="10"/>
      <c r="Q34" s="10"/>
    </row>
    <row r="35" spans="2:17" ht="14.25" customHeight="1" x14ac:dyDescent="0.25">
      <c r="B35" s="218" t="s">
        <v>142</v>
      </c>
      <c r="C35" s="219">
        <v>86.894000000000034</v>
      </c>
      <c r="D35" s="219">
        <v>92.629738923757316</v>
      </c>
      <c r="E35" s="219">
        <v>94.464820143449558</v>
      </c>
      <c r="F35" s="219">
        <v>91.742671382071904</v>
      </c>
      <c r="G35" s="219">
        <v>88.307176406468415</v>
      </c>
      <c r="H35" s="219">
        <v>88.616825512206319</v>
      </c>
      <c r="I35" s="219">
        <v>89.222711336389651</v>
      </c>
      <c r="K35" s="10"/>
      <c r="L35" s="10"/>
      <c r="M35" s="10"/>
      <c r="N35" s="10"/>
      <c r="O35" s="10"/>
      <c r="P35" s="10"/>
      <c r="Q35" s="10"/>
    </row>
    <row r="36" spans="2:17" ht="14.25" customHeight="1" x14ac:dyDescent="0.25">
      <c r="B36" s="218" t="s">
        <v>171</v>
      </c>
      <c r="C36" s="219">
        <v>134.28600000000048</v>
      </c>
      <c r="D36" s="219">
        <v>133.19600507218846</v>
      </c>
      <c r="E36" s="219">
        <v>111.98047079223524</v>
      </c>
      <c r="F36" s="219">
        <v>99.536126541005885</v>
      </c>
      <c r="G36" s="219">
        <v>73.780461048017983</v>
      </c>
      <c r="H36" s="219">
        <v>66.900107285849316</v>
      </c>
      <c r="I36" s="219">
        <v>68.339158888271612</v>
      </c>
      <c r="K36" s="10"/>
      <c r="L36" s="10"/>
      <c r="M36" s="10"/>
      <c r="N36" s="10"/>
      <c r="O36" s="10"/>
      <c r="P36" s="10"/>
      <c r="Q36" s="10"/>
    </row>
    <row r="37" spans="2:17" ht="14.25" customHeight="1" x14ac:dyDescent="0.25">
      <c r="B37" s="218" t="s">
        <v>155</v>
      </c>
      <c r="C37" s="219">
        <v>118.67968099302315</v>
      </c>
      <c r="D37" s="219">
        <v>110.17410148045388</v>
      </c>
      <c r="E37" s="219">
        <v>89.056224125031662</v>
      </c>
      <c r="F37" s="219">
        <v>82.776397401516888</v>
      </c>
      <c r="G37" s="219">
        <v>64.500506726913429</v>
      </c>
      <c r="H37" s="219">
        <v>63.132770559293618</v>
      </c>
      <c r="I37" s="219">
        <v>67.640392251552271</v>
      </c>
      <c r="K37" s="10"/>
      <c r="L37" s="10"/>
      <c r="M37" s="10"/>
      <c r="N37" s="10"/>
      <c r="O37" s="10"/>
      <c r="P37" s="10"/>
      <c r="Q37" s="10"/>
    </row>
    <row r="38" spans="2:17" ht="14.25" customHeight="1" x14ac:dyDescent="0.25">
      <c r="B38" s="218" t="s">
        <v>156</v>
      </c>
      <c r="C38" s="219">
        <v>31.785680993023128</v>
      </c>
      <c r="D38" s="219">
        <v>17.544362556696562</v>
      </c>
      <c r="E38" s="219">
        <v>-5.4085960184179029</v>
      </c>
      <c r="F38" s="219">
        <v>-8.9662739805550142</v>
      </c>
      <c r="G38" s="219">
        <v>-23.806669679554979</v>
      </c>
      <c r="H38" s="219">
        <v>-25.484054952912693</v>
      </c>
      <c r="I38" s="219">
        <v>-21.58231908483738</v>
      </c>
      <c r="K38" s="10"/>
      <c r="L38" s="10"/>
      <c r="M38" s="10"/>
      <c r="N38" s="10"/>
      <c r="O38" s="10"/>
      <c r="P38" s="10"/>
      <c r="Q38" s="10"/>
    </row>
    <row r="39" spans="2:17" ht="14.25" customHeight="1" x14ac:dyDescent="0.25">
      <c r="B39" s="218" t="s">
        <v>152</v>
      </c>
      <c r="C39" s="228">
        <v>2551.509</v>
      </c>
      <c r="D39" s="228">
        <v>2684.0787110138917</v>
      </c>
      <c r="E39" s="228">
        <v>2806.742153196526</v>
      </c>
      <c r="F39" s="228">
        <v>2913.8153093380029</v>
      </c>
      <c r="G39" s="228">
        <v>2997.2885298884939</v>
      </c>
      <c r="H39" s="228">
        <v>3075.3095813434843</v>
      </c>
      <c r="I39" s="228">
        <v>3155.9778532475611</v>
      </c>
      <c r="K39" s="10"/>
      <c r="L39" s="10"/>
      <c r="M39" s="10"/>
      <c r="N39" s="10"/>
      <c r="O39" s="10"/>
      <c r="P39" s="10"/>
      <c r="Q39" s="10"/>
    </row>
    <row r="40" spans="2:17" ht="14.25" customHeight="1" x14ac:dyDescent="0.25">
      <c r="B40" s="218" t="s">
        <v>172</v>
      </c>
      <c r="C40" s="228">
        <v>2918.4490000000001</v>
      </c>
      <c r="D40" s="228">
        <v>3082.3465004155355</v>
      </c>
      <c r="E40" s="228">
        <v>3239.1040120678981</v>
      </c>
      <c r="F40" s="228">
        <v>3383.9534757806459</v>
      </c>
      <c r="G40" s="228">
        <v>3487.1976818051248</v>
      </c>
      <c r="H40" s="228">
        <v>3583.2127094591356</v>
      </c>
      <c r="I40" s="228">
        <v>3694.5526019573426</v>
      </c>
      <c r="K40" s="10"/>
      <c r="L40" s="10"/>
      <c r="M40" s="10"/>
      <c r="N40" s="10"/>
      <c r="O40" s="10"/>
      <c r="P40" s="10"/>
      <c r="Q40" s="10"/>
    </row>
    <row r="41" spans="2:17" ht="14.25" customHeight="1" x14ac:dyDescent="0.25">
      <c r="B41" s="218" t="s">
        <v>173</v>
      </c>
      <c r="C41" s="228">
        <v>2787.4189999999999</v>
      </c>
      <c r="D41" s="228">
        <v>2980.5578550229275</v>
      </c>
      <c r="E41" s="228">
        <v>3140.3620691305537</v>
      </c>
      <c r="F41" s="228">
        <v>3292.6175135533313</v>
      </c>
      <c r="G41" s="228">
        <v>3399.7569447646897</v>
      </c>
      <c r="H41" s="228">
        <v>3519.8464351661469</v>
      </c>
      <c r="I41" s="228">
        <v>3632.8200350829461</v>
      </c>
      <c r="K41" s="10"/>
      <c r="L41" s="10"/>
      <c r="M41" s="10"/>
      <c r="N41" s="10"/>
      <c r="O41" s="10"/>
      <c r="P41" s="10"/>
      <c r="Q41" s="10"/>
    </row>
    <row r="42" spans="2:17" ht="14.25" customHeight="1" x14ac:dyDescent="0.25">
      <c r="B42" s="218" t="s">
        <v>174</v>
      </c>
      <c r="C42" s="219">
        <v>87.462999999999994</v>
      </c>
      <c r="D42" s="219">
        <v>100.77840246539149</v>
      </c>
      <c r="E42" s="219">
        <v>106.66106136451744</v>
      </c>
      <c r="F42" s="219">
        <v>111.13146157846384</v>
      </c>
      <c r="G42" s="219">
        <v>120.34156743469022</v>
      </c>
      <c r="H42" s="219">
        <v>122.35137321741766</v>
      </c>
      <c r="I42" s="219">
        <v>132.96469923965108</v>
      </c>
      <c r="K42" s="10"/>
      <c r="L42" s="10"/>
      <c r="M42" s="10"/>
      <c r="N42" s="10"/>
      <c r="O42" s="10"/>
      <c r="P42" s="10"/>
      <c r="Q42" s="10"/>
    </row>
    <row r="43" spans="2:17" ht="14.25" customHeight="1" x14ac:dyDescent="0.25">
      <c r="B43" s="226" t="s">
        <v>175</v>
      </c>
      <c r="C43" s="229">
        <v>1190.6659999999995</v>
      </c>
      <c r="D43" s="229">
        <v>1272.4161107369848</v>
      </c>
      <c r="E43" s="229">
        <v>1343.3763189192375</v>
      </c>
      <c r="F43" s="229">
        <v>1399.0234698844697</v>
      </c>
      <c r="G43" s="229">
        <v>1463.1848812914195</v>
      </c>
      <c r="H43" s="229">
        <v>1520.3970531875118</v>
      </c>
      <c r="I43" s="229">
        <v>1577.5629137924536</v>
      </c>
      <c r="K43" s="10"/>
      <c r="L43" s="10"/>
      <c r="M43" s="10"/>
      <c r="N43" s="10"/>
      <c r="O43" s="10"/>
      <c r="P43" s="10"/>
      <c r="Q43" s="10"/>
    </row>
    <row r="44" spans="2:17" ht="14.25" customHeight="1" x14ac:dyDescent="0.25">
      <c r="B44" s="230" t="s">
        <v>176</v>
      </c>
      <c r="C44" s="231">
        <v>-0.84877376411087369</v>
      </c>
      <c r="D44" s="231">
        <v>-1.1084694793021157</v>
      </c>
      <c r="E44" s="231">
        <v>-0.94972274487422226</v>
      </c>
      <c r="F44" s="231">
        <v>-0.60188345349106953</v>
      </c>
      <c r="G44" s="231">
        <v>-0.28308977332851271</v>
      </c>
      <c r="H44" s="231">
        <v>-9.1897642192392937E-2</v>
      </c>
      <c r="I44" s="231">
        <v>0</v>
      </c>
      <c r="K44" s="10"/>
      <c r="L44" s="10"/>
      <c r="M44" s="10"/>
      <c r="N44" s="10"/>
      <c r="O44" s="10"/>
      <c r="P44" s="10"/>
      <c r="Q44" s="10"/>
    </row>
    <row r="45" spans="2:17" ht="14.25" customHeight="1" x14ac:dyDescent="0.2">
      <c r="B45" s="232" t="s">
        <v>202</v>
      </c>
      <c r="C45" s="233"/>
      <c r="D45" s="233"/>
      <c r="E45" s="233"/>
      <c r="F45" s="233"/>
      <c r="G45" s="233"/>
      <c r="H45" s="233"/>
      <c r="I45" s="233"/>
    </row>
    <row r="46" spans="2:17" ht="14.25" customHeight="1" thickBot="1" x14ac:dyDescent="0.25">
      <c r="B46" s="234" t="s">
        <v>203</v>
      </c>
      <c r="C46" s="235"/>
      <c r="D46" s="235"/>
      <c r="E46" s="235"/>
      <c r="F46" s="235"/>
      <c r="G46" s="235"/>
      <c r="H46" s="235"/>
      <c r="I46" s="235"/>
    </row>
  </sheetData>
  <mergeCells count="3">
    <mergeCell ref="C3:I3"/>
    <mergeCell ref="D4:I4"/>
    <mergeCell ref="C33:I33"/>
  </mergeCells>
  <hyperlinks>
    <hyperlink ref="A1" location="Contents!A1" display="Contents!A1" xr:uid="{25E7AFEF-0845-4FCC-A5B4-7D9546DFE1F6}"/>
  </hyperlinks>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0B4ADF-C7A7-48FD-BF30-93A1A296F425}">
  <sheetPr codeName="Sheet12"/>
  <dimension ref="A1:P46"/>
  <sheetViews>
    <sheetView showGridLines="0" zoomScaleNormal="100" workbookViewId="0"/>
  </sheetViews>
  <sheetFormatPr defaultColWidth="8.77734375" defaultRowHeight="12.75" x14ac:dyDescent="0.2"/>
  <cols>
    <col min="1" max="1" width="8.77734375" style="1"/>
    <col min="2" max="2" width="29.77734375" style="1" customWidth="1"/>
    <col min="3" max="8" width="6.77734375" style="1" customWidth="1"/>
    <col min="9" max="9" width="5.77734375" style="1" customWidth="1"/>
    <col min="10" max="16384" width="8.77734375" style="1"/>
  </cols>
  <sheetData>
    <row r="1" spans="1:16" ht="40.15" customHeight="1" x14ac:dyDescent="0.2">
      <c r="A1" s="4" t="s">
        <v>7</v>
      </c>
    </row>
    <row r="2" spans="1:16" ht="17.25" customHeight="1" thickBot="1" x14ac:dyDescent="0.35">
      <c r="B2" s="2" t="s">
        <v>270</v>
      </c>
    </row>
    <row r="3" spans="1:16" x14ac:dyDescent="0.2">
      <c r="B3" s="13"/>
      <c r="C3" s="301" t="s">
        <v>30</v>
      </c>
      <c r="D3" s="301" t="s">
        <v>30</v>
      </c>
      <c r="E3" s="301"/>
      <c r="F3" s="301"/>
      <c r="G3" s="301"/>
      <c r="H3" s="301"/>
    </row>
    <row r="4" spans="1:16" x14ac:dyDescent="0.2">
      <c r="B4" s="14"/>
      <c r="C4" s="44" t="s">
        <v>9</v>
      </c>
      <c r="D4" s="303" t="s">
        <v>10</v>
      </c>
      <c r="E4" s="303"/>
      <c r="F4" s="303"/>
      <c r="G4" s="303"/>
      <c r="H4" s="303"/>
    </row>
    <row r="5" spans="1:16" x14ac:dyDescent="0.2">
      <c r="B5" s="14"/>
      <c r="C5" s="45" t="s">
        <v>50</v>
      </c>
      <c r="D5" s="46" t="s">
        <v>51</v>
      </c>
      <c r="E5" s="46" t="s">
        <v>52</v>
      </c>
      <c r="F5" s="46" t="s">
        <v>53</v>
      </c>
      <c r="G5" s="46" t="s">
        <v>54</v>
      </c>
      <c r="H5" s="46" t="s">
        <v>55</v>
      </c>
    </row>
    <row r="6" spans="1:16" ht="14.25" customHeight="1" x14ac:dyDescent="0.2">
      <c r="B6" s="107" t="s">
        <v>144</v>
      </c>
      <c r="C6" s="48"/>
      <c r="D6" s="48"/>
      <c r="E6" s="48"/>
      <c r="F6" s="48"/>
      <c r="G6" s="48"/>
      <c r="H6" s="48"/>
    </row>
    <row r="7" spans="1:16" ht="14.25" customHeight="1" x14ac:dyDescent="0.2">
      <c r="B7" s="47" t="s">
        <v>145</v>
      </c>
      <c r="C7" s="48">
        <v>-0.32773188462547864</v>
      </c>
      <c r="D7" s="48">
        <v>0.1783097391088333</v>
      </c>
      <c r="E7" s="48">
        <v>0.32535924739099897</v>
      </c>
      <c r="F7" s="48">
        <v>0.34321183642950359</v>
      </c>
      <c r="G7" s="48">
        <v>0.16299773331937928</v>
      </c>
      <c r="H7" s="48">
        <v>6.524906049150303E-2</v>
      </c>
      <c r="J7" s="158"/>
      <c r="K7" s="158"/>
      <c r="L7" s="158"/>
      <c r="M7" s="158"/>
      <c r="N7" s="158"/>
      <c r="O7" s="158"/>
      <c r="P7" s="158"/>
    </row>
    <row r="8" spans="1:16" ht="14.25" customHeight="1" x14ac:dyDescent="0.2">
      <c r="B8" s="49" t="s">
        <v>111</v>
      </c>
      <c r="C8" s="48">
        <v>-0.28817069820020436</v>
      </c>
      <c r="D8" s="48">
        <v>0.20199255632812907</v>
      </c>
      <c r="E8" s="48">
        <v>0.21930937474281365</v>
      </c>
      <c r="F8" s="48">
        <v>0.25324235893680225</v>
      </c>
      <c r="G8" s="48">
        <v>0.13425412374139256</v>
      </c>
      <c r="H8" s="48">
        <v>6.4967791775700334E-2</v>
      </c>
      <c r="J8" s="158"/>
      <c r="K8" s="158"/>
      <c r="L8" s="158"/>
      <c r="M8" s="158"/>
      <c r="N8" s="158"/>
      <c r="O8" s="158"/>
      <c r="P8" s="158"/>
    </row>
    <row r="9" spans="1:16" ht="14.25" customHeight="1" x14ac:dyDescent="0.2">
      <c r="B9" s="47" t="s">
        <v>146</v>
      </c>
      <c r="C9" s="48">
        <v>-0.29863057894741729</v>
      </c>
      <c r="D9" s="48">
        <v>0.71790060253645294</v>
      </c>
      <c r="E9" s="48">
        <v>0.78413265062854265</v>
      </c>
      <c r="F9" s="48">
        <v>0.72187141574829639</v>
      </c>
      <c r="G9" s="48">
        <v>0.4373335868070356</v>
      </c>
      <c r="H9" s="48">
        <v>0.26154986901183719</v>
      </c>
      <c r="J9" s="158"/>
      <c r="K9" s="158"/>
      <c r="L9" s="158"/>
      <c r="M9" s="158"/>
      <c r="N9" s="158"/>
      <c r="O9" s="158"/>
      <c r="P9" s="158"/>
    </row>
    <row r="10" spans="1:16" ht="14.25" customHeight="1" x14ac:dyDescent="0.2">
      <c r="B10" s="49" t="s">
        <v>147</v>
      </c>
      <c r="C10" s="48">
        <v>-0.36199161947911307</v>
      </c>
      <c r="D10" s="48">
        <v>0.37349956075250645</v>
      </c>
      <c r="E10" s="48">
        <v>0.66979404464164816</v>
      </c>
      <c r="F10" s="48">
        <v>0.61431396098920743</v>
      </c>
      <c r="G10" s="48">
        <v>0.36983485193552923</v>
      </c>
      <c r="H10" s="48">
        <v>0.25652335211330524</v>
      </c>
      <c r="J10" s="158"/>
      <c r="K10" s="158"/>
      <c r="L10" s="158"/>
      <c r="M10" s="158"/>
      <c r="N10" s="158"/>
      <c r="O10" s="158"/>
      <c r="P10" s="158"/>
    </row>
    <row r="11" spans="1:16" ht="14.25" customHeight="1" x14ac:dyDescent="0.2">
      <c r="B11" s="49" t="s">
        <v>148</v>
      </c>
      <c r="C11" s="48">
        <v>9.534225017448561E-2</v>
      </c>
      <c r="D11" s="48">
        <v>0.33582652314348227</v>
      </c>
      <c r="E11" s="48">
        <v>6.5693953437873986E-2</v>
      </c>
      <c r="F11" s="48">
        <v>5.3413752409782855E-2</v>
      </c>
      <c r="G11" s="48">
        <v>1.237986016883319E-2</v>
      </c>
      <c r="H11" s="48">
        <v>-4.6562751259731527E-2</v>
      </c>
      <c r="J11" s="158"/>
      <c r="K11" s="158"/>
      <c r="L11" s="158"/>
      <c r="M11" s="158"/>
      <c r="N11" s="158"/>
      <c r="O11" s="158"/>
      <c r="P11" s="158"/>
    </row>
    <row r="12" spans="1:16" ht="14.25" customHeight="1" x14ac:dyDescent="0.2">
      <c r="B12" s="50" t="s">
        <v>149</v>
      </c>
      <c r="C12" s="51">
        <v>-3.1981209642789388E-2</v>
      </c>
      <c r="D12" s="51">
        <v>8.5745186404704299E-3</v>
      </c>
      <c r="E12" s="51">
        <v>4.8644652549018286E-2</v>
      </c>
      <c r="F12" s="51">
        <v>5.4143702349300771E-2</v>
      </c>
      <c r="G12" s="51">
        <v>5.5118874702678511E-2</v>
      </c>
      <c r="H12" s="51">
        <v>5.1589268158271473E-2</v>
      </c>
      <c r="J12" s="158"/>
      <c r="K12" s="158"/>
      <c r="L12" s="158"/>
      <c r="M12" s="158"/>
      <c r="N12" s="158"/>
      <c r="O12" s="158"/>
      <c r="P12" s="158"/>
    </row>
    <row r="13" spans="1:16" ht="14.25" customHeight="1" x14ac:dyDescent="0.2">
      <c r="B13" s="107" t="s">
        <v>150</v>
      </c>
      <c r="C13" s="48"/>
      <c r="D13" s="48"/>
      <c r="E13" s="48"/>
      <c r="F13" s="52"/>
      <c r="G13" s="52"/>
      <c r="H13" s="48"/>
      <c r="J13" s="158"/>
      <c r="K13" s="158"/>
      <c r="L13" s="158"/>
      <c r="M13" s="158"/>
      <c r="N13" s="158"/>
      <c r="O13" s="158"/>
      <c r="P13" s="158"/>
    </row>
    <row r="14" spans="1:16" ht="14.25" customHeight="1" x14ac:dyDescent="0.2">
      <c r="B14" s="47" t="s">
        <v>151</v>
      </c>
      <c r="C14" s="48">
        <v>-6.6240944496414933E-2</v>
      </c>
      <c r="D14" s="48">
        <v>0.20376434028414292</v>
      </c>
      <c r="E14" s="48">
        <v>0.39307944979966036</v>
      </c>
      <c r="F14" s="48">
        <v>0.325245826909005</v>
      </c>
      <c r="G14" s="48">
        <v>0.26195599331881775</v>
      </c>
      <c r="H14" s="48">
        <v>0.2428635597800658</v>
      </c>
      <c r="J14" s="158"/>
      <c r="K14" s="158"/>
      <c r="L14" s="158"/>
      <c r="M14" s="158"/>
      <c r="N14" s="158"/>
      <c r="O14" s="158"/>
      <c r="P14" s="158"/>
    </row>
    <row r="15" spans="1:16" ht="14.25" customHeight="1" x14ac:dyDescent="0.2">
      <c r="B15" s="244" t="s">
        <v>152</v>
      </c>
      <c r="C15" s="51">
        <v>-1.0126366845962167</v>
      </c>
      <c r="D15" s="51">
        <v>0.52083477401514244</v>
      </c>
      <c r="E15" s="51">
        <v>0.84560922242197023</v>
      </c>
      <c r="F15" s="51">
        <v>0.83772382189724226</v>
      </c>
      <c r="G15" s="51">
        <v>0.92000838753045855</v>
      </c>
      <c r="H15" s="51">
        <v>1.1449957402170412</v>
      </c>
      <c r="J15" s="158"/>
      <c r="K15" s="158"/>
      <c r="L15" s="158"/>
      <c r="M15" s="158"/>
      <c r="N15" s="158"/>
      <c r="O15" s="158"/>
      <c r="P15" s="158"/>
    </row>
    <row r="16" spans="1:16" ht="14.25" customHeight="1" x14ac:dyDescent="0.2">
      <c r="B16" s="107" t="s">
        <v>153</v>
      </c>
      <c r="C16" s="48"/>
      <c r="D16" s="48"/>
      <c r="E16" s="48"/>
      <c r="F16" s="48"/>
      <c r="G16" s="48"/>
      <c r="H16" s="48"/>
      <c r="J16" s="158"/>
      <c r="K16" s="158"/>
      <c r="L16" s="158"/>
      <c r="M16" s="158"/>
      <c r="N16" s="158"/>
      <c r="O16" s="158"/>
      <c r="P16" s="158"/>
    </row>
    <row r="17" spans="2:16" ht="14.25" customHeight="1" x14ac:dyDescent="0.2">
      <c r="B17" s="53" t="s">
        <v>154</v>
      </c>
      <c r="C17" s="48">
        <v>2.9101305678071121E-2</v>
      </c>
      <c r="D17" s="48">
        <v>0.53959086342762586</v>
      </c>
      <c r="E17" s="48">
        <v>0.45877340323753479</v>
      </c>
      <c r="F17" s="48">
        <v>0.37865957931878791</v>
      </c>
      <c r="G17" s="48">
        <v>0.27433585348765077</v>
      </c>
      <c r="H17" s="48">
        <v>0.19630080852033394</v>
      </c>
      <c r="J17" s="158"/>
      <c r="K17" s="158"/>
      <c r="L17" s="158"/>
      <c r="M17" s="158"/>
      <c r="N17" s="158"/>
      <c r="O17" s="158"/>
      <c r="P17" s="158"/>
    </row>
    <row r="18" spans="2:16" ht="14.25" customHeight="1" x14ac:dyDescent="0.2">
      <c r="B18" s="47" t="s">
        <v>155</v>
      </c>
      <c r="C18" s="48">
        <v>6.3246724968899493E-3</v>
      </c>
      <c r="D18" s="48">
        <v>0.36624021298025067</v>
      </c>
      <c r="E18" s="48">
        <v>0.1260655186169779</v>
      </c>
      <c r="F18" s="48">
        <v>4.343890576022913E-2</v>
      </c>
      <c r="G18" s="48">
        <v>6.1808829386195585E-2</v>
      </c>
      <c r="H18" s="48">
        <v>0.10439322311476462</v>
      </c>
      <c r="J18" s="158"/>
      <c r="K18" s="158"/>
      <c r="L18" s="158"/>
      <c r="M18" s="158"/>
      <c r="N18" s="158"/>
      <c r="O18" s="158"/>
      <c r="P18" s="158"/>
    </row>
    <row r="19" spans="2:16" ht="14.25" customHeight="1" x14ac:dyDescent="0.2">
      <c r="B19" s="53" t="s">
        <v>156</v>
      </c>
      <c r="C19" s="48">
        <v>-8.3888023487534255E-2</v>
      </c>
      <c r="D19" s="48">
        <v>3.3167583344054397E-2</v>
      </c>
      <c r="E19" s="48">
        <v>5.9665484869237652E-2</v>
      </c>
      <c r="F19" s="48">
        <v>-1.1783479644082172E-2</v>
      </c>
      <c r="G19" s="48">
        <v>4.2463933234262806E-2</v>
      </c>
      <c r="H19" s="48">
        <v>0.14308030514713319</v>
      </c>
      <c r="J19" s="158"/>
      <c r="K19" s="158"/>
      <c r="L19" s="158"/>
      <c r="M19" s="158"/>
      <c r="N19" s="158"/>
      <c r="O19" s="158"/>
      <c r="P19" s="158"/>
    </row>
    <row r="20" spans="2:16" ht="14.25" customHeight="1" x14ac:dyDescent="0.2">
      <c r="B20" s="47" t="s">
        <v>157</v>
      </c>
      <c r="C20" s="48">
        <v>0.12726662090993046</v>
      </c>
      <c r="D20" s="48">
        <v>0.18390636488941214</v>
      </c>
      <c r="E20" s="48">
        <v>0.11476997892919055</v>
      </c>
      <c r="F20" s="48">
        <v>0.18080620817545001</v>
      </c>
      <c r="G20" s="48">
        <v>5.2054169064920774E-2</v>
      </c>
      <c r="H20" s="48">
        <v>-2.6820920881981403E-2</v>
      </c>
      <c r="J20" s="158"/>
      <c r="K20" s="158"/>
      <c r="L20" s="158"/>
      <c r="M20" s="158"/>
      <c r="N20" s="158"/>
      <c r="O20" s="158"/>
      <c r="P20" s="158"/>
    </row>
    <row r="21" spans="2:16" ht="14.25" customHeight="1" x14ac:dyDescent="0.2">
      <c r="B21" s="54" t="s">
        <v>158</v>
      </c>
      <c r="C21" s="55">
        <v>0.10952771703909393</v>
      </c>
      <c r="D21" s="55">
        <v>1.2030533172572423E-2</v>
      </c>
      <c r="E21" s="55">
        <v>-0.22023617845769733</v>
      </c>
      <c r="F21" s="55">
        <v>-0.16013411043786072</v>
      </c>
      <c r="G21" s="55">
        <v>-0.17681008331748391</v>
      </c>
      <c r="H21" s="55">
        <v>-0.13702960191396513</v>
      </c>
      <c r="J21" s="158"/>
      <c r="K21" s="158"/>
      <c r="L21" s="158"/>
      <c r="M21" s="158"/>
      <c r="N21" s="158"/>
      <c r="O21" s="158"/>
      <c r="P21" s="158"/>
    </row>
    <row r="22" spans="2:16" ht="14.25" customHeight="1" x14ac:dyDescent="0.2">
      <c r="B22" s="107" t="s">
        <v>159</v>
      </c>
      <c r="C22" s="48"/>
      <c r="D22" s="48"/>
      <c r="E22" s="48"/>
      <c r="F22" s="48"/>
      <c r="G22" s="48"/>
      <c r="H22" s="48"/>
      <c r="J22" s="158"/>
      <c r="K22" s="158"/>
      <c r="L22" s="158"/>
      <c r="M22" s="158"/>
      <c r="N22" s="158"/>
      <c r="O22" s="158"/>
      <c r="P22" s="158"/>
    </row>
    <row r="23" spans="2:16" ht="14.25" customHeight="1" x14ac:dyDescent="0.2">
      <c r="B23" s="53" t="s">
        <v>160</v>
      </c>
      <c r="C23" s="48">
        <v>-0.35267826828622439</v>
      </c>
      <c r="D23" s="48">
        <v>0.20613399217184458</v>
      </c>
      <c r="E23" s="48">
        <v>1.6404266448355465E-2</v>
      </c>
      <c r="F23" s="48">
        <v>0.31876472840559256</v>
      </c>
      <c r="G23" s="48">
        <v>-0.28377697422736547</v>
      </c>
      <c r="H23" s="48">
        <v>0.22191843639180453</v>
      </c>
      <c r="J23" s="158"/>
      <c r="K23" s="158"/>
      <c r="L23" s="158"/>
      <c r="M23" s="158"/>
      <c r="N23" s="158"/>
      <c r="O23" s="158"/>
      <c r="P23" s="158"/>
    </row>
    <row r="24" spans="2:16" ht="14.25" customHeight="1" x14ac:dyDescent="0.2">
      <c r="B24" s="54" t="s">
        <v>161</v>
      </c>
      <c r="C24" s="55">
        <v>-2.3926272883881294</v>
      </c>
      <c r="D24" s="55">
        <v>0.31995445345456908</v>
      </c>
      <c r="E24" s="55">
        <v>0.27079719824423876</v>
      </c>
      <c r="F24" s="55">
        <v>0.43048474148618876</v>
      </c>
      <c r="G24" s="55">
        <v>-0.2275411229486437</v>
      </c>
      <c r="H24" s="55">
        <v>0.21459846034990804</v>
      </c>
      <c r="J24" s="158"/>
      <c r="K24" s="158"/>
      <c r="L24" s="158"/>
      <c r="M24" s="158"/>
      <c r="N24" s="158"/>
      <c r="O24" s="158"/>
      <c r="P24" s="158"/>
    </row>
    <row r="25" spans="2:16" ht="14.25" customHeight="1" x14ac:dyDescent="0.2">
      <c r="B25" s="107" t="s">
        <v>162</v>
      </c>
      <c r="C25" s="48"/>
      <c r="D25" s="48"/>
      <c r="E25" s="48"/>
      <c r="F25" s="48"/>
      <c r="G25" s="48"/>
      <c r="H25" s="48"/>
      <c r="J25" s="158"/>
      <c r="K25" s="158"/>
      <c r="L25" s="158"/>
      <c r="M25" s="158"/>
      <c r="N25" s="158"/>
      <c r="O25" s="158"/>
      <c r="P25" s="158"/>
    </row>
    <row r="26" spans="2:16" ht="14.25" customHeight="1" x14ac:dyDescent="0.2">
      <c r="B26" s="218" t="s">
        <v>163</v>
      </c>
      <c r="C26" s="48">
        <v>-1.208157824710554</v>
      </c>
      <c r="D26" s="48">
        <v>0.690493086405084</v>
      </c>
      <c r="E26" s="48">
        <v>0.96103538229297669</v>
      </c>
      <c r="F26" s="48">
        <v>1.0037376955961435</v>
      </c>
      <c r="G26" s="48">
        <v>0.60912880853651075</v>
      </c>
      <c r="H26" s="48">
        <v>0.81656537760437686</v>
      </c>
      <c r="J26" s="158"/>
      <c r="K26" s="158"/>
      <c r="L26" s="158"/>
      <c r="M26" s="158"/>
      <c r="N26" s="158"/>
      <c r="O26" s="158"/>
      <c r="P26" s="158"/>
    </row>
    <row r="27" spans="2:16" ht="14.25" customHeight="1" x14ac:dyDescent="0.2">
      <c r="B27" s="218" t="s">
        <v>164</v>
      </c>
      <c r="C27" s="48">
        <v>-1.6915134909148719</v>
      </c>
      <c r="D27" s="48">
        <v>8.8674676274649755E-2</v>
      </c>
      <c r="E27" s="48">
        <v>0.21765606275715754</v>
      </c>
      <c r="F27" s="48">
        <v>0.19258319206191743</v>
      </c>
      <c r="G27" s="48">
        <v>-0.28668612218815781</v>
      </c>
      <c r="H27" s="48">
        <v>-0.12669522074341444</v>
      </c>
      <c r="J27" s="158"/>
      <c r="K27" s="158"/>
      <c r="L27" s="158"/>
      <c r="M27" s="158"/>
      <c r="N27" s="158"/>
      <c r="O27" s="158"/>
      <c r="P27" s="158"/>
    </row>
    <row r="28" spans="2:16" ht="14.25" customHeight="1" x14ac:dyDescent="0.2">
      <c r="B28" s="245" t="s">
        <v>165</v>
      </c>
      <c r="C28" s="56">
        <v>-1.7220946645237802</v>
      </c>
      <c r="D28" s="56">
        <v>-0.34264247813904802</v>
      </c>
      <c r="E28" s="56">
        <v>7.6783693655229968E-2</v>
      </c>
      <c r="F28" s="56">
        <v>0.16382738653292961</v>
      </c>
      <c r="G28" s="56">
        <v>0.48338171420571996</v>
      </c>
      <c r="H28" s="56">
        <v>1.3516461774852644</v>
      </c>
      <c r="J28" s="158"/>
      <c r="K28" s="158"/>
      <c r="L28" s="158"/>
      <c r="M28" s="158"/>
      <c r="N28" s="158"/>
      <c r="O28" s="158"/>
      <c r="P28" s="158"/>
    </row>
    <row r="29" spans="2:16" ht="14.25" customHeight="1" x14ac:dyDescent="0.2">
      <c r="B29" s="107" t="s">
        <v>166</v>
      </c>
      <c r="C29" s="48"/>
      <c r="D29" s="48"/>
      <c r="E29" s="48"/>
      <c r="F29" s="48"/>
      <c r="G29" s="48"/>
      <c r="H29" s="48"/>
      <c r="J29" s="158"/>
      <c r="K29" s="158"/>
      <c r="L29" s="158"/>
      <c r="M29" s="158"/>
      <c r="N29" s="158"/>
      <c r="O29" s="158"/>
      <c r="P29" s="158"/>
    </row>
    <row r="30" spans="2:16" ht="14.25" customHeight="1" x14ac:dyDescent="0.2">
      <c r="B30" s="47" t="s">
        <v>167</v>
      </c>
      <c r="C30" s="48">
        <v>-8.339557397083297E-2</v>
      </c>
      <c r="D30" s="48">
        <v>0.24092874577670553</v>
      </c>
      <c r="E30" s="48">
        <v>0.25166796628557764</v>
      </c>
      <c r="F30" s="48">
        <v>0.20280821548483585</v>
      </c>
      <c r="G30" s="48">
        <v>0.11037758861497071</v>
      </c>
      <c r="H30" s="48">
        <v>5.5707120758880624E-2</v>
      </c>
      <c r="J30" s="158"/>
      <c r="K30" s="158"/>
      <c r="L30" s="158"/>
      <c r="M30" s="158"/>
      <c r="N30" s="158"/>
      <c r="O30" s="158"/>
      <c r="P30" s="158"/>
    </row>
    <row r="31" spans="2:16" ht="14.25" customHeight="1" x14ac:dyDescent="0.2">
      <c r="B31" s="47" t="s">
        <v>168</v>
      </c>
      <c r="C31" s="48">
        <v>-0.17149518013617726</v>
      </c>
      <c r="D31" s="48">
        <v>8.590165205810063E-2</v>
      </c>
      <c r="E31" s="48">
        <v>-2.4454837729476875E-2</v>
      </c>
      <c r="F31" s="48">
        <v>-8.8553112598306782E-2</v>
      </c>
      <c r="G31" s="48">
        <v>-8.4230682356615016E-2</v>
      </c>
      <c r="H31" s="48">
        <v>-3.0222497643709101E-2</v>
      </c>
      <c r="J31" s="158"/>
      <c r="K31" s="158"/>
      <c r="L31" s="158"/>
      <c r="M31" s="158"/>
      <c r="N31" s="158"/>
      <c r="O31" s="158"/>
      <c r="P31" s="158"/>
    </row>
    <row r="32" spans="2:16" ht="14.25" customHeight="1" x14ac:dyDescent="0.2">
      <c r="B32" s="57" t="s">
        <v>169</v>
      </c>
      <c r="C32" s="48">
        <v>4.7793743010686285E-2</v>
      </c>
      <c r="D32" s="48">
        <v>-0.63019752586950517</v>
      </c>
      <c r="E32" s="48">
        <v>-6.2642608828866742E-3</v>
      </c>
      <c r="F32" s="48">
        <v>0.16441322884197973</v>
      </c>
      <c r="G32" s="48">
        <v>-0.3873954395140089</v>
      </c>
      <c r="H32" s="48">
        <v>-0.44484339739362611</v>
      </c>
      <c r="J32" s="158"/>
      <c r="K32" s="158"/>
      <c r="L32" s="158"/>
      <c r="M32" s="158"/>
      <c r="N32" s="158"/>
      <c r="O32" s="158"/>
      <c r="P32" s="158"/>
    </row>
    <row r="33" spans="2:16" ht="14.25" customHeight="1" x14ac:dyDescent="0.2">
      <c r="B33" s="58"/>
      <c r="C33" s="325" t="s">
        <v>76</v>
      </c>
      <c r="D33" s="325"/>
      <c r="E33" s="325"/>
      <c r="F33" s="325"/>
      <c r="G33" s="325"/>
      <c r="H33" s="325"/>
      <c r="J33" s="158"/>
      <c r="K33" s="158"/>
      <c r="L33" s="158"/>
      <c r="M33" s="158"/>
      <c r="N33" s="158"/>
      <c r="O33" s="158"/>
      <c r="P33" s="158"/>
    </row>
    <row r="34" spans="2:16" ht="14.25" customHeight="1" x14ac:dyDescent="0.2">
      <c r="B34" s="47" t="s">
        <v>170</v>
      </c>
      <c r="C34" s="48">
        <v>-1.7898159909562708</v>
      </c>
      <c r="D34" s="48">
        <v>6.6487296812556238</v>
      </c>
      <c r="E34" s="48">
        <v>12.956180006063267</v>
      </c>
      <c r="F34" s="48">
        <v>11.0818233793254</v>
      </c>
      <c r="G34" s="48">
        <v>9.0369197534424295</v>
      </c>
      <c r="H34" s="48">
        <v>8.5766484398318532</v>
      </c>
      <c r="J34" s="158"/>
      <c r="K34" s="158"/>
      <c r="L34" s="158"/>
      <c r="M34" s="158"/>
      <c r="N34" s="158"/>
      <c r="O34" s="158"/>
      <c r="P34" s="158"/>
    </row>
    <row r="35" spans="2:16" ht="14.25" customHeight="1" x14ac:dyDescent="0.2">
      <c r="B35" s="47" t="s">
        <v>142</v>
      </c>
      <c r="C35" s="48">
        <v>3.3407402354309994</v>
      </c>
      <c r="D35" s="48">
        <v>11.085851625285855</v>
      </c>
      <c r="E35" s="48">
        <v>2.556922837514719</v>
      </c>
      <c r="F35" s="48">
        <v>2.4386691827447748</v>
      </c>
      <c r="G35" s="48">
        <v>1.3400978707155815</v>
      </c>
      <c r="H35" s="48">
        <v>-0.69645235536086147</v>
      </c>
      <c r="J35" s="158"/>
      <c r="K35" s="158"/>
      <c r="L35" s="158"/>
      <c r="M35" s="158"/>
      <c r="N35" s="158"/>
      <c r="O35" s="158"/>
      <c r="P35" s="158"/>
    </row>
    <row r="36" spans="2:16" ht="14.25" customHeight="1" x14ac:dyDescent="0.2">
      <c r="B36" s="47" t="s">
        <v>171</v>
      </c>
      <c r="C36" s="48">
        <v>1.5509242444747997</v>
      </c>
      <c r="D36" s="48">
        <v>17.734581306541401</v>
      </c>
      <c r="E36" s="48">
        <v>15.513102843578139</v>
      </c>
      <c r="F36" s="48">
        <v>13.520492562070061</v>
      </c>
      <c r="G36" s="48">
        <v>10.377017624158121</v>
      </c>
      <c r="H36" s="48">
        <v>7.8801960844709882</v>
      </c>
      <c r="J36" s="158"/>
      <c r="K36" s="158"/>
      <c r="L36" s="158"/>
      <c r="M36" s="158"/>
      <c r="N36" s="158"/>
      <c r="O36" s="158"/>
      <c r="P36" s="158"/>
    </row>
    <row r="37" spans="2:16" ht="14.25" customHeight="1" x14ac:dyDescent="0.2">
      <c r="B37" s="47" t="s">
        <v>155</v>
      </c>
      <c r="C37" s="48">
        <v>0.77824120909185979</v>
      </c>
      <c r="D37" s="48">
        <v>12.135298529188873</v>
      </c>
      <c r="E37" s="48">
        <v>4.5121658446659012</v>
      </c>
      <c r="F37" s="48">
        <v>2.0391119787018681</v>
      </c>
      <c r="G37" s="48">
        <v>2.829171519968483</v>
      </c>
      <c r="H37" s="48">
        <v>4.4999831871907219</v>
      </c>
      <c r="J37" s="158"/>
      <c r="K37" s="158"/>
      <c r="L37" s="158"/>
      <c r="M37" s="158"/>
      <c r="N37" s="158"/>
      <c r="O37" s="158"/>
      <c r="P37" s="158"/>
    </row>
    <row r="38" spans="2:16" ht="14.25" customHeight="1" x14ac:dyDescent="0.2">
      <c r="B38" s="47" t="s">
        <v>156</v>
      </c>
      <c r="C38" s="48">
        <v>-2.5624990263391894</v>
      </c>
      <c r="D38" s="48">
        <v>1.0494469039031884</v>
      </c>
      <c r="E38" s="48">
        <v>1.9552430071512026</v>
      </c>
      <c r="F38" s="48">
        <v>-0.3995572040428268</v>
      </c>
      <c r="G38" s="48">
        <v>1.4890736492528376</v>
      </c>
      <c r="H38" s="48">
        <v>5.1964355425515976</v>
      </c>
      <c r="J38" s="158"/>
      <c r="K38" s="158"/>
      <c r="L38" s="158"/>
      <c r="M38" s="158"/>
      <c r="N38" s="158"/>
      <c r="O38" s="158"/>
      <c r="P38" s="158"/>
    </row>
    <row r="39" spans="2:16" ht="14.25" customHeight="1" x14ac:dyDescent="0.2">
      <c r="B39" s="218" t="s">
        <v>152</v>
      </c>
      <c r="C39" s="48">
        <v>-2.0216677452294789</v>
      </c>
      <c r="D39" s="48">
        <v>22.910439336409581</v>
      </c>
      <c r="E39" s="48">
        <v>41.761498011941057</v>
      </c>
      <c r="F39" s="48">
        <v>54.660693612645446</v>
      </c>
      <c r="G39" s="48">
        <v>65.755891684352719</v>
      </c>
      <c r="H39" s="48">
        <v>76.082593226986319</v>
      </c>
      <c r="J39" s="158"/>
      <c r="K39" s="158"/>
      <c r="L39" s="158"/>
      <c r="M39" s="158"/>
      <c r="N39" s="158"/>
      <c r="O39" s="158"/>
      <c r="P39" s="158"/>
    </row>
    <row r="40" spans="2:16" ht="14.25" customHeight="1" x14ac:dyDescent="0.2">
      <c r="B40" s="47" t="s">
        <v>172</v>
      </c>
      <c r="C40" s="48">
        <v>-3.8583396314102174</v>
      </c>
      <c r="D40" s="48">
        <v>29.284453414217751</v>
      </c>
      <c r="E40" s="48">
        <v>47.700093369888236</v>
      </c>
      <c r="F40" s="48">
        <v>64.543637455669796</v>
      </c>
      <c r="G40" s="48">
        <v>60.048316769289158</v>
      </c>
      <c r="H40" s="48">
        <v>69.51669610417548</v>
      </c>
      <c r="J40" s="158"/>
      <c r="K40" s="158"/>
      <c r="L40" s="158"/>
      <c r="M40" s="158"/>
      <c r="N40" s="158"/>
      <c r="O40" s="158"/>
      <c r="P40" s="158"/>
    </row>
    <row r="41" spans="2:16" ht="14.25" customHeight="1" x14ac:dyDescent="0.2">
      <c r="B41" s="47" t="s">
        <v>173</v>
      </c>
      <c r="C41" s="48">
        <v>-20.343255885522922</v>
      </c>
      <c r="D41" s="48">
        <v>9.6729497519390861</v>
      </c>
      <c r="E41" s="48">
        <v>22.442380171748937</v>
      </c>
      <c r="F41" s="48">
        <v>35.77000703298836</v>
      </c>
      <c r="G41" s="48">
        <v>27.129062609486937</v>
      </c>
      <c r="H41" s="48">
        <v>33.952166663935259</v>
      </c>
      <c r="J41" s="158"/>
      <c r="K41" s="158"/>
      <c r="L41" s="158"/>
      <c r="M41" s="158"/>
      <c r="N41" s="158"/>
      <c r="O41" s="158"/>
      <c r="P41" s="158"/>
    </row>
    <row r="42" spans="2:16" ht="14.25" customHeight="1" x14ac:dyDescent="0.2">
      <c r="B42" s="47" t="s">
        <v>174</v>
      </c>
      <c r="C42" s="48">
        <v>-2.5674648476439188</v>
      </c>
      <c r="D42" s="48">
        <v>11.754643548713176</v>
      </c>
      <c r="E42" s="48">
        <v>11.729324119585741</v>
      </c>
      <c r="F42" s="48">
        <v>7.4689798421024705</v>
      </c>
      <c r="G42" s="48">
        <v>9.0293328318701924</v>
      </c>
      <c r="H42" s="48">
        <v>9.4766673858663211</v>
      </c>
      <c r="J42" s="158"/>
      <c r="K42" s="158"/>
      <c r="L42" s="158"/>
      <c r="M42" s="158"/>
      <c r="N42" s="158"/>
      <c r="O42" s="158"/>
      <c r="P42" s="158"/>
    </row>
    <row r="43" spans="2:16" ht="14.25" customHeight="1" x14ac:dyDescent="0.2">
      <c r="B43" s="57" t="s">
        <v>175</v>
      </c>
      <c r="C43" s="48">
        <v>-3.4967964125702564</v>
      </c>
      <c r="D43" s="48">
        <v>11.470329575985444</v>
      </c>
      <c r="E43" s="48">
        <v>13.293462518269568</v>
      </c>
      <c r="F43" s="48">
        <v>18.438773014757885</v>
      </c>
      <c r="G43" s="48">
        <v>20.34786604868793</v>
      </c>
      <c r="H43" s="48">
        <v>20.038812230692624</v>
      </c>
      <c r="J43" s="158"/>
      <c r="K43" s="158"/>
      <c r="L43" s="158"/>
      <c r="M43" s="158"/>
      <c r="N43" s="158"/>
      <c r="O43" s="158"/>
      <c r="P43" s="158"/>
    </row>
    <row r="44" spans="2:16" ht="14.25" customHeight="1" x14ac:dyDescent="0.2">
      <c r="B44" s="59" t="s">
        <v>176</v>
      </c>
      <c r="C44" s="60">
        <v>-4.1719305115719862E-2</v>
      </c>
      <c r="D44" s="60">
        <v>-0.33001357884846527</v>
      </c>
      <c r="E44" s="60">
        <v>-0.5334103377017243</v>
      </c>
      <c r="F44" s="60">
        <v>-0.45707721203642393</v>
      </c>
      <c r="G44" s="60">
        <v>-0.2422231633883456</v>
      </c>
      <c r="H44" s="60">
        <v>-8.6925905455800034E-2</v>
      </c>
      <c r="J44" s="158"/>
      <c r="K44" s="158"/>
      <c r="L44" s="158"/>
      <c r="M44" s="158"/>
      <c r="N44" s="158"/>
      <c r="O44" s="158"/>
      <c r="P44" s="158"/>
    </row>
    <row r="45" spans="2:16" ht="14.25" customHeight="1" x14ac:dyDescent="0.2">
      <c r="B45" s="166" t="s">
        <v>202</v>
      </c>
      <c r="C45" s="216"/>
      <c r="D45" s="216"/>
      <c r="E45" s="216"/>
      <c r="F45" s="216"/>
      <c r="G45" s="216"/>
      <c r="H45" s="216"/>
    </row>
    <row r="46" spans="2:16" ht="14.25" customHeight="1" thickBot="1" x14ac:dyDescent="0.25">
      <c r="B46" s="167" t="s">
        <v>203</v>
      </c>
      <c r="C46" s="168"/>
      <c r="D46" s="168"/>
      <c r="E46" s="168"/>
      <c r="F46" s="168"/>
      <c r="G46" s="168"/>
      <c r="H46" s="168"/>
    </row>
  </sheetData>
  <mergeCells count="3">
    <mergeCell ref="C3:H3"/>
    <mergeCell ref="D4:H4"/>
    <mergeCell ref="C33:H33"/>
  </mergeCells>
  <hyperlinks>
    <hyperlink ref="A1" location="Contents!A1" display="Contents!A1" xr:uid="{0A6DA993-5A14-4B71-92FB-5DB232F29A5E}"/>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42C11A-EDFA-437C-8112-E174D412128E}">
  <sheetPr codeName="Sheet13"/>
  <dimension ref="A1:O33"/>
  <sheetViews>
    <sheetView showGridLines="0" zoomScaleNormal="100" workbookViewId="0"/>
  </sheetViews>
  <sheetFormatPr defaultColWidth="8.77734375" defaultRowHeight="12.75" x14ac:dyDescent="0.2"/>
  <cols>
    <col min="1" max="1" width="8.77734375" style="1"/>
    <col min="2" max="2" width="31.77734375" style="1" customWidth="1"/>
    <col min="3" max="8" width="6.77734375" style="1" customWidth="1"/>
    <col min="9" max="16384" width="8.77734375" style="1"/>
  </cols>
  <sheetData>
    <row r="1" spans="1:15" ht="40.15" customHeight="1" x14ac:dyDescent="0.2">
      <c r="A1" s="3" t="s">
        <v>7</v>
      </c>
    </row>
    <row r="2" spans="1:15" ht="17.25" customHeight="1" thickBot="1" x14ac:dyDescent="0.35">
      <c r="B2" s="2" t="s">
        <v>6</v>
      </c>
      <c r="H2" s="6"/>
    </row>
    <row r="3" spans="1:15" x14ac:dyDescent="0.2">
      <c r="B3" s="13"/>
      <c r="C3" s="326" t="s">
        <v>76</v>
      </c>
      <c r="D3" s="326"/>
      <c r="E3" s="326"/>
      <c r="F3" s="326"/>
      <c r="G3" s="326"/>
      <c r="H3" s="327"/>
    </row>
    <row r="4" spans="1:15" x14ac:dyDescent="0.2">
      <c r="B4" s="14"/>
      <c r="C4" s="328" t="s">
        <v>10</v>
      </c>
      <c r="D4" s="328"/>
      <c r="E4" s="328"/>
      <c r="F4" s="328"/>
      <c r="G4" s="328"/>
      <c r="H4" s="329"/>
    </row>
    <row r="5" spans="1:15" x14ac:dyDescent="0.2">
      <c r="B5" s="14"/>
      <c r="C5" s="39" t="s">
        <v>51</v>
      </c>
      <c r="D5" s="39" t="s">
        <v>52</v>
      </c>
      <c r="E5" s="39" t="s">
        <v>53</v>
      </c>
      <c r="F5" s="39" t="s">
        <v>54</v>
      </c>
      <c r="G5" s="39" t="s">
        <v>55</v>
      </c>
      <c r="H5" s="112" t="s">
        <v>217</v>
      </c>
    </row>
    <row r="6" spans="1:15" ht="14.25" customHeight="1" x14ac:dyDescent="0.2">
      <c r="B6" s="242" t="s">
        <v>177</v>
      </c>
      <c r="C6" s="108">
        <v>133.19600507218846</v>
      </c>
      <c r="D6" s="108">
        <v>111.98047079223524</v>
      </c>
      <c r="E6" s="108">
        <v>99.536126541005885</v>
      </c>
      <c r="F6" s="108">
        <v>73.780461048017983</v>
      </c>
      <c r="G6" s="108">
        <v>66.900107285849316</v>
      </c>
      <c r="H6" s="113">
        <v>68.339158888271612</v>
      </c>
      <c r="J6" s="157"/>
      <c r="K6" s="157"/>
      <c r="L6" s="157"/>
      <c r="M6" s="157"/>
      <c r="N6" s="157"/>
      <c r="O6" s="157"/>
    </row>
    <row r="7" spans="1:15" ht="14.25" customHeight="1" x14ac:dyDescent="0.2">
      <c r="B7" s="159" t="s">
        <v>178</v>
      </c>
      <c r="C7" s="110">
        <v>-0.6262940582966362</v>
      </c>
      <c r="D7" s="110">
        <v>10.68297139039907</v>
      </c>
      <c r="E7" s="110">
        <v>7.5370296004707971</v>
      </c>
      <c r="F7" s="110">
        <v>9.6927595024728461</v>
      </c>
      <c r="G7" s="110">
        <v>11.120944169140746</v>
      </c>
      <c r="H7" s="115">
        <v>12.329113015805273</v>
      </c>
      <c r="J7" s="157"/>
      <c r="K7" s="157"/>
      <c r="L7" s="157"/>
      <c r="M7" s="157"/>
      <c r="N7" s="157"/>
      <c r="O7" s="157"/>
    </row>
    <row r="8" spans="1:15" ht="14.25" customHeight="1" x14ac:dyDescent="0.2">
      <c r="B8" s="160" t="s">
        <v>179</v>
      </c>
      <c r="C8" s="41">
        <v>1.5300000000000322</v>
      </c>
      <c r="D8" s="41">
        <v>3.6600000000000232</v>
      </c>
      <c r="E8" s="41">
        <v>3.8400000000000034</v>
      </c>
      <c r="F8" s="41">
        <v>4.6200000000000223</v>
      </c>
      <c r="G8" s="43">
        <v>4.5499999999999652</v>
      </c>
      <c r="H8" s="43">
        <v>4.6000000000000103</v>
      </c>
      <c r="J8" s="157"/>
      <c r="K8" s="157"/>
      <c r="L8" s="157"/>
      <c r="M8" s="157"/>
      <c r="N8" s="157"/>
      <c r="O8" s="157"/>
    </row>
    <row r="9" spans="1:15" ht="14.25" customHeight="1" x14ac:dyDescent="0.2">
      <c r="B9" s="161" t="s">
        <v>180</v>
      </c>
      <c r="C9" s="41">
        <v>8.0229427127171462</v>
      </c>
      <c r="D9" s="41">
        <v>2.5927807346851743</v>
      </c>
      <c r="E9" s="41">
        <v>0.89513273058106435</v>
      </c>
      <c r="F9" s="41">
        <v>0.71573556222624646</v>
      </c>
      <c r="G9" s="43">
        <v>0.83874405094158888</v>
      </c>
      <c r="H9" s="43">
        <v>0.955591917887336</v>
      </c>
      <c r="J9" s="157"/>
      <c r="K9" s="157"/>
      <c r="L9" s="157"/>
      <c r="M9" s="157"/>
      <c r="N9" s="157"/>
      <c r="O9" s="157"/>
    </row>
    <row r="10" spans="1:15" ht="14.25" customHeight="1" x14ac:dyDescent="0.2">
      <c r="B10" s="160" t="s">
        <v>181</v>
      </c>
      <c r="C10" s="41">
        <v>3.3242035008511963</v>
      </c>
      <c r="D10" s="41">
        <v>-1.1237049297149658E-2</v>
      </c>
      <c r="E10" s="41">
        <v>-1.0994004921218872E-2</v>
      </c>
      <c r="F10" s="41">
        <v>-1.131617650996399E-2</v>
      </c>
      <c r="G10" s="43">
        <v>-1.2073575351867677E-2</v>
      </c>
      <c r="H10" s="43">
        <v>-1.31724376353302E-2</v>
      </c>
      <c r="J10" s="157"/>
      <c r="K10" s="157"/>
      <c r="L10" s="157"/>
      <c r="M10" s="157"/>
      <c r="N10" s="157"/>
      <c r="O10" s="157"/>
    </row>
    <row r="11" spans="1:15" ht="14.25" customHeight="1" x14ac:dyDescent="0.2">
      <c r="B11" s="160" t="s">
        <v>182</v>
      </c>
      <c r="C11" s="41">
        <v>-7.9721761276905827</v>
      </c>
      <c r="D11" s="41">
        <v>7.9683673967928783</v>
      </c>
      <c r="E11" s="41">
        <v>7.277655345372219</v>
      </c>
      <c r="F11" s="41">
        <v>9.2130050000243102</v>
      </c>
      <c r="G11" s="43">
        <v>9.5293897829688845</v>
      </c>
      <c r="H11" s="43">
        <v>10.469927297440027</v>
      </c>
      <c r="J11" s="157"/>
      <c r="K11" s="157"/>
      <c r="L11" s="157"/>
      <c r="M11" s="157"/>
      <c r="N11" s="157"/>
      <c r="O11" s="157"/>
    </row>
    <row r="12" spans="1:15" ht="14.25" customHeight="1" x14ac:dyDescent="0.2">
      <c r="B12" s="162" t="s">
        <v>183</v>
      </c>
      <c r="C12" s="41">
        <v>-5.531264144174429</v>
      </c>
      <c r="D12" s="41">
        <v>-3.5269396917818572</v>
      </c>
      <c r="E12" s="41">
        <v>-4.4647644705612706</v>
      </c>
      <c r="F12" s="41">
        <v>-4.8446648832677681</v>
      </c>
      <c r="G12" s="40">
        <v>-3.7851160894178264</v>
      </c>
      <c r="H12" s="114">
        <v>-3.6832337618867683</v>
      </c>
      <c r="J12" s="157"/>
      <c r="K12" s="157"/>
      <c r="L12" s="157"/>
      <c r="M12" s="157"/>
      <c r="N12" s="157"/>
      <c r="O12" s="157"/>
    </row>
    <row r="13" spans="1:15" ht="14.25" customHeight="1" x14ac:dyDescent="0.2">
      <c r="B13" s="163" t="s">
        <v>184</v>
      </c>
      <c r="C13" s="109">
        <v>132.56971101389183</v>
      </c>
      <c r="D13" s="109">
        <v>122.66344218263431</v>
      </c>
      <c r="E13" s="109">
        <v>107.07315614147669</v>
      </c>
      <c r="F13" s="109">
        <v>83.473220550490822</v>
      </c>
      <c r="G13" s="108">
        <v>78.021051454990058</v>
      </c>
      <c r="H13" s="113">
        <v>80.668271904076889</v>
      </c>
      <c r="J13" s="157"/>
      <c r="K13" s="157"/>
      <c r="L13" s="157"/>
      <c r="M13" s="157"/>
      <c r="N13" s="157"/>
      <c r="O13" s="157"/>
    </row>
    <row r="14" spans="1:15" ht="14.25" customHeight="1" x14ac:dyDescent="0.2">
      <c r="B14" s="164" t="s">
        <v>185</v>
      </c>
      <c r="C14" s="110">
        <v>13.503440271865012</v>
      </c>
      <c r="D14" s="110">
        <v>-4.4414277050110211</v>
      </c>
      <c r="E14" s="110">
        <v>-2.8128908748109485</v>
      </c>
      <c r="F14" s="110">
        <v>-4.3683401167565421</v>
      </c>
      <c r="G14" s="110">
        <v>-5.7442736935510581</v>
      </c>
      <c r="H14" s="115">
        <v>-6.7866935355532583</v>
      </c>
      <c r="J14" s="157"/>
      <c r="K14" s="157"/>
      <c r="L14" s="157"/>
      <c r="M14" s="157"/>
      <c r="N14" s="157"/>
      <c r="O14" s="157"/>
    </row>
    <row r="15" spans="1:15" ht="14.25" customHeight="1" x14ac:dyDescent="0.2">
      <c r="B15" s="160" t="s">
        <v>182</v>
      </c>
      <c r="C15" s="41">
        <v>7.9721761276905827</v>
      </c>
      <c r="D15" s="41">
        <v>-7.9683673967928783</v>
      </c>
      <c r="E15" s="41">
        <v>-7.277655345372219</v>
      </c>
      <c r="F15" s="41">
        <v>-9.2130050000243102</v>
      </c>
      <c r="G15" s="43">
        <v>-9.5293897829688845</v>
      </c>
      <c r="H15" s="43">
        <v>-10.469927297440027</v>
      </c>
      <c r="J15" s="157"/>
      <c r="K15" s="157"/>
      <c r="L15" s="157"/>
      <c r="M15" s="157"/>
      <c r="N15" s="157"/>
      <c r="O15" s="157"/>
    </row>
    <row r="16" spans="1:15" ht="14.25" customHeight="1" x14ac:dyDescent="0.2">
      <c r="B16" s="162" t="s">
        <v>183</v>
      </c>
      <c r="C16" s="40">
        <v>5.531264144174429</v>
      </c>
      <c r="D16" s="40">
        <v>3.5269396917818572</v>
      </c>
      <c r="E16" s="40">
        <v>4.4647644705612706</v>
      </c>
      <c r="F16" s="40">
        <v>4.8446648832677681</v>
      </c>
      <c r="G16" s="40">
        <v>3.7851160894178264</v>
      </c>
      <c r="H16" s="114">
        <v>3.6832337618867683</v>
      </c>
      <c r="J16" s="157"/>
      <c r="K16" s="157"/>
      <c r="L16" s="157"/>
      <c r="M16" s="157"/>
      <c r="N16" s="157"/>
      <c r="O16" s="157"/>
    </row>
    <row r="17" spans="2:15" ht="14.25" customHeight="1" x14ac:dyDescent="0.2">
      <c r="B17" s="164" t="s">
        <v>186</v>
      </c>
      <c r="C17" s="110">
        <v>-2.1571954014146968</v>
      </c>
      <c r="D17" s="110">
        <v>18.310283721110025</v>
      </c>
      <c r="E17" s="110">
        <v>20.486223682522294</v>
      </c>
      <c r="F17" s="110">
        <v>20.723228449286154</v>
      </c>
      <c r="G17" s="110">
        <v>5.7565456907680783</v>
      </c>
      <c r="H17" s="115">
        <v>20.836460330615566</v>
      </c>
      <c r="J17" s="157"/>
      <c r="K17" s="157"/>
      <c r="L17" s="157"/>
      <c r="M17" s="157"/>
      <c r="N17" s="157"/>
      <c r="O17" s="157"/>
    </row>
    <row r="18" spans="2:15" ht="14.25" customHeight="1" x14ac:dyDescent="0.2">
      <c r="B18" s="160" t="s">
        <v>187</v>
      </c>
      <c r="C18" s="41">
        <v>2.4015436000000006</v>
      </c>
      <c r="D18" s="41">
        <v>2.8217985599999995</v>
      </c>
      <c r="E18" s="41">
        <v>4.0536799300000004</v>
      </c>
      <c r="F18" s="41">
        <v>4.2548625730000014</v>
      </c>
      <c r="G18" s="43">
        <v>4.7388756122565265</v>
      </c>
      <c r="H18" s="43">
        <v>4.4792136016611348</v>
      </c>
      <c r="J18" s="157"/>
      <c r="K18" s="157"/>
      <c r="L18" s="157"/>
      <c r="M18" s="157"/>
      <c r="N18" s="157"/>
      <c r="O18" s="157"/>
    </row>
    <row r="19" spans="2:15" ht="14.25" customHeight="1" x14ac:dyDescent="0.2">
      <c r="B19" s="160" t="s">
        <v>188</v>
      </c>
      <c r="C19" s="41">
        <v>22.532396363647472</v>
      </c>
      <c r="D19" s="41">
        <v>16.39263769519896</v>
      </c>
      <c r="E19" s="41">
        <v>17.319370121584907</v>
      </c>
      <c r="F19" s="41">
        <v>18.290427225892476</v>
      </c>
      <c r="G19" s="43">
        <v>19.256060068966931</v>
      </c>
      <c r="H19" s="43">
        <v>20.080118627046726</v>
      </c>
      <c r="J19" s="157"/>
      <c r="K19" s="157"/>
      <c r="L19" s="157"/>
      <c r="M19" s="157"/>
      <c r="N19" s="157"/>
      <c r="O19" s="157"/>
    </row>
    <row r="20" spans="2:15" ht="14.25" customHeight="1" x14ac:dyDescent="0.2">
      <c r="B20" s="160" t="s">
        <v>189</v>
      </c>
      <c r="C20" s="41">
        <v>-6.7065002203613835</v>
      </c>
      <c r="D20" s="41">
        <v>-7.5160241936389145</v>
      </c>
      <c r="E20" s="41">
        <v>-8.2712126957878791</v>
      </c>
      <c r="F20" s="41">
        <v>-9.0940800818810104</v>
      </c>
      <c r="G20" s="43">
        <v>-9.8822989264384766</v>
      </c>
      <c r="H20" s="43">
        <v>-10.896371215232497</v>
      </c>
      <c r="J20" s="157"/>
      <c r="K20" s="157"/>
      <c r="L20" s="157"/>
      <c r="M20" s="157"/>
      <c r="N20" s="157"/>
      <c r="O20" s="157"/>
    </row>
    <row r="21" spans="2:15" ht="14.25" customHeight="1" x14ac:dyDescent="0.2">
      <c r="B21" s="160" t="s">
        <v>247</v>
      </c>
      <c r="C21" s="41">
        <v>5.355897976849703</v>
      </c>
      <c r="D21" s="41">
        <v>4.2089362335790828</v>
      </c>
      <c r="E21" s="41">
        <v>4.3836995398655763</v>
      </c>
      <c r="F21" s="41">
        <v>4.9617112911780676</v>
      </c>
      <c r="G21" s="43">
        <v>4.7062341298378429</v>
      </c>
      <c r="H21" s="43">
        <v>4.6926493633111805</v>
      </c>
      <c r="J21" s="157"/>
      <c r="K21" s="157"/>
      <c r="L21" s="157"/>
      <c r="M21" s="157"/>
      <c r="N21" s="157"/>
      <c r="O21" s="157"/>
    </row>
    <row r="22" spans="2:15" ht="14.25" customHeight="1" x14ac:dyDescent="0.2">
      <c r="B22" s="160" t="s">
        <v>248</v>
      </c>
      <c r="C22" s="41">
        <v>1.1864563314917178</v>
      </c>
      <c r="D22" s="41">
        <v>1.3770097108497588</v>
      </c>
      <c r="E22" s="41">
        <v>0.83872049698164164</v>
      </c>
      <c r="F22" s="41">
        <v>0.32935904719386822</v>
      </c>
      <c r="G22" s="43">
        <v>0.48524153194360603</v>
      </c>
      <c r="H22" s="43">
        <v>0.64912538798278208</v>
      </c>
      <c r="J22" s="157"/>
      <c r="K22" s="157"/>
      <c r="L22" s="157"/>
      <c r="M22" s="157"/>
      <c r="N22" s="157"/>
      <c r="O22" s="157"/>
    </row>
    <row r="23" spans="2:15" ht="14.25" customHeight="1" x14ac:dyDescent="0.2">
      <c r="B23" s="160" t="s">
        <v>190</v>
      </c>
      <c r="C23" s="41">
        <v>-26.393999999999998</v>
      </c>
      <c r="D23" s="41">
        <v>0</v>
      </c>
      <c r="E23" s="41">
        <v>0</v>
      </c>
      <c r="F23" s="41">
        <v>0</v>
      </c>
      <c r="G23" s="43">
        <v>-15.5</v>
      </c>
      <c r="H23" s="43">
        <v>0</v>
      </c>
      <c r="J23" s="157"/>
      <c r="K23" s="157"/>
      <c r="L23" s="157"/>
      <c r="M23" s="157"/>
      <c r="N23" s="157"/>
      <c r="O23" s="157"/>
    </row>
    <row r="24" spans="2:15" ht="14.25" customHeight="1" x14ac:dyDescent="0.2">
      <c r="B24" s="162" t="s">
        <v>183</v>
      </c>
      <c r="C24" s="236">
        <v>-0.53298945304220879</v>
      </c>
      <c r="D24" s="236">
        <v>1.0259257151211365</v>
      </c>
      <c r="E24" s="236">
        <v>2.1619662898780483</v>
      </c>
      <c r="F24" s="236">
        <v>1.9809483939027501</v>
      </c>
      <c r="G24" s="236">
        <v>1.9524332742016455</v>
      </c>
      <c r="H24" s="236">
        <v>1.8317245658462404</v>
      </c>
      <c r="J24" s="157"/>
      <c r="K24" s="157"/>
      <c r="L24" s="157"/>
      <c r="M24" s="157"/>
      <c r="N24" s="157"/>
      <c r="O24" s="157"/>
    </row>
    <row r="25" spans="2:15" ht="14.25" customHeight="1" x14ac:dyDescent="0.2">
      <c r="B25" s="164" t="s">
        <v>191</v>
      </c>
      <c r="C25" s="110">
        <v>19.981544531193428</v>
      </c>
      <c r="D25" s="110">
        <v>20.22521345362922</v>
      </c>
      <c r="E25" s="110">
        <v>20.102974763559793</v>
      </c>
      <c r="F25" s="110">
        <v>3.4160971414586636</v>
      </c>
      <c r="G25" s="110">
        <v>17.981704201803868</v>
      </c>
      <c r="H25" s="115">
        <v>16.621853799067406</v>
      </c>
      <c r="J25" s="157"/>
      <c r="K25" s="157"/>
      <c r="L25" s="157"/>
      <c r="M25" s="157"/>
      <c r="N25" s="157"/>
      <c r="O25" s="157"/>
    </row>
    <row r="26" spans="2:15" ht="14.25" customHeight="1" x14ac:dyDescent="0.2">
      <c r="B26" s="160" t="s">
        <v>192</v>
      </c>
      <c r="C26" s="41">
        <v>7.5196318254635131</v>
      </c>
      <c r="D26" s="41">
        <v>9.2805728284638924</v>
      </c>
      <c r="E26" s="41">
        <v>9.410913690938143</v>
      </c>
      <c r="F26" s="41">
        <v>8.6991863987171598</v>
      </c>
      <c r="G26" s="43">
        <v>8.7593753718996687</v>
      </c>
      <c r="H26" s="43">
        <v>8.3901575330769322</v>
      </c>
      <c r="J26" s="157"/>
      <c r="K26" s="157"/>
      <c r="L26" s="157"/>
      <c r="M26" s="157"/>
      <c r="N26" s="157"/>
      <c r="O26" s="157"/>
    </row>
    <row r="27" spans="2:15" ht="14.25" customHeight="1" x14ac:dyDescent="0.2">
      <c r="B27" s="160" t="s">
        <v>114</v>
      </c>
      <c r="C27" s="41">
        <v>11.961679186133942</v>
      </c>
      <c r="D27" s="41">
        <v>9.854557606194799</v>
      </c>
      <c r="E27" s="41">
        <v>10.39308793741052</v>
      </c>
      <c r="F27" s="41">
        <v>-5.0482699862029232</v>
      </c>
      <c r="G27" s="43">
        <v>10.759715840780569</v>
      </c>
      <c r="H27" s="43">
        <v>10.183218752946896</v>
      </c>
      <c r="J27" s="157"/>
      <c r="K27" s="157"/>
      <c r="L27" s="157"/>
      <c r="M27" s="157"/>
      <c r="N27" s="157"/>
      <c r="O27" s="157"/>
    </row>
    <row r="28" spans="2:15" ht="14.25" customHeight="1" x14ac:dyDescent="0.2">
      <c r="B28" s="160" t="s">
        <v>193</v>
      </c>
      <c r="C28" s="41">
        <v>0.83680803337943255</v>
      </c>
      <c r="D28" s="41">
        <v>2.1252022960398445</v>
      </c>
      <c r="E28" s="41">
        <v>1.9050073711906694</v>
      </c>
      <c r="F28" s="41">
        <v>1.6937527486711845</v>
      </c>
      <c r="G28" s="43">
        <v>1.3273421448177307</v>
      </c>
      <c r="H28" s="43">
        <v>0.97588676363605908</v>
      </c>
      <c r="J28" s="157"/>
      <c r="K28" s="157"/>
      <c r="L28" s="157"/>
      <c r="M28" s="157"/>
      <c r="N28" s="157"/>
      <c r="O28" s="157"/>
    </row>
    <row r="29" spans="2:15" ht="14.25" customHeight="1" x14ac:dyDescent="0.2">
      <c r="B29" s="160" t="s">
        <v>194</v>
      </c>
      <c r="C29" s="41">
        <v>1.8044260692766738</v>
      </c>
      <c r="D29" s="41">
        <v>1.6565591005960045</v>
      </c>
      <c r="E29" s="41">
        <v>1.1915194394276096</v>
      </c>
      <c r="F29" s="41">
        <v>1.038264094869608</v>
      </c>
      <c r="G29" s="43">
        <v>0.20347509564233543</v>
      </c>
      <c r="H29" s="43">
        <v>0.20138293148097478</v>
      </c>
      <c r="J29" s="157"/>
      <c r="K29" s="157"/>
      <c r="L29" s="157"/>
      <c r="M29" s="157"/>
      <c r="N29" s="157"/>
      <c r="O29" s="157"/>
    </row>
    <row r="30" spans="2:15" ht="14.25" customHeight="1" x14ac:dyDescent="0.2">
      <c r="B30" s="160" t="s">
        <v>195</v>
      </c>
      <c r="C30" s="41">
        <v>0.72737122600993653</v>
      </c>
      <c r="D30" s="41">
        <v>0.45540136330819569</v>
      </c>
      <c r="E30" s="41">
        <v>0.22262513545022877</v>
      </c>
      <c r="F30" s="41">
        <v>7.9994953027985566E-2</v>
      </c>
      <c r="G30" s="43">
        <v>6.7528115334197086E-3</v>
      </c>
      <c r="H30" s="43">
        <v>-2.6145921965981138E-2</v>
      </c>
      <c r="J30" s="157"/>
      <c r="K30" s="157"/>
      <c r="L30" s="157"/>
      <c r="M30" s="157"/>
      <c r="N30" s="157"/>
      <c r="O30" s="157"/>
    </row>
    <row r="31" spans="2:15" ht="14.25" customHeight="1" x14ac:dyDescent="0.2">
      <c r="B31" s="165" t="s">
        <v>196</v>
      </c>
      <c r="C31" s="42">
        <v>-2.8683718090700694</v>
      </c>
      <c r="D31" s="42">
        <v>-3.1470797409735169</v>
      </c>
      <c r="E31" s="42">
        <v>-3.0201788108573817</v>
      </c>
      <c r="F31" s="42">
        <v>-3.0468310676243511</v>
      </c>
      <c r="G31" s="42">
        <v>-3.0749570628698568</v>
      </c>
      <c r="H31" s="116">
        <v>-3.1026462601074782</v>
      </c>
      <c r="J31" s="157"/>
      <c r="K31" s="157"/>
      <c r="L31" s="157"/>
      <c r="M31" s="157"/>
      <c r="N31" s="157"/>
      <c r="O31" s="157"/>
    </row>
    <row r="32" spans="2:15" ht="14.25" customHeight="1" thickBot="1" x14ac:dyDescent="0.25">
      <c r="B32" s="243" t="s">
        <v>197</v>
      </c>
      <c r="C32" s="111">
        <v>163.89750041553557</v>
      </c>
      <c r="D32" s="111">
        <v>156.75751165236252</v>
      </c>
      <c r="E32" s="111">
        <v>144.84946371274782</v>
      </c>
      <c r="F32" s="111">
        <v>103.2442060244791</v>
      </c>
      <c r="G32" s="111">
        <v>96.015027654010936</v>
      </c>
      <c r="H32" s="117">
        <v>111.33989249820661</v>
      </c>
      <c r="J32" s="157"/>
      <c r="K32" s="157"/>
      <c r="L32" s="157"/>
      <c r="M32" s="157"/>
      <c r="N32" s="157"/>
      <c r="O32" s="157"/>
    </row>
    <row r="33" spans="8:8" x14ac:dyDescent="0.2">
      <c r="H33" s="6"/>
    </row>
  </sheetData>
  <mergeCells count="2">
    <mergeCell ref="C3:H3"/>
    <mergeCell ref="C4:H4"/>
  </mergeCells>
  <phoneticPr fontId="28" type="noConversion"/>
  <conditionalFormatting sqref="C6:H23 C25:H32">
    <cfRule type="cellIs" dxfId="1" priority="1" stopIfTrue="1" operator="equal">
      <formula>"End"</formula>
    </cfRule>
  </conditionalFormatting>
  <hyperlinks>
    <hyperlink ref="A1" location="Contents!A1" display="Contents!A1" xr:uid="{31763951-09D8-4588-ACE5-5366938F2FF7}"/>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F8BA7F-F778-4C06-8925-A83E43F8A739}">
  <sheetPr codeName="Sheet14"/>
  <dimension ref="A1:M34"/>
  <sheetViews>
    <sheetView showGridLines="0" zoomScaleNormal="100" workbookViewId="0"/>
  </sheetViews>
  <sheetFormatPr defaultColWidth="8.77734375" defaultRowHeight="12.75" x14ac:dyDescent="0.2"/>
  <cols>
    <col min="1" max="1" width="8.77734375" style="1"/>
    <col min="2" max="2" width="31.77734375" style="1" customWidth="1"/>
    <col min="3" max="7" width="6.77734375" style="1" customWidth="1"/>
    <col min="8" max="16384" width="8.77734375" style="1"/>
  </cols>
  <sheetData>
    <row r="1" spans="1:13" ht="40.15" customHeight="1" x14ac:dyDescent="0.2">
      <c r="A1" s="3" t="s">
        <v>7</v>
      </c>
    </row>
    <row r="2" spans="1:13" ht="17.25" customHeight="1" thickBot="1" x14ac:dyDescent="0.35">
      <c r="B2" s="2" t="s">
        <v>271</v>
      </c>
    </row>
    <row r="3" spans="1:13" ht="12.75" customHeight="1" x14ac:dyDescent="0.2">
      <c r="B3" s="13"/>
      <c r="C3" s="326" t="s">
        <v>76</v>
      </c>
      <c r="D3" s="326"/>
      <c r="E3" s="326"/>
      <c r="F3" s="326"/>
      <c r="G3" s="326"/>
    </row>
    <row r="4" spans="1:13" ht="12.75" customHeight="1" x14ac:dyDescent="0.2">
      <c r="B4" s="14"/>
      <c r="C4" s="328" t="s">
        <v>10</v>
      </c>
      <c r="D4" s="328"/>
      <c r="E4" s="328"/>
      <c r="F4" s="328"/>
      <c r="G4" s="328"/>
    </row>
    <row r="5" spans="1:13" x14ac:dyDescent="0.2">
      <c r="B5" s="237"/>
      <c r="C5" s="39" t="s">
        <v>51</v>
      </c>
      <c r="D5" s="39" t="s">
        <v>52</v>
      </c>
      <c r="E5" s="39" t="s">
        <v>53</v>
      </c>
      <c r="F5" s="39" t="s">
        <v>54</v>
      </c>
      <c r="G5" s="39" t="s">
        <v>55</v>
      </c>
    </row>
    <row r="6" spans="1:13" ht="14.25" customHeight="1" x14ac:dyDescent="0.2">
      <c r="B6" s="242" t="s">
        <v>177</v>
      </c>
      <c r="C6" s="240">
        <v>17.734581306541401</v>
      </c>
      <c r="D6" s="240">
        <v>15.513102843578139</v>
      </c>
      <c r="E6" s="240">
        <v>13.520492562070061</v>
      </c>
      <c r="F6" s="240">
        <v>10.377017624158121</v>
      </c>
      <c r="G6" s="240">
        <v>7.8801960844709882</v>
      </c>
      <c r="H6" s="158"/>
      <c r="I6" s="158"/>
      <c r="J6" s="158"/>
      <c r="K6" s="158"/>
      <c r="L6" s="158"/>
      <c r="M6" s="158"/>
    </row>
    <row r="7" spans="1:13" ht="14.25" customHeight="1" x14ac:dyDescent="0.2">
      <c r="B7" s="159" t="s">
        <v>178</v>
      </c>
      <c r="C7" s="110">
        <v>7.197525775097759</v>
      </c>
      <c r="D7" s="110">
        <v>3.3379558319533462</v>
      </c>
      <c r="E7" s="110">
        <v>-0.62129696136581991</v>
      </c>
      <c r="F7" s="110">
        <v>0.71818044754890309</v>
      </c>
      <c r="G7" s="110">
        <v>2.4465054581623171</v>
      </c>
      <c r="H7" s="158"/>
      <c r="I7" s="158"/>
      <c r="J7" s="158"/>
      <c r="K7" s="158"/>
      <c r="L7" s="158"/>
      <c r="M7" s="158"/>
    </row>
    <row r="8" spans="1:13" ht="14.25" customHeight="1" x14ac:dyDescent="0.2">
      <c r="B8" s="160" t="s">
        <v>179</v>
      </c>
      <c r="C8" s="41">
        <v>-1.6699999999999502</v>
      </c>
      <c r="D8" s="41">
        <v>-0.36999999999994593</v>
      </c>
      <c r="E8" s="41">
        <v>-0.54999999999999893</v>
      </c>
      <c r="F8" s="41">
        <v>-0.35000000000000142</v>
      </c>
      <c r="G8" s="41">
        <v>-0.86000000000000121</v>
      </c>
      <c r="H8" s="158"/>
      <c r="I8" s="158"/>
      <c r="J8" s="158"/>
      <c r="K8" s="158"/>
      <c r="L8" s="158"/>
      <c r="M8" s="158"/>
    </row>
    <row r="9" spans="1:13" ht="14.25" customHeight="1" x14ac:dyDescent="0.2">
      <c r="B9" s="161" t="s">
        <v>180</v>
      </c>
      <c r="C9" s="41">
        <v>6.131366849440461</v>
      </c>
      <c r="D9" s="41">
        <v>1.1987411172453406</v>
      </c>
      <c r="E9" s="41">
        <v>-0.40402018175779375</v>
      </c>
      <c r="F9" s="41">
        <v>-0.46083325533010111</v>
      </c>
      <c r="G9" s="41">
        <v>-0.51384043620644348</v>
      </c>
      <c r="H9" s="158"/>
      <c r="I9" s="158"/>
      <c r="J9" s="158"/>
      <c r="K9" s="158"/>
      <c r="L9" s="158"/>
      <c r="M9" s="158"/>
    </row>
    <row r="10" spans="1:13" ht="14.25" customHeight="1" x14ac:dyDescent="0.2">
      <c r="B10" s="160" t="s">
        <v>181</v>
      </c>
      <c r="C10" s="41">
        <v>3.2071547937858123</v>
      </c>
      <c r="D10" s="41">
        <v>-1.3246749186401358E-3</v>
      </c>
      <c r="E10" s="41">
        <v>6.3383371154785914E-5</v>
      </c>
      <c r="F10" s="41">
        <v>8.7308679241943424E-4</v>
      </c>
      <c r="G10" s="41">
        <v>1.2780350426177967E-3</v>
      </c>
      <c r="H10" s="158"/>
      <c r="I10" s="158"/>
      <c r="J10" s="158"/>
      <c r="K10" s="158"/>
      <c r="L10" s="158"/>
      <c r="M10" s="158"/>
    </row>
    <row r="11" spans="1:13" ht="14.25" customHeight="1" x14ac:dyDescent="0.2">
      <c r="B11" s="160" t="s">
        <v>182</v>
      </c>
      <c r="C11" s="41">
        <v>0.61661721447737072</v>
      </c>
      <c r="D11" s="41">
        <v>4.3051819746973417</v>
      </c>
      <c r="E11" s="41">
        <v>2.9064873755796974</v>
      </c>
      <c r="F11" s="41">
        <v>4.3019093096377921</v>
      </c>
      <c r="G11" s="41">
        <v>5.3414095750847954</v>
      </c>
      <c r="H11" s="158"/>
      <c r="I11" s="158"/>
      <c r="J11" s="158"/>
      <c r="K11" s="158"/>
      <c r="L11" s="158"/>
      <c r="M11" s="158"/>
    </row>
    <row r="12" spans="1:13" ht="14.25" customHeight="1" x14ac:dyDescent="0.2">
      <c r="B12" s="162" t="s">
        <v>183</v>
      </c>
      <c r="C12" s="41">
        <v>-1.0876130826059356</v>
      </c>
      <c r="D12" s="41">
        <v>-1.7946425850707506</v>
      </c>
      <c r="E12" s="41">
        <v>-2.5738275385588789</v>
      </c>
      <c r="F12" s="41">
        <v>-2.7737686935512045</v>
      </c>
      <c r="G12" s="41">
        <v>-1.5223417157586532</v>
      </c>
      <c r="H12" s="158"/>
      <c r="I12" s="158"/>
      <c r="J12" s="158"/>
      <c r="K12" s="158"/>
      <c r="L12" s="158"/>
      <c r="M12" s="158"/>
    </row>
    <row r="13" spans="1:13" ht="14.25" customHeight="1" x14ac:dyDescent="0.2">
      <c r="B13" s="163" t="s">
        <v>184</v>
      </c>
      <c r="C13" s="109">
        <v>24.932107081639174</v>
      </c>
      <c r="D13" s="109">
        <v>18.85105867553149</v>
      </c>
      <c r="E13" s="109">
        <v>12.899195600704246</v>
      </c>
      <c r="F13" s="109">
        <v>11.095198071707017</v>
      </c>
      <c r="G13" s="109">
        <v>10.326701542633302</v>
      </c>
      <c r="H13" s="158"/>
      <c r="I13" s="158"/>
      <c r="J13" s="158"/>
      <c r="K13" s="158"/>
      <c r="L13" s="158"/>
      <c r="M13" s="158"/>
    </row>
    <row r="14" spans="1:13" ht="14.25" customHeight="1" x14ac:dyDescent="0.2">
      <c r="B14" s="164" t="s">
        <v>185</v>
      </c>
      <c r="C14" s="110">
        <v>0.47099586812856487</v>
      </c>
      <c r="D14" s="110">
        <v>-2.5105393896265911</v>
      </c>
      <c r="E14" s="110">
        <v>-0.33265983702081847</v>
      </c>
      <c r="F14" s="110">
        <v>-1.5281406160865876</v>
      </c>
      <c r="G14" s="110">
        <v>-3.8190678593261422</v>
      </c>
      <c r="H14" s="158"/>
      <c r="I14" s="158"/>
      <c r="J14" s="158"/>
      <c r="K14" s="158"/>
      <c r="L14" s="158"/>
      <c r="M14" s="158"/>
    </row>
    <row r="15" spans="1:13" ht="14.25" customHeight="1" x14ac:dyDescent="0.2">
      <c r="B15" s="160" t="s">
        <v>182</v>
      </c>
      <c r="C15" s="41">
        <v>-0.61661721447737072</v>
      </c>
      <c r="D15" s="41">
        <v>-4.3051819746973417</v>
      </c>
      <c r="E15" s="41">
        <v>-2.9064873755796974</v>
      </c>
      <c r="F15" s="41">
        <v>-4.3019093096377921</v>
      </c>
      <c r="G15" s="41">
        <v>-5.3414095750847954</v>
      </c>
      <c r="H15" s="158"/>
      <c r="I15" s="158"/>
      <c r="J15" s="158"/>
      <c r="K15" s="158"/>
      <c r="L15" s="158"/>
      <c r="M15" s="158"/>
    </row>
    <row r="16" spans="1:13" ht="14.25" customHeight="1" x14ac:dyDescent="0.2">
      <c r="B16" s="162" t="s">
        <v>183</v>
      </c>
      <c r="C16" s="40">
        <v>1.0876130826059356</v>
      </c>
      <c r="D16" s="40">
        <v>1.7946425850707506</v>
      </c>
      <c r="E16" s="40">
        <v>2.5738275385588789</v>
      </c>
      <c r="F16" s="40">
        <v>2.7737686935512045</v>
      </c>
      <c r="G16" s="40">
        <v>1.5223417157586532</v>
      </c>
      <c r="H16" s="158"/>
      <c r="I16" s="158"/>
      <c r="J16" s="158"/>
      <c r="K16" s="158"/>
      <c r="L16" s="158"/>
      <c r="M16" s="158"/>
    </row>
    <row r="17" spans="2:13" ht="14.25" customHeight="1" x14ac:dyDescent="0.2">
      <c r="B17" s="164" t="s">
        <v>186</v>
      </c>
      <c r="C17" s="110">
        <v>2.7577433656435346</v>
      </c>
      <c r="D17" s="110">
        <v>-1.448551602601853</v>
      </c>
      <c r="E17" s="110">
        <v>-0.85665330087769576</v>
      </c>
      <c r="F17" s="110">
        <v>-0.17655289485195169</v>
      </c>
      <c r="G17" s="110">
        <v>2.1822171376025921</v>
      </c>
      <c r="H17" s="158"/>
      <c r="I17" s="158"/>
      <c r="J17" s="158"/>
      <c r="K17" s="158"/>
      <c r="L17" s="158"/>
      <c r="M17" s="158"/>
    </row>
    <row r="18" spans="2:13" ht="15" x14ac:dyDescent="0.2">
      <c r="B18" s="160" t="s">
        <v>249</v>
      </c>
      <c r="C18" s="41">
        <v>1.6569096568050456</v>
      </c>
      <c r="D18" s="41">
        <v>1.9139487135591664</v>
      </c>
      <c r="E18" s="41">
        <v>1.062040850438601</v>
      </c>
      <c r="F18" s="41">
        <v>-0.15237717115354688</v>
      </c>
      <c r="G18" s="41">
        <v>0.19267665972899373</v>
      </c>
      <c r="H18" s="158"/>
      <c r="I18" s="158"/>
      <c r="J18" s="158"/>
      <c r="K18" s="158"/>
      <c r="L18" s="158"/>
      <c r="M18" s="158"/>
    </row>
    <row r="19" spans="2:13" ht="14.25" customHeight="1" x14ac:dyDescent="0.2">
      <c r="B19" s="160" t="s">
        <v>188</v>
      </c>
      <c r="C19" s="41">
        <v>1.2648112899338706</v>
      </c>
      <c r="D19" s="41">
        <v>-0.92044416550855956</v>
      </c>
      <c r="E19" s="41">
        <v>-0.89518251338714805</v>
      </c>
      <c r="F19" s="41">
        <v>-0.88138080979194555</v>
      </c>
      <c r="G19" s="41">
        <v>-0.77913070150395569</v>
      </c>
      <c r="H19" s="158"/>
      <c r="I19" s="158"/>
      <c r="J19" s="158"/>
      <c r="K19" s="158"/>
      <c r="L19" s="158"/>
      <c r="M19" s="158"/>
    </row>
    <row r="20" spans="2:13" ht="14.25" customHeight="1" x14ac:dyDescent="0.2">
      <c r="B20" s="160" t="s">
        <v>189</v>
      </c>
      <c r="C20" s="41">
        <v>5.87731621663794E-2</v>
      </c>
      <c r="D20" s="41">
        <v>-3.1613156081568228E-2</v>
      </c>
      <c r="E20" s="41">
        <v>8.5562758591368748E-3</v>
      </c>
      <c r="F20" s="41">
        <v>5.6958440916366371E-2</v>
      </c>
      <c r="G20" s="41">
        <v>0.2554092052787027</v>
      </c>
      <c r="H20" s="158"/>
      <c r="I20" s="158"/>
      <c r="J20" s="158"/>
      <c r="K20" s="158"/>
      <c r="L20" s="158"/>
      <c r="M20" s="158"/>
    </row>
    <row r="21" spans="2:13" ht="15" x14ac:dyDescent="0.2">
      <c r="B21" s="160" t="s">
        <v>250</v>
      </c>
      <c r="C21" s="41">
        <v>1.8227499590627905</v>
      </c>
      <c r="D21" s="41">
        <v>0.87865355565240222</v>
      </c>
      <c r="E21" s="41">
        <v>0.83171871041871226</v>
      </c>
      <c r="F21" s="41">
        <v>1.7175196203378342</v>
      </c>
      <c r="G21" s="41">
        <v>2.5519564216730184</v>
      </c>
      <c r="H21" s="158"/>
      <c r="I21" s="158"/>
      <c r="J21" s="158"/>
      <c r="K21" s="158"/>
      <c r="L21" s="158"/>
      <c r="M21" s="158"/>
    </row>
    <row r="22" spans="2:13" ht="15" x14ac:dyDescent="0.2">
      <c r="B22" s="160" t="s">
        <v>251</v>
      </c>
      <c r="C22" s="41">
        <v>-2.0030734975150999</v>
      </c>
      <c r="D22" s="41">
        <v>-2.7822709164729789</v>
      </c>
      <c r="E22" s="41">
        <v>-1.9995890060006469</v>
      </c>
      <c r="F22" s="41">
        <v>-1.0262897038566288</v>
      </c>
      <c r="G22" s="41">
        <v>-7.9096170731915605E-2</v>
      </c>
      <c r="H22" s="158"/>
      <c r="I22" s="158"/>
      <c r="J22" s="158"/>
      <c r="K22" s="158"/>
      <c r="L22" s="158"/>
      <c r="M22" s="158"/>
    </row>
    <row r="23" spans="2:13" ht="14.25" customHeight="1" x14ac:dyDescent="0.2">
      <c r="B23" s="160" t="s">
        <v>190</v>
      </c>
      <c r="C23" s="41">
        <v>0</v>
      </c>
      <c r="D23" s="41">
        <v>0</v>
      </c>
      <c r="E23" s="41">
        <v>0</v>
      </c>
      <c r="F23" s="41">
        <v>0</v>
      </c>
      <c r="G23" s="41">
        <v>0</v>
      </c>
      <c r="H23" s="158"/>
      <c r="I23" s="158"/>
      <c r="J23" s="158"/>
      <c r="K23" s="158"/>
      <c r="L23" s="158"/>
      <c r="M23" s="158"/>
    </row>
    <row r="24" spans="2:13" ht="14.25" customHeight="1" x14ac:dyDescent="0.2">
      <c r="B24" s="162" t="s">
        <v>183</v>
      </c>
      <c r="C24" s="40">
        <v>-4.2427204809452945E-2</v>
      </c>
      <c r="D24" s="40">
        <v>-0.50682563375031719</v>
      </c>
      <c r="E24" s="40">
        <v>0.13580238179364912</v>
      </c>
      <c r="F24" s="40">
        <v>0.10901672869596979</v>
      </c>
      <c r="G24" s="40">
        <v>4.0401723157746261E-2</v>
      </c>
      <c r="H24" s="158"/>
      <c r="I24" s="158"/>
      <c r="J24" s="158"/>
      <c r="K24" s="158"/>
      <c r="L24" s="158"/>
      <c r="M24" s="158"/>
    </row>
    <row r="25" spans="2:13" ht="14.25" customHeight="1" x14ac:dyDescent="0.2">
      <c r="B25" s="164" t="s">
        <v>191</v>
      </c>
      <c r="C25" s="110">
        <v>4.9819467302172384</v>
      </c>
      <c r="D25" s="110">
        <v>3.5236722723670688</v>
      </c>
      <c r="E25" s="110">
        <v>5.1336616229757404</v>
      </c>
      <c r="F25" s="110">
        <v>-13.885825247148656</v>
      </c>
      <c r="G25" s="110">
        <v>0.77852851397698686</v>
      </c>
      <c r="H25" s="158"/>
      <c r="I25" s="158"/>
      <c r="J25" s="158"/>
      <c r="K25" s="158"/>
      <c r="L25" s="158"/>
      <c r="M25" s="158"/>
    </row>
    <row r="26" spans="2:13" ht="14.25" customHeight="1" x14ac:dyDescent="0.2">
      <c r="B26" s="160" t="s">
        <v>192</v>
      </c>
      <c r="C26" s="41">
        <v>-0.11615549556886151</v>
      </c>
      <c r="D26" s="41">
        <v>1.4850366550280105</v>
      </c>
      <c r="E26" s="41">
        <v>1.908786637514547</v>
      </c>
      <c r="F26" s="41">
        <v>0.6626494490700594</v>
      </c>
      <c r="G26" s="41">
        <v>-0.16948930576174703</v>
      </c>
      <c r="H26" s="158"/>
      <c r="I26" s="158"/>
      <c r="J26" s="158"/>
      <c r="K26" s="158"/>
      <c r="L26" s="158"/>
      <c r="M26" s="158"/>
    </row>
    <row r="27" spans="2:13" ht="14.25" customHeight="1" x14ac:dyDescent="0.2">
      <c r="B27" s="160" t="s">
        <v>114</v>
      </c>
      <c r="C27" s="41">
        <v>3.091873681910883</v>
      </c>
      <c r="D27" s="41">
        <v>0.46965267192473448</v>
      </c>
      <c r="E27" s="41">
        <v>1.605295698513391</v>
      </c>
      <c r="F27" s="41">
        <v>-15.661026836310242</v>
      </c>
      <c r="G27" s="41">
        <v>0.16795068636444022</v>
      </c>
      <c r="H27" s="158"/>
      <c r="I27" s="158"/>
      <c r="J27" s="158"/>
      <c r="K27" s="158"/>
      <c r="L27" s="158"/>
      <c r="M27" s="158"/>
    </row>
    <row r="28" spans="2:13" ht="14.25" customHeight="1" x14ac:dyDescent="0.2">
      <c r="B28" s="160" t="s">
        <v>193</v>
      </c>
      <c r="C28" s="41">
        <v>1.0260590200104653</v>
      </c>
      <c r="D28" s="41">
        <v>0.8242539566779159</v>
      </c>
      <c r="E28" s="41">
        <v>0.74356309774491547</v>
      </c>
      <c r="F28" s="41">
        <v>0.74810299171942807</v>
      </c>
      <c r="G28" s="41">
        <v>0.61738885862272719</v>
      </c>
      <c r="H28" s="158"/>
      <c r="I28" s="158"/>
      <c r="J28" s="158"/>
      <c r="K28" s="158"/>
      <c r="L28" s="158"/>
      <c r="M28" s="158"/>
    </row>
    <row r="29" spans="2:13" ht="14.25" customHeight="1" x14ac:dyDescent="0.2">
      <c r="B29" s="160" t="s">
        <v>194</v>
      </c>
      <c r="C29" s="41">
        <v>0.93088840860077449</v>
      </c>
      <c r="D29" s="41">
        <v>0.62061940876999544</v>
      </c>
      <c r="E29" s="41">
        <v>0.73416302252131915</v>
      </c>
      <c r="F29" s="41">
        <v>0.21448759374866133</v>
      </c>
      <c r="G29" s="41">
        <v>8.1901803254536554E-3</v>
      </c>
      <c r="H29" s="158"/>
      <c r="I29" s="158"/>
      <c r="J29" s="158"/>
      <c r="K29" s="158"/>
      <c r="L29" s="158"/>
      <c r="M29" s="158"/>
    </row>
    <row r="30" spans="2:13" ht="14.25" customHeight="1" x14ac:dyDescent="0.2">
      <c r="B30" s="160" t="s">
        <v>195</v>
      </c>
      <c r="C30" s="41">
        <v>-0.23069702530583358</v>
      </c>
      <c r="D30" s="41">
        <v>-5.9976575804932541E-2</v>
      </c>
      <c r="E30" s="41">
        <v>-3.3693392145178747E-2</v>
      </c>
      <c r="F30" s="41">
        <v>-2.5875330090421894E-2</v>
      </c>
      <c r="G30" s="41">
        <v>-2.2390541012899362E-2</v>
      </c>
      <c r="H30" s="158"/>
      <c r="I30" s="158"/>
      <c r="J30" s="158"/>
      <c r="K30" s="158"/>
      <c r="L30" s="158"/>
      <c r="M30" s="158"/>
    </row>
    <row r="31" spans="2:13" ht="14.25" customHeight="1" x14ac:dyDescent="0.2">
      <c r="B31" s="165" t="s">
        <v>196</v>
      </c>
      <c r="C31" s="42">
        <v>0.27997814056980941</v>
      </c>
      <c r="D31" s="42">
        <v>0.18408615577134491</v>
      </c>
      <c r="E31" s="42">
        <v>0.1755465588267402</v>
      </c>
      <c r="F31" s="42">
        <v>0.17583688471385583</v>
      </c>
      <c r="G31" s="42">
        <v>0.17687863543901194</v>
      </c>
      <c r="H31" s="158"/>
      <c r="I31" s="158"/>
      <c r="J31" s="158"/>
      <c r="K31" s="158"/>
      <c r="L31" s="158"/>
      <c r="M31" s="158"/>
    </row>
    <row r="32" spans="2:13" ht="15" customHeight="1" x14ac:dyDescent="0.2">
      <c r="B32" s="164" t="s">
        <v>197</v>
      </c>
      <c r="C32" s="110">
        <v>33.142793045628508</v>
      </c>
      <c r="D32" s="110">
        <v>18.415639955670116</v>
      </c>
      <c r="E32" s="110">
        <v>16.843544085781474</v>
      </c>
      <c r="F32" s="110">
        <v>-4.4953206863801825</v>
      </c>
      <c r="G32" s="110">
        <v>9.4683793348867198</v>
      </c>
      <c r="H32" s="158"/>
      <c r="I32" s="158"/>
      <c r="J32" s="158"/>
      <c r="K32" s="158"/>
      <c r="L32" s="158"/>
      <c r="M32" s="158"/>
    </row>
    <row r="33" spans="2:13" s="238" customFormat="1" ht="25.5" customHeight="1" x14ac:dyDescent="0.25">
      <c r="B33" s="332" t="s">
        <v>252</v>
      </c>
      <c r="C33" s="333"/>
      <c r="D33" s="333"/>
      <c r="E33" s="333"/>
      <c r="F33" s="333"/>
      <c r="G33" s="333"/>
      <c r="H33" s="239"/>
      <c r="I33" s="239"/>
      <c r="J33" s="239"/>
      <c r="K33" s="239"/>
      <c r="L33" s="239"/>
      <c r="M33" s="239"/>
    </row>
    <row r="34" spans="2:13" ht="21.95" customHeight="1" thickBot="1" x14ac:dyDescent="0.25">
      <c r="B34" s="330" t="s">
        <v>253</v>
      </c>
      <c r="C34" s="331"/>
      <c r="D34" s="331"/>
      <c r="E34" s="331"/>
      <c r="F34" s="331"/>
      <c r="G34" s="331"/>
    </row>
  </sheetData>
  <mergeCells count="4">
    <mergeCell ref="C3:G3"/>
    <mergeCell ref="C4:G4"/>
    <mergeCell ref="B34:G34"/>
    <mergeCell ref="B33:G33"/>
  </mergeCells>
  <conditionalFormatting sqref="C6:G32">
    <cfRule type="cellIs" dxfId="0" priority="1" stopIfTrue="1" operator="equal">
      <formula>"End"</formula>
    </cfRule>
  </conditionalFormatting>
  <hyperlinks>
    <hyperlink ref="A1" location="Contents!A1" display="Contents!A1" xr:uid="{94A396B7-16FC-44EE-852A-EE8FCF57E6DF}"/>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Comments xmlns="948fa257-3e14-4b75-aa1a-a7f998a43203" xsi:nil="true"/>
    <lcf76f155ced4ddcb4097134ff3c332f xmlns="948fa257-3e14-4b75-aa1a-a7f998a43203">
      <Terms xmlns="http://schemas.microsoft.com/office/infopath/2007/PartnerControls"/>
    </lcf76f155ced4ddcb4097134ff3c332f>
    <_Flow_SignoffStatus xmlns="948fa257-3e14-4b75-aa1a-a7f998a43203" xsi:nil="true"/>
    <TaxCatchAll xmlns="cbf196e1-5475-4219-bccf-433101613419"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42C96ACA46833F4AB1D2CC4806521168" ma:contentTypeVersion="16" ma:contentTypeDescription="Create a new document." ma:contentTypeScope="" ma:versionID="79f908cf4e90f160875085e7739a17b2">
  <xsd:schema xmlns:xsd="http://www.w3.org/2001/XMLSchema" xmlns:xs="http://www.w3.org/2001/XMLSchema" xmlns:p="http://schemas.microsoft.com/office/2006/metadata/properties" xmlns:ns2="948fa257-3e14-4b75-aa1a-a7f998a43203" xmlns:ns3="cbf196e1-5475-4219-bccf-433101613419" targetNamespace="http://schemas.microsoft.com/office/2006/metadata/properties" ma:root="true" ma:fieldsID="2c1f67c917442b5ef3663deebdf58122" ns2:_="" ns3:_="">
    <xsd:import namespace="948fa257-3e14-4b75-aa1a-a7f998a43203"/>
    <xsd:import namespace="cbf196e1-5475-4219-bccf-43310161341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Comments" minOccurs="0"/>
                <xsd:element ref="ns2:_Flow_SignoffStatu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element ref="ns2:MediaServiceBillingMetadata"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48fa257-3e14-4b75-aa1a-a7f998a4320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Comments" ma:index="12" nillable="true" ma:displayName="Comments" ma:format="Dropdown" ma:internalName="Comments">
      <xsd:simpleType>
        <xsd:restriction base="dms:Note">
          <xsd:maxLength value="255"/>
        </xsd:restriction>
      </xsd:simpleType>
    </xsd:element>
    <xsd:element name="_Flow_SignoffStatus" ma:index="13" nillable="true" ma:displayName="Sign-off status" ma:internalName="_x0024_Resources_x003a_core_x002c_Signoff_Status">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9002b6cd-6bc3-456d-8dd0-19fe32dddaf9"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BillingMetadata" ma:index="22" nillable="true" ma:displayName="MediaServiceBillingMetadata" ma:hidden="true" ma:internalName="MediaServiceBillingMetadata" ma:readOnly="true">
      <xsd:simpleType>
        <xsd:restriction base="dms:Note"/>
      </xsd:simpleType>
    </xsd:element>
    <xsd:element name="MediaServiceLocation" ma:index="23" nillable="true" ma:displayName="Location" ma:descrip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cbf196e1-5475-4219-bccf-433101613419"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74da1153-f629-4049-9f79-97e51e6e5933}" ma:internalName="TaxCatchAll" ma:showField="CatchAllData" ma:web="cbf196e1-5475-4219-bccf-43310161341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F9A4456-6C12-4614-A9ED-9575E5872971}">
  <ds:schemaRefs>
    <ds:schemaRef ds:uri="http://schemas.microsoft.com/sharepoint/v3/contenttype/forms"/>
  </ds:schemaRefs>
</ds:datastoreItem>
</file>

<file path=customXml/itemProps2.xml><?xml version="1.0" encoding="utf-8"?>
<ds:datastoreItem xmlns:ds="http://schemas.openxmlformats.org/officeDocument/2006/customXml" ds:itemID="{AB02D6C2-C8F3-482B-AF37-C6D69D36849B}">
  <ds:schemaRefs>
    <ds:schemaRef ds:uri="http://purl.org/dc/dcmitype/"/>
    <ds:schemaRef ds:uri="http://schemas.microsoft.com/office/2006/metadata/properties"/>
    <ds:schemaRef ds:uri="948fa257-3e14-4b75-aa1a-a7f998a43203"/>
    <ds:schemaRef ds:uri="http://purl.org/dc/elements/1.1/"/>
    <ds:schemaRef ds:uri="http://schemas.microsoft.com/office/2006/documentManagement/types"/>
    <ds:schemaRef ds:uri="http://schemas.microsoft.com/office/infopath/2007/PartnerControls"/>
    <ds:schemaRef ds:uri="http://www.w3.org/XML/1998/namespace"/>
    <ds:schemaRef ds:uri="http://schemas.openxmlformats.org/package/2006/metadata/core-properties"/>
    <ds:schemaRef ds:uri="cbf196e1-5475-4219-bccf-433101613419"/>
    <ds:schemaRef ds:uri="http://purl.org/dc/terms/"/>
  </ds:schemaRefs>
</ds:datastoreItem>
</file>

<file path=customXml/itemProps3.xml><?xml version="1.0" encoding="utf-8"?>
<ds:datastoreItem xmlns:ds="http://schemas.openxmlformats.org/officeDocument/2006/customXml" ds:itemID="{38917F5E-5D18-4A09-AFEF-F83D231F330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48fa257-3e14-4b75-aa1a-a7f998a43203"/>
    <ds:schemaRef ds:uri="cbf196e1-5475-4219-bccf-43310161341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ed1644c5-05e0-49e6-bc39-fcf7ac51c18c}" enabled="0" method="" siteId="{ed1644c5-05e0-49e6-bc39-fcf7ac51c18c}" removed="1"/>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Contents</vt:lpstr>
      <vt:lpstr>Annex A</vt:lpstr>
      <vt:lpstr>TA.1</vt:lpstr>
      <vt:lpstr>TA.2</vt:lpstr>
      <vt:lpstr>TA.3</vt:lpstr>
      <vt:lpstr>TA.4</vt:lpstr>
      <vt:lpstr>TA.5</vt:lpstr>
      <vt:lpstr>TA.6</vt:lpstr>
      <vt:lpstr>TA.7</vt:lpstr>
      <vt:lpstr>TA.8</vt:lpstr>
      <vt:lpstr>TA.9</vt:lpstr>
      <vt:lpstr>TA.10</vt:lpstr>
      <vt:lpstr>TA.11</vt:lpstr>
      <vt:lpstr>TA.12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Ansari, Zainab - OBR</dc:creator>
  <cp:keywords/>
  <dc:description/>
  <cp:lastModifiedBy>Hall-Strutt, Kate - OBR</cp:lastModifiedBy>
  <cp:revision/>
  <dcterms:created xsi:type="dcterms:W3CDTF">2024-10-28T13:08:34Z</dcterms:created>
  <dcterms:modified xsi:type="dcterms:W3CDTF">2026-10-27T17:42:44Z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0x01010042C96ACA46833F4AB1D2CC4806521168</vt:lpwstr>
  </property>
  <property fmtid="{D5CDD505-2E9C-101B-9397-08002B2CF9AE}" pid="3" name="MediaServiceImageTags">
    <vt:lpwstr/>
  </property>
</Properties>
</file>