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lsecloud.sharepoint.com/sites/SPP-Growth-Lab/Shared Documents/Themed week/International labour/Ukraine/"/>
    </mc:Choice>
  </mc:AlternateContent>
  <xr:revisionPtr revIDLastSave="0" documentId="8_{7FCFA4D3-3A5A-49D5-96F7-51FAE6FF490D}" xr6:coauthVersionLast="47" xr6:coauthVersionMax="47" xr10:uidLastSave="{00000000-0000-0000-0000-000000000000}"/>
  <bookViews>
    <workbookView xWindow="-98" yWindow="-98" windowWidth="19396" windowHeight="11475" firstSheet="2" activeTab="2" xr2:uid="{431A1311-E932-452C-9AF3-E0FE0D4A5057}"/>
  </bookViews>
  <sheets>
    <sheet name="Figure 1" sheetId="1" r:id="rId1"/>
    <sheet name="Figure 2" sheetId="2" r:id="rId2"/>
    <sheet name="Figure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2" i="1"/>
</calcChain>
</file>

<file path=xl/sharedStrings.xml><?xml version="1.0" encoding="utf-8"?>
<sst xmlns="http://schemas.openxmlformats.org/spreadsheetml/2006/main" count="31" uniqueCount="30">
  <si>
    <t>country</t>
  </si>
  <si>
    <t>Number of refugees (thousands)</t>
  </si>
  <si>
    <t>Germany</t>
  </si>
  <si>
    <t>Poland</t>
  </si>
  <si>
    <t>Czech Republic</t>
  </si>
  <si>
    <t>United Kingdom</t>
  </si>
  <si>
    <t>Spain</t>
  </si>
  <si>
    <t>Romania</t>
  </si>
  <si>
    <t>Italy</t>
  </si>
  <si>
    <t>Slovakia</t>
  </si>
  <si>
    <t>Moldova</t>
  </si>
  <si>
    <t>Netherlands</t>
  </si>
  <si>
    <t>Educational level</t>
  </si>
  <si>
    <t>%</t>
  </si>
  <si>
    <t>Degree level or above (bachelor’s, master’s, or doctoral degree)</t>
  </si>
  <si>
    <t>Vocational qualifications or qualifications specific to your job</t>
  </si>
  <si>
    <t>Academic qualification below degree level</t>
  </si>
  <si>
    <t xml:space="preserve">No qualification </t>
  </si>
  <si>
    <t>Reasons to remain in the UK</t>
  </si>
  <si>
    <t>Other</t>
  </si>
  <si>
    <t>Access to healthcare</t>
  </si>
  <si>
    <t>Access to other public services</t>
  </si>
  <si>
    <t>I do not feel ready to move myself or family to another country</t>
  </si>
  <si>
    <t>I have family here</t>
  </si>
  <si>
    <t>Access to education for myself or my family</t>
  </si>
  <si>
    <t>I have a job here</t>
  </si>
  <si>
    <t>I want to be in an English speaking country</t>
  </si>
  <si>
    <t>My quality of life is better in the UK than it will be in Ukraine</t>
  </si>
  <si>
    <t>I feel I have built a life here</t>
  </si>
  <si>
    <t>There are more opportunities for work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</si>
</sst>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3001-2536-43AD-AA20-92B4956619DB}">
  <dimension ref="A1:C11"/>
  <sheetViews>
    <sheetView workbookViewId="0">
      <selection activeCell="A11" sqref="A11"/>
    </sheetView>
  </sheetViews>
  <sheetFormatPr defaultRowHeight="14.25"/>
  <cols>
    <col min="2" max="2" width="28.5703125" hidden="1" customWidth="1"/>
    <col min="3" max="3" width="26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f>1243445</f>
        <v>1243445</v>
      </c>
      <c r="C2">
        <f>B2/1000</f>
        <v>1243.4449999999999</v>
      </c>
    </row>
    <row r="3" spans="1:3">
      <c r="A3" t="s">
        <v>3</v>
      </c>
      <c r="B3">
        <v>998070</v>
      </c>
      <c r="C3">
        <f t="shared" ref="C3:C11" si="0">B3/1000</f>
        <v>998.07</v>
      </c>
    </row>
    <row r="4" spans="1:3">
      <c r="A4" t="s">
        <v>4</v>
      </c>
      <c r="B4">
        <v>390000</v>
      </c>
      <c r="C4">
        <f t="shared" si="0"/>
        <v>390</v>
      </c>
    </row>
    <row r="5" spans="1:3">
      <c r="A5" t="s">
        <v>5</v>
      </c>
      <c r="B5">
        <v>254035</v>
      </c>
      <c r="C5">
        <f t="shared" si="0"/>
        <v>254.035</v>
      </c>
    </row>
    <row r="6" spans="1:3">
      <c r="A6" t="s">
        <v>6</v>
      </c>
      <c r="B6">
        <v>223915</v>
      </c>
      <c r="C6">
        <f t="shared" si="0"/>
        <v>223.91499999999999</v>
      </c>
    </row>
    <row r="7" spans="1:3">
      <c r="A7" t="s">
        <v>7</v>
      </c>
      <c r="B7">
        <v>179820</v>
      </c>
      <c r="C7">
        <f t="shared" si="0"/>
        <v>179.82</v>
      </c>
    </row>
    <row r="8" spans="1:3">
      <c r="A8" t="s">
        <v>8</v>
      </c>
      <c r="B8">
        <v>170390</v>
      </c>
      <c r="C8">
        <f t="shared" si="0"/>
        <v>170.39</v>
      </c>
    </row>
    <row r="9" spans="1:3">
      <c r="A9" t="s">
        <v>9</v>
      </c>
      <c r="B9">
        <v>132810</v>
      </c>
      <c r="C9">
        <f t="shared" si="0"/>
        <v>132.81</v>
      </c>
    </row>
    <row r="10" spans="1:3">
      <c r="A10" t="s">
        <v>10</v>
      </c>
      <c r="B10">
        <v>127785</v>
      </c>
      <c r="C10">
        <f t="shared" si="0"/>
        <v>127.785</v>
      </c>
    </row>
    <row r="11" spans="1:3">
      <c r="A11" t="s">
        <v>11</v>
      </c>
      <c r="B11">
        <v>121990</v>
      </c>
      <c r="C11">
        <f t="shared" si="0"/>
        <v>121.99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3268-5EAC-4DB3-9417-DA7A20FAAFD7}">
  <dimension ref="A1:B5"/>
  <sheetViews>
    <sheetView workbookViewId="0">
      <selection activeCell="A11" sqref="A11"/>
    </sheetView>
  </sheetViews>
  <sheetFormatPr defaultRowHeight="14.25"/>
  <cols>
    <col min="1" max="1" width="50" bestFit="1" customWidth="1"/>
    <col min="2" max="2" width="8.85546875" bestFit="1" customWidth="1"/>
    <col min="3" max="3" width="41" bestFit="1" customWidth="1"/>
  </cols>
  <sheetData>
    <row r="1" spans="1:2">
      <c r="A1" t="s">
        <v>12</v>
      </c>
      <c r="B1" t="s">
        <v>13</v>
      </c>
    </row>
    <row r="2" spans="1:2">
      <c r="A2" t="s">
        <v>14</v>
      </c>
      <c r="B2">
        <v>80</v>
      </c>
    </row>
    <row r="3" spans="1:2">
      <c r="A3" t="s">
        <v>15</v>
      </c>
      <c r="B3">
        <v>13</v>
      </c>
    </row>
    <row r="4" spans="1:2">
      <c r="A4" t="s">
        <v>16</v>
      </c>
      <c r="B4">
        <v>3</v>
      </c>
    </row>
    <row r="5" spans="1:2">
      <c r="A5" t="s">
        <v>17</v>
      </c>
      <c r="B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41693-174B-4242-A313-5BEB13F3F82A}">
  <dimension ref="A1:B12"/>
  <sheetViews>
    <sheetView tabSelected="1" workbookViewId="0">
      <selection activeCell="B2" sqref="B2"/>
    </sheetView>
  </sheetViews>
  <sheetFormatPr defaultRowHeight="14.25"/>
  <cols>
    <col min="1" max="1" width="48.42578125" bestFit="1" customWidth="1"/>
  </cols>
  <sheetData>
    <row r="1" spans="1:2">
      <c r="A1" t="s">
        <v>18</v>
      </c>
      <c r="B1" t="s">
        <v>13</v>
      </c>
    </row>
    <row r="2" spans="1:2">
      <c r="A2" t="s">
        <v>19</v>
      </c>
      <c r="B2">
        <v>8</v>
      </c>
    </row>
    <row r="3" spans="1:2">
      <c r="A3" t="s">
        <v>20</v>
      </c>
      <c r="B3">
        <v>26</v>
      </c>
    </row>
    <row r="4" spans="1:2">
      <c r="A4" t="s">
        <v>21</v>
      </c>
      <c r="B4">
        <v>30</v>
      </c>
    </row>
    <row r="5" spans="1:2">
      <c r="A5" t="s">
        <v>22</v>
      </c>
      <c r="B5">
        <v>30</v>
      </c>
    </row>
    <row r="6" spans="1:2">
      <c r="A6" t="s">
        <v>23</v>
      </c>
      <c r="B6">
        <v>44</v>
      </c>
    </row>
    <row r="7" spans="1:2">
      <c r="A7" t="s">
        <v>24</v>
      </c>
      <c r="B7">
        <v>49</v>
      </c>
    </row>
    <row r="8" spans="1:2">
      <c r="A8" t="s">
        <v>25</v>
      </c>
      <c r="B8">
        <v>52</v>
      </c>
    </row>
    <row r="9" spans="1:2">
      <c r="A9" t="s">
        <v>26</v>
      </c>
      <c r="B9">
        <v>56</v>
      </c>
    </row>
    <row r="10" spans="1:2">
      <c r="A10" t="s">
        <v>27</v>
      </c>
      <c r="B10">
        <v>56</v>
      </c>
    </row>
    <row r="11" spans="1:2">
      <c r="A11" t="s">
        <v>28</v>
      </c>
      <c r="B11">
        <v>59</v>
      </c>
    </row>
    <row r="12" spans="1:2">
      <c r="A12" t="s">
        <v>29</v>
      </c>
      <c r="B12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084A4626D84A98EDB8AFF445E440" ma:contentTypeVersion="12" ma:contentTypeDescription="Create a new document." ma:contentTypeScope="" ma:versionID="0e2d59e106bc889af93eb9051ee238a4">
  <xsd:schema xmlns:xsd="http://www.w3.org/2001/XMLSchema" xmlns:xs="http://www.w3.org/2001/XMLSchema" xmlns:p="http://schemas.microsoft.com/office/2006/metadata/properties" xmlns:ns2="ddeb3276-f0d2-4dc8-a738-b015e156e8d7" xmlns:ns3="160d8335-e414-497b-b6b2-10c650911aa3" targetNamespace="http://schemas.microsoft.com/office/2006/metadata/properties" ma:root="true" ma:fieldsID="5a615f014d591e51f3be3d7159b9f48f" ns2:_="" ns3:_="">
    <xsd:import namespace="ddeb3276-f0d2-4dc8-a738-b015e156e8d7"/>
    <xsd:import namespace="160d8335-e414-497b-b6b2-10c650911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eb3276-f0d2-4dc8-a738-b015e156e8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c64bf66-3ab6-4740-8ae4-bf44781f38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d8335-e414-497b-b6b2-10c650911aa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68e8d31-2799-4ff9-abf0-3119a6592127}" ma:internalName="TaxCatchAll" ma:showField="CatchAllData" ma:web="160d8335-e414-497b-b6b2-10c650911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0d8335-e414-497b-b6b2-10c650911aa3" xsi:nil="true"/>
    <lcf76f155ced4ddcb4097134ff3c332f xmlns="ddeb3276-f0d2-4dc8-a738-b015e156e8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2D85EC-CEEA-409C-BB20-7A3353724CFF}"/>
</file>

<file path=customXml/itemProps2.xml><?xml version="1.0" encoding="utf-8"?>
<ds:datastoreItem xmlns:ds="http://schemas.openxmlformats.org/officeDocument/2006/customXml" ds:itemID="{E6E072C5-3B65-4390-AFEC-2D2EC1CB2604}"/>
</file>

<file path=customXml/itemProps3.xml><?xml version="1.0" encoding="utf-8"?>
<ds:datastoreItem xmlns:ds="http://schemas.openxmlformats.org/officeDocument/2006/customXml" ds:itemID="{B2EB2E81-6829-4723-BBCC-44F99BACC0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Arroyo From</dc:creator>
  <cp:keywords/>
  <dc:description/>
  <cp:lastModifiedBy/>
  <cp:revision/>
  <dcterms:created xsi:type="dcterms:W3CDTF">2025-10-24T08:55:34Z</dcterms:created>
  <dcterms:modified xsi:type="dcterms:W3CDTF">2025-10-26T08:06:05Z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0x0101005D96084A4626D84A98EDB8AFF445E440</vt:lpwstr>
  </property>
</Properties>
</file>