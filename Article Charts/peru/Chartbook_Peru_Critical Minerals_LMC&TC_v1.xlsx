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tiffanylam/Desktop/LSE/Year 2/Growth Lab/RADataHub/Article Charts/peru/"/>
    </mc:Choice>
  </mc:AlternateContent>
  <xr:revisionPtr revIDLastSave="0" documentId="13_ncr:1_{044446A6-8C74-1248-801E-0F4743E96E8C}" xr6:coauthVersionLast="47" xr6:coauthVersionMax="47" xr10:uidLastSave="{00000000-0000-0000-0000-000000000000}"/>
  <bookViews>
    <workbookView xWindow="28960" yWindow="660" windowWidth="18980" windowHeight="20780" activeTab="1" xr2:uid="{870548DC-9C05-4490-94E9-602C6F3D4CF6}"/>
  </bookViews>
  <sheets>
    <sheet name="Chart 1" sheetId="5" r:id="rId1"/>
    <sheet name="Chart 2" sheetId="6" r:id="rId2"/>
    <sheet name="Chart 3" sheetId="1" r:id="rId3"/>
    <sheet name="Chart 4" sheetId="2" r:id="rId4"/>
    <sheet name="Chart 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D4" i="6"/>
  <c r="D5" i="6"/>
  <c r="D6" i="6"/>
  <c r="D7" i="6"/>
  <c r="D8" i="6"/>
  <c r="D9" i="6"/>
  <c r="D10" i="6"/>
  <c r="D11" i="6"/>
  <c r="D12" i="6"/>
  <c r="D13" i="6"/>
  <c r="D14" i="6"/>
  <c r="D15" i="6"/>
  <c r="D16" i="6"/>
  <c r="D17" i="6"/>
  <c r="D18" i="6"/>
  <c r="D19" i="6"/>
  <c r="D20" i="6"/>
  <c r="D21" i="6"/>
  <c r="D22" i="6"/>
  <c r="D2" i="6"/>
  <c r="D800" i="5"/>
  <c r="D506" i="5"/>
  <c r="D518" i="5"/>
  <c r="D530" i="5"/>
  <c r="D542" i="5"/>
  <c r="D554" i="5"/>
  <c r="D566" i="5"/>
  <c r="D578" i="5"/>
  <c r="D590" i="5"/>
  <c r="D602" i="5"/>
  <c r="D614" i="5"/>
  <c r="D626" i="5"/>
  <c r="D638" i="5"/>
  <c r="D650" i="5"/>
  <c r="D662" i="5"/>
  <c r="D674" i="5"/>
  <c r="D686" i="5"/>
  <c r="D698" i="5"/>
  <c r="D710" i="5"/>
  <c r="D722" i="5"/>
  <c r="D734" i="5"/>
  <c r="D746" i="5"/>
  <c r="D758" i="5"/>
  <c r="D770" i="5"/>
  <c r="D782" i="5"/>
  <c r="D794" i="5"/>
  <c r="D494" i="5"/>
  <c r="G4" i="2"/>
  <c r="G5" i="2"/>
  <c r="G6" i="2"/>
  <c r="G7" i="2"/>
  <c r="G8" i="2"/>
  <c r="G9" i="2"/>
  <c r="G10" i="2"/>
  <c r="G11" i="2"/>
  <c r="G12" i="2"/>
  <c r="G13" i="2"/>
  <c r="G3" i="2"/>
  <c r="C31" i="2"/>
  <c r="D4" i="2"/>
  <c r="D5" i="2"/>
  <c r="D6" i="2"/>
  <c r="D7" i="2"/>
  <c r="D8" i="2"/>
  <c r="D9" i="2"/>
  <c r="D10" i="2"/>
  <c r="D11" i="2"/>
  <c r="D12" i="2"/>
  <c r="D13" i="2"/>
  <c r="D3" i="2"/>
</calcChain>
</file>

<file path=xl/sharedStrings.xml><?xml version="1.0" encoding="utf-8"?>
<sst xmlns="http://schemas.openxmlformats.org/spreadsheetml/2006/main" count="843" uniqueCount="842">
  <si>
    <t>Number of jurisdictions</t>
  </si>
  <si>
    <t>Source: Fraser Institute.</t>
  </si>
  <si>
    <t>GDP growth (annual % change)</t>
  </si>
  <si>
    <t>% of jurisdictions below Peru in the global ranking</t>
  </si>
  <si>
    <t>Jurisdiction</t>
  </si>
  <si>
    <t>Score</t>
  </si>
  <si>
    <t>Peru</t>
  </si>
  <si>
    <t>Chile</t>
  </si>
  <si>
    <t>Brazil</t>
  </si>
  <si>
    <t>Mexico</t>
  </si>
  <si>
    <t>Colombia</t>
  </si>
  <si>
    <t>Ecuador</t>
  </si>
  <si>
    <t>Bolivia</t>
  </si>
  <si>
    <t>Argentina</t>
  </si>
  <si>
    <t>Argentina (San Juan)</t>
  </si>
  <si>
    <t>Argentina (Santa Cruz)</t>
  </si>
  <si>
    <t>Argentina (Mendoza)</t>
  </si>
  <si>
    <t>Argentina (Neuquen)</t>
  </si>
  <si>
    <t>Argentina (Chubut)</t>
  </si>
  <si>
    <t>Chart 2. Mining Investment Attractiveness Index: Peru and regional peers, 2025</t>
  </si>
  <si>
    <t>Legal</t>
  </si>
  <si>
    <t>Ilegal</t>
  </si>
  <si>
    <t>*/ Gold of legal origin corresponds to production reported to Ministry of Energy and Mining, excluding its production estimates attributed to the regions of Arequipa, Madre de Dios, Piura and Puno. Gold of illegal origin is estimated as the difference between official export records and recorded gold production.</t>
  </si>
  <si>
    <t>Note: According to the Central Reserve Bank of Peru, the total volume of gold exported includes estimates of shipments not recorded by Customs</t>
  </si>
  <si>
    <t>*/ Note: 2020 and 2021 are omitted because the pandemic-driven contraction and rebound distort the scale. The 2026 copper price is the average through June 2026, and 2026 GDP growth is the IMF forecast.</t>
  </si>
  <si>
    <t>Source: Peruvian Institute of Economics; Fraser Institute, Annual Survey of Mining Companies 2025 (2026)</t>
  </si>
  <si>
    <t>Source: Peruvian Institute of Economics calculations based on data from the Ministry of Energy and Mines and the Central Reserve Bank of Peru.</t>
  </si>
  <si>
    <t>(tonnes)</t>
  </si>
  <si>
    <t>Copper</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</si>
  <si>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</si>
  <si>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</si>
  <si>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</si>
  <si>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</si>
  <si>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</si>
  <si>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</si>
  <si>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</si>
  <si>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</si>
  <si>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</si>
  <si>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</si>
  <si>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</si>
  <si>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</si>
  <si>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</si>
  <si>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</si>
  <si>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</si>
  <si>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</si>
  <si>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</si>
  <si>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</si>
  <si>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</si>
  <si>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</si>
  <si>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</si>
  <si>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</si>
  <si>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</si>
  <si>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</si>
  <si>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</si>
  <si>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</si>
  <si>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</si>
  <si>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</si>
  <si>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</si>
  <si>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</si>
  <si>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</si>
  <si>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</si>
  <si>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</si>
  <si>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</si>
  <si>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</si>
  <si>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</si>
  <si>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</si>
  <si>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</si>
  <si>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</si>
  <si>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</si>
  <si>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</si>
  <si>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</si>
  <si>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</si>
  <si>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</si>
  <si>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</si>
  <si>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</si>
  <si>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</si>
  <si>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</si>
  <si>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</si>
  <si>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</si>
  <si>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</si>
  <si>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</si>
  <si>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</si>
  <si>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</si>
  <si>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</si>
  <si>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</si>
  <si>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</si>
  <si>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</si>
  <si>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</si>
  <si>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</si>
  <si>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</si>
  <si>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</si>
  <si>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</si>
  <si>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</si>
  <si>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</si>
  <si>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</si>
  <si>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</si>
  <si>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</si>
  <si>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</si>
  <si>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</si>
  <si>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</si>
  <si>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</si>
  <si>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</si>
  <si>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</si>
  <si>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</si>
  <si>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</si>
  <si>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</si>
  <si>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</si>
  <si>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</si>
  <si>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</si>
  <si>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</si>
  <si>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</si>
  <si>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</si>
  <si>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</si>
  <si>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</si>
  <si>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</si>
  <si>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</si>
  <si>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</si>
  <si>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</si>
  <si>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</si>
  <si>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</si>
  <si>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</si>
  <si>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</si>
  <si>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</si>
  <si>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</si>
  <si>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</si>
  <si>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</si>
  <si>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</si>
  <si>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</si>
  <si>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</si>
  <si>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</si>
  <si>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</si>
  <si>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</si>
  <si>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</si>
  <si>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</si>
  <si>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</si>
  <si>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</si>
  <si>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</si>
  <si>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</si>
  <si>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</si>
  <si>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</si>
  <si>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</si>
  <si>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</si>
  <si>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</si>
  <si>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</si>
  <si>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</si>
  <si>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</si>
  <si>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</si>
  <si>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</si>
  <si>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</si>
  <si>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</si>
  <si>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</si>
  <si>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</si>
  <si>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</si>
  <si>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</si>
  <si>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</si>
  <si>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</si>
  <si>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</si>
  <si>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</si>
  <si>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</si>
  <si>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</si>
  <si>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</si>
  <si>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</si>
  <si>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</si>
  <si>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</si>
  <si>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</si>
  <si>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</si>
  <si>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</si>
  <si>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</si>
  <si>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</si>
  <si>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</si>
  <si>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</si>
  <si>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</si>
  <si>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</si>
  <si>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</si>
  <si>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</si>
  <si>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</si>
  <si>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</si>
  <si>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</si>
  <si>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</si>
  <si>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</si>
  <si>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</si>
  <si>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</si>
  <si>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</si>
  <si>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</si>
  <si>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</si>
  <si>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</si>
  <si>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</si>
  <si>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</si>
  <si>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</si>
  <si>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</si>
  <si>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</si>
  <si>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</si>
  <si>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</si>
  <si>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</si>
  <si>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</si>
  <si>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</si>
  <si>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</si>
  <si>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</si>
  <si>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</si>
  <si>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</si>
  <si>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</si>
  <si>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</si>
  <si>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</si>
  <si>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</si>
  <si>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</si>
  <si>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</si>
  <si>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</si>
  <si>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</si>
  <si>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</si>
  <si>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</si>
  <si>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</si>
  <si>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</si>
  <si>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</si>
  <si>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</si>
  <si>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</si>
  <si>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</si>
  <si>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</si>
  <si>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</si>
  <si>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</si>
  <si>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</si>
  <si>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</si>
  <si>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</si>
  <si>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</si>
  <si>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</si>
  <si>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</si>
  <si>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</si>
  <si>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</si>
  <si>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</si>
  <si>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</si>
  <si>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</si>
  <si>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</si>
  <si>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</si>
  <si>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</si>
  <si>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</si>
  <si>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</si>
  <si>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</si>
  <si>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</si>
  <si>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</si>
  <si>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</si>
  <si>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</si>
  <si>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</si>
  <si>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</si>
  <si>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</si>
  <si>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</si>
  <si>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</si>
  <si>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</si>
  <si>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</si>
  <si>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</si>
  <si>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</si>
  <si>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</si>
  <si>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</si>
  <si>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</si>
  <si>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</si>
  <si>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</si>
  <si>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</si>
  <si>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</si>
  <si>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</si>
  <si>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</si>
  <si>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</si>
  <si>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</si>
  <si>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</si>
  <si>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</si>
  <si>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</si>
  <si>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</si>
  <si>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</si>
  <si>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</si>
  <si>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</si>
  <si>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</si>
  <si>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</si>
  <si>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</si>
  <si>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</si>
  <si>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</si>
  <si>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</si>
  <si>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</si>
  <si>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</si>
  <si>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</si>
  <si>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</si>
  <si>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</si>
  <si>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</si>
  <si>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</si>
  <si>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</si>
  <si>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</si>
  <si>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</si>
  <si>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</si>
  <si>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</si>
  <si>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</si>
  <si>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</si>
  <si>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</si>
  <si>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</si>
  <si>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</si>
  <si>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</si>
  <si>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</si>
  <si>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</si>
  <si>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</si>
  <si>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</si>
  <si>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</si>
  <si>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</si>
  <si>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</si>
  <si>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</si>
  <si>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</si>
  <si>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</si>
  <si>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</si>
  <si>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</si>
  <si>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</si>
  <si>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</si>
  <si>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</si>
  <si>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</si>
  <si>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</si>
  <si>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</si>
  <si>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</si>
  <si>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</si>
  <si>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</si>
  <si>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</si>
  <si>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</si>
  <si>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</si>
  <si>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</si>
  <si>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</si>
  <si>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</si>
  <si>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</si>
  <si>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</si>
  <si>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</si>
  <si>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</si>
  <si>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</si>
  <si>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</si>
  <si>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</si>
  <si>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</si>
  <si>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</si>
  <si>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</si>
  <si>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</si>
  <si>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</si>
  <si>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</si>
  <si>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</si>
  <si>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</si>
  <si>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</si>
  <si>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</si>
  <si>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</si>
  <si>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</si>
  <si>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</si>
  <si>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</si>
  <si>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</si>
  <si>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</si>
  <si>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</si>
  <si>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</si>
  <si>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</si>
  <si>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</si>
  <si>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</si>
  <si>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</si>
  <si>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</si>
  <si>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</si>
  <si>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</si>
  <si>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</si>
  <si>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</si>
  <si>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</si>
  <si>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</si>
  <si>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</si>
  <si>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</si>
  <si>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</si>
  <si>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</si>
  <si>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</si>
  <si>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</si>
  <si>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</si>
  <si>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</si>
  <si>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</si>
  <si>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</si>
  <si>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</si>
  <si>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</si>
  <si>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</si>
  <si>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</si>
  <si>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</si>
  <si>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</si>
  <si>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</si>
  <si>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</si>
  <si>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</si>
  <si>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</si>
  <si>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</si>
  <si>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</si>
  <si>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</si>
  <si>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</si>
  <si>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</si>
  <si>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</si>
  <si>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</si>
  <si>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</si>
  <si>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</si>
  <si>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</si>
  <si>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</si>
  <si>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</si>
  <si>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</si>
  <si>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</si>
  <si>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</si>
  <si>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</si>
  <si>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</si>
  <si>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</si>
  <si>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</si>
  <si>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</si>
  <si>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</si>
  <si>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</si>
  <si>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</si>
  <si>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</si>
  <si>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</si>
  <si>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</si>
  <si>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</si>
  <si>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</si>
  <si>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</si>
  <si>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</si>
  <si>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</si>
  <si>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</si>
  <si>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</si>
  <si>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</si>
  <si>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</si>
  <si>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</si>
  <si>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</si>
  <si>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</si>
  <si>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</si>
  <si>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</si>
  <si>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</si>
  <si>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</si>
  <si>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</si>
  <si>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</si>
  <si>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</si>
  <si>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</si>
  <si>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</si>
  <si>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</si>
  <si>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</si>
  <si>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</si>
  <si>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</si>
  <si>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</si>
  <si>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</si>
  <si>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</si>
  <si>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</si>
  <si>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</si>
  <si>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</si>
  <si>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</si>
  <si>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</si>
  <si>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</si>
  <si>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</si>
  <si>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</si>
  <si>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</si>
  <si>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</si>
  <si>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</si>
  <si>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</si>
  <si>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</si>
  <si>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</si>
  <si>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</si>
  <si>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</si>
  <si>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</si>
  <si>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</si>
  <si>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</si>
  <si>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</si>
  <si>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</si>
  <si>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</si>
  <si>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</si>
  <si>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</si>
  <si>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</si>
  <si>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</si>
  <si>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</si>
  <si>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</si>
  <si>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</si>
  <si>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</si>
  <si>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</si>
  <si>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</si>
  <si>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</si>
  <si>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</si>
  <si>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</si>
  <si>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</si>
  <si>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</si>
  <si>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</si>
  <si>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</si>
  <si>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</si>
  <si>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</si>
  <si>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</si>
  <si>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</si>
  <si>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</si>
  <si>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</si>
  <si>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</si>
  <si>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</si>
  <si>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</si>
  <si>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</si>
  <si>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</si>
  <si>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</si>
  <si>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</si>
  <si>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</si>
  <si>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</si>
  <si>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</si>
  <si>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</si>
  <si>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</si>
  <si>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</si>
  <si>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</si>
  <si>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</si>
  <si>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</si>
  <si>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</si>
  <si>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</si>
  <si>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</si>
  <si>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</si>
  <si>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</si>
  <si>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</si>
  <si>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</si>
  <si>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</si>
  <si>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</si>
  <si>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</si>
  <si>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</si>
  <si>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</si>
  <si>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</si>
  <si>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</si>
  <si>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</si>
  <si>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</si>
  <si>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</si>
  <si>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</si>
  <si>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</si>
  <si>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</si>
  <si>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</si>
  <si>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</si>
  <si>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</si>
  <si>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</si>
  <si>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</si>
  <si>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</si>
  <si>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</si>
  <si>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</si>
  <si>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</si>
  <si>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</si>
  <si>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</si>
  <si>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</si>
  <si>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</si>
  <si>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</si>
  <si>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</si>
  <si>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</si>
  <si>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</si>
  <si>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</si>
  <si>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</si>
  <si>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</si>
  <si>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</si>
  <si>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</si>
  <si>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</si>
  <si>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</si>
  <si>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</si>
  <si>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</si>
  <si>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</si>
  <si>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</si>
  <si>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</si>
  <si>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</si>
  <si>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</si>
  <si>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</si>
  <si>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</si>
  <si>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</si>
  <si>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</si>
  <si>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</si>
  <si>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</si>
  <si>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</si>
  <si>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</si>
  <si>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</si>
  <si>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</si>
  <si>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</si>
  <si>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</si>
  <si>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</si>
  <si>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</si>
  <si>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</si>
  <si>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</si>
  <si>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</si>
  <si>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</si>
  <si>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</si>
  <si>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</si>
  <si>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</si>
  <si>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</si>
  <si>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</si>
  <si>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</si>
  <si>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</si>
  <si>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</si>
  <si>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</si>
  <si>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</si>
  <si>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</si>
  <si>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</si>
  <si>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</si>
  <si>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</si>
  <si>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</si>
  <si>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</si>
  <si>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</si>
  <si>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</si>
  <si>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</si>
  <si>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</si>
  <si>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</si>
  <si>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</si>
  <si>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</si>
  <si>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</si>
  <si>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</si>
  <si>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</si>
  <si>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</si>
  <si>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</si>
  <si>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</si>
  <si>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</si>
  <si>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</si>
  <si>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</si>
  <si>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</si>
  <si>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</si>
  <si>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</si>
  <si>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</si>
  <si>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</si>
  <si>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</si>
  <si>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</si>
  <si>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</si>
  <si>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</si>
  <si>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</si>
  <si>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</si>
  <si>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</si>
  <si>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</si>
  <si>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</si>
  <si>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</si>
  <si>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</si>
  <si>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</si>
  <si>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</si>
  <si>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</si>
  <si>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</si>
  <si>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</si>
  <si>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</si>
  <si>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</si>
  <si>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</si>
  <si>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</si>
  <si>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</si>
  <si>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</si>
  <si>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</si>
  <si>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</si>
  <si>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</si>
  <si>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</si>
  <si>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</si>
  <si>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</si>
  <si>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</si>
  <si>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</si>
  <si>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</si>
  <si>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</si>
  <si>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</si>
  <si>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</si>
  <si>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</si>
  <si>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</si>
  <si>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</si>
  <si>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</si>
  <si>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</si>
  <si>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</si>
  <si>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</si>
  <si>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</si>
  <si>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</si>
  <si>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</si>
  <si>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</si>
  <si>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</si>
  <si>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</si>
  <si>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</si>
  <si>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</si>
  <si>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</si>
  <si>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</si>
  <si>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</si>
  <si>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</si>
  <si>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</si>
  <si>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</si>
  <si>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</si>
  <si>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</si>
  <si>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</si>
  <si>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</si>
  <si>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</si>
  <si>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</si>
  <si>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</si>
  <si>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</si>
  <si>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</si>
  <si>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</si>
  <si>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</si>
  <si>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</si>
  <si>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</si>
  <si>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</si>
  <si>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</si>
  <si>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</si>
  <si>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</si>
  <si>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</si>
  <si>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</si>
  <si>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</si>
  <si>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</si>
  <si>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</si>
  <si>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</si>
  <si>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</si>
  <si>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</si>
  <si>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</si>
  <si>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</si>
  <si>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</si>
  <si>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</si>
  <si>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</si>
  <si>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</si>
  <si>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</si>
  <si>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</si>
  <si>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</si>
  <si>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</si>
  <si>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</si>
  <si>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</si>
  <si>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</si>
  <si>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</si>
  <si>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</si>
  <si>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</si>
  <si>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</si>
  <si>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</si>
  <si>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</si>
  <si>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</si>
  <si>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</si>
  <si>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</si>
  <si>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</si>
  <si>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</si>
  <si>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</si>
  <si>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</si>
  <si>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</si>
  <si>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</si>
  <si>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</si>
  <si>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</si>
  <si>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</si>
  <si>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</si>
  <si>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</si>
  <si>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</si>
  <si>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</si>
  <si>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</si>
  <si>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</si>
  <si>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</si>
  <si>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</si>
  <si>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</si>
  <si>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</si>
  <si>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</si>
  <si>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</si>
  <si>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</si>
  <si>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</si>
  <si>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</si>
  <si>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</si>
  <si>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</si>
  <si>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</si>
  <si>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</si>
  <si>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</si>
  <si>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</si>
  <si>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</si>
  <si>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</si>
  <si>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</si>
  <si>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</si>
  <si>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</si>
  <si>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</si>
  <si>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</si>
  <si>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</si>
  <si>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</si>
  <si>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</si>
  <si>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</si>
  <si>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</si>
  <si>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</si>
  <si>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</si>
  <si>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</si>
  <si>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</si>
  <si>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</si>
  <si>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</si>
  <si>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</si>
  <si>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</si>
  <si>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</si>
  <si>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</si>
  <si>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</si>
  <si>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</si>
  <si>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</si>
  <si>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</si>
  <si>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</si>
  <si>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</si>
  <si>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</si>
  <si>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</si>
  <si>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</si>
  <si>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</si>
  <si>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</si>
  <si>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</si>
  <si>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</si>
  <si>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</si>
  <si>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</si>
  <si>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</si>
  <si>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</si>
  <si>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</si>
  <si>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</si>
  <si>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</si>
  <si>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</si>
  <si>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</si>
  <si>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</si>
  <si>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</si>
  <si>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</si>
  <si>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</si>
  <si>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</si>
  <si>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</si>
  <si>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</si>
  <si>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</si>
  <si>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</si>
  <si>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</si>
  <si>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</si>
  <si>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</si>
  <si>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</si>
  <si>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</si>
  <si>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</si>
  <si>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</si>
  <si>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</si>
  <si>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</si>
  <si>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</si>
  <si>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</si>
  <si>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</si>
  <si>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</si>
  <si>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</si>
  <si>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</si>
  <si>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</si>
  <si>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</si>
  <si>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</si>
  <si>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</si>
  <si>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</si>
  <si>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</si>
  <si>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</si>
  <si>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</si>
  <si>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</si>
  <si>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</si>
  <si>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</si>
  <si>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</si>
  <si>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</si>
  <si>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</si>
  <si>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</si>
  <si>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</si>
  <si>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</si>
  <si>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</si>
  <si>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</si>
  <si>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</si>
  <si>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</si>
  <si>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</si>
  <si>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</si>
  <si>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</si>
  <si>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</si>
  <si>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</si>
  <si>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</si>
  <si>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</si>
  <si>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</si>
  <si>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</si>
  <si>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</si>
  <si>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</si>
  <si>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 per pound</t>
  </si>
  <si>
    <t>Copper price ($ per pound, right axis)</t>
  </si>
  <si>
    <t>($ per pound)</t>
  </si>
  <si>
    <t>Source: World Bank</t>
  </si>
  <si>
    <t>Chart 3. Peru's GDP growth and copper price, 2002-2026</t>
  </si>
  <si>
    <t>Source: World Bank; International Monetary Fund, World Economic Outlook.</t>
  </si>
  <si>
    <t>Chart 1. Copper price, 1960-2026*</t>
  </si>
  <si>
    <t>Chart 4. Peru's mining investment attractiveness, 2015-2025</t>
  </si>
  <si>
    <t>Chart 5. Peru's gold exports by origin, 2005-2025*</t>
  </si>
  <si>
    <t>(% of population)</t>
  </si>
  <si>
    <t>LAC</t>
  </si>
  <si>
    <t>Chart 2. Poverty headcount using international line in Peru and LAC, 2004-2024*</t>
  </si>
  <si>
    <t>Source: World Bank (2026), Poverty and Inequality Platform.</t>
  </si>
  <si>
    <t>*/ LAC: Latin America &amp; Caribbean. Poverty headcount is calculated using the $6.85 international poverty line.</t>
  </si>
  <si>
    <t>*/ Monthly data through June 26. Prices are in nominal US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</si>
</sst>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Aptos Narrow"/>
      <family val="2"/>
      <scheme val="minor"/>
    </font>
    <font>
      <sz val="11"/>
      <name val="Aptos Narrow"/>
      <family val="2"/>
      <scheme val="minor"/>
    </font>
    <font>
      <b/>
      <sz val="11"/>
      <name val="Aptos Narrow"/>
      <family val="2"/>
      <scheme val="minor"/>
    </font>
    <font>
      <sz val="9"/>
      <color theme="7"/>
      <name val="ClanPro-Book"/>
      <family val="2"/>
    </font>
    <font>
      <sz val="9"/>
      <name val="Aptos Narrow"/>
      <family val="2"/>
      <scheme val="minor"/>
    </font>
    <font>
      <sz val="1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2" fontId="1" fillId="2" borderId="0" xfId="0" applyNumberFormat="1" applyFont="1" applyFill="1"/>
    <xf numFmtId="0" fontId="2" fillId="2" borderId="0" xfId="0" applyFont="1" applyFill="1"/>
    <xf numFmtId="1" fontId="0" fillId="0" borderId="0" xfId="0" applyNumberFormat="1"/>
    <xf numFmtId="0" fontId="3" fillId="0" borderId="0" xfId="0" applyFont="1" applyAlignment="1">
      <alignment vertical="center" wrapText="1"/>
    </xf>
    <xf numFmtId="0" fontId="2" fillId="0" borderId="0" xfId="0" applyFont="1" applyAlignment="1">
      <alignment vertical="center"/>
    </xf>
    <xf numFmtId="0" fontId="4" fillId="0" borderId="0" xfId="0" applyFont="1" applyAlignment="1">
      <alignment vertical="center"/>
    </xf>
    <xf numFmtId="0" fontId="1" fillId="0" borderId="0" xfId="0" applyFont="1"/>
    <xf numFmtId="0" fontId="1" fillId="0" borderId="0" xfId="0" applyFont="1" applyAlignment="1">
      <alignment vertical="center"/>
    </xf>
    <xf numFmtId="0" fontId="0" fillId="2" borderId="0" xfId="0" applyFill="1"/>
    <xf numFmtId="0" fontId="5" fillId="2" borderId="0" xfId="0" applyFont="1" applyFill="1"/>
    <xf numFmtId="2" fontId="0" fillId="2" borderId="0" xfId="0" applyNumberFormat="1" applyFill="1"/>
    <xf numFmtId="164" fontId="0" fillId="2" borderId="0" xfId="0" applyNumberFormat="1" applyFill="1"/>
    <xf numFmtId="0" fontId="4" fillId="0" borderId="0" xfId="0" applyFont="1" applyAlignment="1">
      <alignment horizontal="left" vertical="center" wrapText="1"/>
    </xf>
    <xf numFmtId="0" fontId="1"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4"/>
              </a:solidFill>
              <a:round/>
            </a:ln>
            <a:effectLst/>
          </c:spPr>
          <c:marker>
            <c:symbol val="none"/>
          </c:marker>
          <c:cat>
            <c:numRef>
              <c:f>'Chart 1'!$A$3:$A$800</c:f>
              <c:numCache>
                <c:formatCode>General</c:formatCode>
                <c:ptCount val="798"/>
                <c:pt idx="0">
                  <c:v>1960</c:v>
                </c:pt>
                <c:pt idx="1">
                  <c:v>1960</c:v>
                </c:pt>
                <c:pt idx="2">
                  <c:v>1960</c:v>
                </c:pt>
                <c:pt idx="3">
                  <c:v>1960</c:v>
                </c:pt>
                <c:pt idx="4">
                  <c:v>1960</c:v>
                </c:pt>
                <c:pt idx="5">
                  <c:v>1960</c:v>
                </c:pt>
                <c:pt idx="6">
                  <c:v>1960</c:v>
                </c:pt>
                <c:pt idx="7">
                  <c:v>1960</c:v>
                </c:pt>
                <c:pt idx="8">
                  <c:v>1960</c:v>
                </c:pt>
                <c:pt idx="9">
                  <c:v>1960</c:v>
                </c:pt>
                <c:pt idx="10">
                  <c:v>1960</c:v>
                </c:pt>
                <c:pt idx="11">
                  <c:v>1960</c:v>
                </c:pt>
                <c:pt idx="12">
                  <c:v>1961</c:v>
                </c:pt>
                <c:pt idx="13">
                  <c:v>1961</c:v>
                </c:pt>
                <c:pt idx="14">
                  <c:v>1961</c:v>
                </c:pt>
                <c:pt idx="15">
                  <c:v>1961</c:v>
                </c:pt>
                <c:pt idx="16">
                  <c:v>1961</c:v>
                </c:pt>
                <c:pt idx="17">
                  <c:v>1961</c:v>
                </c:pt>
                <c:pt idx="18">
                  <c:v>1961</c:v>
                </c:pt>
                <c:pt idx="19">
                  <c:v>1961</c:v>
                </c:pt>
                <c:pt idx="20">
                  <c:v>1961</c:v>
                </c:pt>
                <c:pt idx="21">
                  <c:v>1961</c:v>
                </c:pt>
                <c:pt idx="22">
                  <c:v>1961</c:v>
                </c:pt>
                <c:pt idx="23">
                  <c:v>1961</c:v>
                </c:pt>
                <c:pt idx="24">
                  <c:v>1962</c:v>
                </c:pt>
                <c:pt idx="25">
                  <c:v>1962</c:v>
                </c:pt>
                <c:pt idx="26">
                  <c:v>1962</c:v>
                </c:pt>
                <c:pt idx="27">
                  <c:v>1962</c:v>
                </c:pt>
                <c:pt idx="28">
                  <c:v>1962</c:v>
                </c:pt>
                <c:pt idx="29">
                  <c:v>1962</c:v>
                </c:pt>
                <c:pt idx="30">
                  <c:v>1962</c:v>
                </c:pt>
                <c:pt idx="31">
                  <c:v>1962</c:v>
                </c:pt>
                <c:pt idx="32">
                  <c:v>1962</c:v>
                </c:pt>
                <c:pt idx="33">
                  <c:v>1962</c:v>
                </c:pt>
                <c:pt idx="34">
                  <c:v>1962</c:v>
                </c:pt>
                <c:pt idx="35">
                  <c:v>1962</c:v>
                </c:pt>
                <c:pt idx="36">
                  <c:v>1963</c:v>
                </c:pt>
                <c:pt idx="37">
                  <c:v>1963</c:v>
                </c:pt>
                <c:pt idx="38">
                  <c:v>1963</c:v>
                </c:pt>
                <c:pt idx="39">
                  <c:v>1963</c:v>
                </c:pt>
                <c:pt idx="40">
                  <c:v>1963</c:v>
                </c:pt>
                <c:pt idx="41">
                  <c:v>1963</c:v>
                </c:pt>
                <c:pt idx="42">
                  <c:v>1963</c:v>
                </c:pt>
                <c:pt idx="43">
                  <c:v>1963</c:v>
                </c:pt>
                <c:pt idx="44">
                  <c:v>1963</c:v>
                </c:pt>
                <c:pt idx="45">
                  <c:v>1963</c:v>
                </c:pt>
                <c:pt idx="46">
                  <c:v>1963</c:v>
                </c:pt>
                <c:pt idx="47">
                  <c:v>1963</c:v>
                </c:pt>
                <c:pt idx="48">
                  <c:v>1964</c:v>
                </c:pt>
                <c:pt idx="49">
                  <c:v>1964</c:v>
                </c:pt>
                <c:pt idx="50">
                  <c:v>1964</c:v>
                </c:pt>
                <c:pt idx="51">
                  <c:v>1964</c:v>
                </c:pt>
                <c:pt idx="52">
                  <c:v>1964</c:v>
                </c:pt>
                <c:pt idx="53">
                  <c:v>1964</c:v>
                </c:pt>
                <c:pt idx="54">
                  <c:v>1964</c:v>
                </c:pt>
                <c:pt idx="55">
                  <c:v>1964</c:v>
                </c:pt>
                <c:pt idx="56">
                  <c:v>1964</c:v>
                </c:pt>
                <c:pt idx="57">
                  <c:v>1964</c:v>
                </c:pt>
                <c:pt idx="58">
                  <c:v>1964</c:v>
                </c:pt>
                <c:pt idx="59">
                  <c:v>1964</c:v>
                </c:pt>
                <c:pt idx="60">
                  <c:v>1965</c:v>
                </c:pt>
                <c:pt idx="61">
                  <c:v>1965</c:v>
                </c:pt>
                <c:pt idx="62">
                  <c:v>1965</c:v>
                </c:pt>
                <c:pt idx="63">
                  <c:v>1965</c:v>
                </c:pt>
                <c:pt idx="64">
                  <c:v>1965</c:v>
                </c:pt>
                <c:pt idx="65">
                  <c:v>1965</c:v>
                </c:pt>
                <c:pt idx="66">
                  <c:v>1965</c:v>
                </c:pt>
                <c:pt idx="67">
                  <c:v>1965</c:v>
                </c:pt>
                <c:pt idx="68">
                  <c:v>1965</c:v>
                </c:pt>
                <c:pt idx="69">
                  <c:v>1965</c:v>
                </c:pt>
                <c:pt idx="70">
                  <c:v>1965</c:v>
                </c:pt>
                <c:pt idx="71">
                  <c:v>1965</c:v>
                </c:pt>
                <c:pt idx="72">
                  <c:v>1966</c:v>
                </c:pt>
                <c:pt idx="73">
                  <c:v>1966</c:v>
                </c:pt>
                <c:pt idx="74">
                  <c:v>1966</c:v>
                </c:pt>
                <c:pt idx="75">
                  <c:v>1966</c:v>
                </c:pt>
                <c:pt idx="76">
                  <c:v>1966</c:v>
                </c:pt>
                <c:pt idx="77">
                  <c:v>1966</c:v>
                </c:pt>
                <c:pt idx="78">
                  <c:v>1966</c:v>
                </c:pt>
                <c:pt idx="79">
                  <c:v>1966</c:v>
                </c:pt>
                <c:pt idx="80">
                  <c:v>1966</c:v>
                </c:pt>
                <c:pt idx="81">
                  <c:v>1966</c:v>
                </c:pt>
                <c:pt idx="82">
                  <c:v>1966</c:v>
                </c:pt>
                <c:pt idx="83">
                  <c:v>1966</c:v>
                </c:pt>
                <c:pt idx="84">
                  <c:v>1967</c:v>
                </c:pt>
                <c:pt idx="85">
                  <c:v>1967</c:v>
                </c:pt>
                <c:pt idx="86">
                  <c:v>1967</c:v>
                </c:pt>
                <c:pt idx="87">
                  <c:v>1967</c:v>
                </c:pt>
                <c:pt idx="88">
                  <c:v>1967</c:v>
                </c:pt>
                <c:pt idx="89">
                  <c:v>1967</c:v>
                </c:pt>
                <c:pt idx="90">
                  <c:v>1967</c:v>
                </c:pt>
                <c:pt idx="91">
                  <c:v>1967</c:v>
                </c:pt>
                <c:pt idx="92">
                  <c:v>1967</c:v>
                </c:pt>
                <c:pt idx="93">
                  <c:v>1967</c:v>
                </c:pt>
                <c:pt idx="94">
                  <c:v>1967</c:v>
                </c:pt>
                <c:pt idx="95">
                  <c:v>1967</c:v>
                </c:pt>
                <c:pt idx="96">
                  <c:v>1968</c:v>
                </c:pt>
                <c:pt idx="97">
                  <c:v>1968</c:v>
                </c:pt>
                <c:pt idx="98">
                  <c:v>1968</c:v>
                </c:pt>
                <c:pt idx="99">
                  <c:v>1968</c:v>
                </c:pt>
                <c:pt idx="100">
                  <c:v>1968</c:v>
                </c:pt>
                <c:pt idx="101">
                  <c:v>1968</c:v>
                </c:pt>
                <c:pt idx="102">
                  <c:v>1968</c:v>
                </c:pt>
                <c:pt idx="103">
                  <c:v>1968</c:v>
                </c:pt>
                <c:pt idx="104">
                  <c:v>1968</c:v>
                </c:pt>
                <c:pt idx="105">
                  <c:v>1968</c:v>
                </c:pt>
                <c:pt idx="106">
                  <c:v>1968</c:v>
                </c:pt>
                <c:pt idx="107">
                  <c:v>1968</c:v>
                </c:pt>
                <c:pt idx="108">
                  <c:v>1969</c:v>
                </c:pt>
                <c:pt idx="109">
                  <c:v>1969</c:v>
                </c:pt>
                <c:pt idx="110">
                  <c:v>1969</c:v>
                </c:pt>
                <c:pt idx="111">
                  <c:v>1969</c:v>
                </c:pt>
                <c:pt idx="112">
                  <c:v>1969</c:v>
                </c:pt>
                <c:pt idx="113">
                  <c:v>1969</c:v>
                </c:pt>
                <c:pt idx="114">
                  <c:v>1969</c:v>
                </c:pt>
                <c:pt idx="115">
                  <c:v>1969</c:v>
                </c:pt>
                <c:pt idx="116">
                  <c:v>1969</c:v>
                </c:pt>
                <c:pt idx="117">
                  <c:v>1969</c:v>
                </c:pt>
                <c:pt idx="118">
                  <c:v>1969</c:v>
                </c:pt>
                <c:pt idx="119">
                  <c:v>1969</c:v>
                </c:pt>
                <c:pt idx="120">
                  <c:v>1970</c:v>
                </c:pt>
                <c:pt idx="121">
                  <c:v>1970</c:v>
                </c:pt>
                <c:pt idx="122">
                  <c:v>1970</c:v>
                </c:pt>
                <c:pt idx="123">
                  <c:v>1970</c:v>
                </c:pt>
                <c:pt idx="124">
                  <c:v>1970</c:v>
                </c:pt>
                <c:pt idx="125">
                  <c:v>1970</c:v>
                </c:pt>
                <c:pt idx="126">
                  <c:v>1970</c:v>
                </c:pt>
                <c:pt idx="127">
                  <c:v>1970</c:v>
                </c:pt>
                <c:pt idx="128">
                  <c:v>1970</c:v>
                </c:pt>
                <c:pt idx="129">
                  <c:v>1970</c:v>
                </c:pt>
                <c:pt idx="130">
                  <c:v>1970</c:v>
                </c:pt>
                <c:pt idx="131">
                  <c:v>1970</c:v>
                </c:pt>
                <c:pt idx="132">
                  <c:v>1971</c:v>
                </c:pt>
                <c:pt idx="133">
                  <c:v>1971</c:v>
                </c:pt>
                <c:pt idx="134">
                  <c:v>1971</c:v>
                </c:pt>
                <c:pt idx="135">
                  <c:v>1971</c:v>
                </c:pt>
                <c:pt idx="136">
                  <c:v>1971</c:v>
                </c:pt>
                <c:pt idx="137">
                  <c:v>1971</c:v>
                </c:pt>
                <c:pt idx="138">
                  <c:v>1971</c:v>
                </c:pt>
                <c:pt idx="139">
                  <c:v>1971</c:v>
                </c:pt>
                <c:pt idx="140">
                  <c:v>1971</c:v>
                </c:pt>
                <c:pt idx="141">
                  <c:v>1971</c:v>
                </c:pt>
                <c:pt idx="142">
                  <c:v>1971</c:v>
                </c:pt>
                <c:pt idx="143">
                  <c:v>1971</c:v>
                </c:pt>
                <c:pt idx="144">
                  <c:v>1972</c:v>
                </c:pt>
                <c:pt idx="145">
                  <c:v>1972</c:v>
                </c:pt>
                <c:pt idx="146">
                  <c:v>1972</c:v>
                </c:pt>
                <c:pt idx="147">
                  <c:v>1972</c:v>
                </c:pt>
                <c:pt idx="148">
                  <c:v>1972</c:v>
                </c:pt>
                <c:pt idx="149">
                  <c:v>1972</c:v>
                </c:pt>
                <c:pt idx="150">
                  <c:v>1972</c:v>
                </c:pt>
                <c:pt idx="151">
                  <c:v>1972</c:v>
                </c:pt>
                <c:pt idx="152">
                  <c:v>1972</c:v>
                </c:pt>
                <c:pt idx="153">
                  <c:v>1972</c:v>
                </c:pt>
                <c:pt idx="154">
                  <c:v>1972</c:v>
                </c:pt>
                <c:pt idx="155">
                  <c:v>1972</c:v>
                </c:pt>
                <c:pt idx="156">
                  <c:v>1973</c:v>
                </c:pt>
                <c:pt idx="157">
                  <c:v>1973</c:v>
                </c:pt>
                <c:pt idx="158">
                  <c:v>1973</c:v>
                </c:pt>
                <c:pt idx="159">
                  <c:v>1973</c:v>
                </c:pt>
                <c:pt idx="160">
                  <c:v>1973</c:v>
                </c:pt>
                <c:pt idx="161">
                  <c:v>1973</c:v>
                </c:pt>
                <c:pt idx="162">
                  <c:v>1973</c:v>
                </c:pt>
                <c:pt idx="163">
                  <c:v>1973</c:v>
                </c:pt>
                <c:pt idx="164">
                  <c:v>1973</c:v>
                </c:pt>
                <c:pt idx="165">
                  <c:v>1973</c:v>
                </c:pt>
                <c:pt idx="166">
                  <c:v>1973</c:v>
                </c:pt>
                <c:pt idx="167">
                  <c:v>1973</c:v>
                </c:pt>
                <c:pt idx="168">
                  <c:v>1974</c:v>
                </c:pt>
                <c:pt idx="169">
                  <c:v>1974</c:v>
                </c:pt>
                <c:pt idx="170">
                  <c:v>1974</c:v>
                </c:pt>
                <c:pt idx="171">
                  <c:v>1974</c:v>
                </c:pt>
                <c:pt idx="172">
                  <c:v>1974</c:v>
                </c:pt>
                <c:pt idx="173">
                  <c:v>1974</c:v>
                </c:pt>
                <c:pt idx="174">
                  <c:v>1974</c:v>
                </c:pt>
                <c:pt idx="175">
                  <c:v>1974</c:v>
                </c:pt>
                <c:pt idx="176">
                  <c:v>1974</c:v>
                </c:pt>
                <c:pt idx="177">
                  <c:v>1974</c:v>
                </c:pt>
                <c:pt idx="178">
                  <c:v>1974</c:v>
                </c:pt>
                <c:pt idx="179">
                  <c:v>1974</c:v>
                </c:pt>
                <c:pt idx="180">
                  <c:v>1975</c:v>
                </c:pt>
                <c:pt idx="181">
                  <c:v>1975</c:v>
                </c:pt>
                <c:pt idx="182">
                  <c:v>1975</c:v>
                </c:pt>
                <c:pt idx="183">
                  <c:v>1975</c:v>
                </c:pt>
                <c:pt idx="184">
                  <c:v>1975</c:v>
                </c:pt>
                <c:pt idx="185">
                  <c:v>1975</c:v>
                </c:pt>
                <c:pt idx="186">
                  <c:v>1975</c:v>
                </c:pt>
                <c:pt idx="187">
                  <c:v>1975</c:v>
                </c:pt>
                <c:pt idx="188">
                  <c:v>1975</c:v>
                </c:pt>
                <c:pt idx="189">
                  <c:v>1975</c:v>
                </c:pt>
                <c:pt idx="190">
                  <c:v>1975</c:v>
                </c:pt>
                <c:pt idx="191">
                  <c:v>1975</c:v>
                </c:pt>
                <c:pt idx="192">
                  <c:v>1976</c:v>
                </c:pt>
                <c:pt idx="193">
                  <c:v>1976</c:v>
                </c:pt>
                <c:pt idx="194">
                  <c:v>1976</c:v>
                </c:pt>
                <c:pt idx="195">
                  <c:v>1976</c:v>
                </c:pt>
                <c:pt idx="196">
                  <c:v>1976</c:v>
                </c:pt>
                <c:pt idx="197">
                  <c:v>1976</c:v>
                </c:pt>
                <c:pt idx="198">
                  <c:v>1976</c:v>
                </c:pt>
                <c:pt idx="199">
                  <c:v>1976</c:v>
                </c:pt>
                <c:pt idx="200">
                  <c:v>1976</c:v>
                </c:pt>
                <c:pt idx="201">
                  <c:v>1976</c:v>
                </c:pt>
                <c:pt idx="202">
                  <c:v>1976</c:v>
                </c:pt>
                <c:pt idx="203">
                  <c:v>1976</c:v>
                </c:pt>
                <c:pt idx="204">
                  <c:v>1977</c:v>
                </c:pt>
                <c:pt idx="205">
                  <c:v>1977</c:v>
                </c:pt>
                <c:pt idx="206">
                  <c:v>1977</c:v>
                </c:pt>
                <c:pt idx="207">
                  <c:v>1977</c:v>
                </c:pt>
                <c:pt idx="208">
                  <c:v>1977</c:v>
                </c:pt>
                <c:pt idx="209">
                  <c:v>1977</c:v>
                </c:pt>
                <c:pt idx="210">
                  <c:v>1977</c:v>
                </c:pt>
                <c:pt idx="211">
                  <c:v>1977</c:v>
                </c:pt>
                <c:pt idx="212">
                  <c:v>1977</c:v>
                </c:pt>
                <c:pt idx="213">
                  <c:v>1977</c:v>
                </c:pt>
                <c:pt idx="214">
                  <c:v>1977</c:v>
                </c:pt>
                <c:pt idx="215">
                  <c:v>1977</c:v>
                </c:pt>
                <c:pt idx="216">
                  <c:v>1978</c:v>
                </c:pt>
                <c:pt idx="217">
                  <c:v>1978</c:v>
                </c:pt>
                <c:pt idx="218">
                  <c:v>1978</c:v>
                </c:pt>
                <c:pt idx="219">
                  <c:v>1978</c:v>
                </c:pt>
                <c:pt idx="220">
                  <c:v>1978</c:v>
                </c:pt>
                <c:pt idx="221">
                  <c:v>1978</c:v>
                </c:pt>
                <c:pt idx="222">
                  <c:v>1978</c:v>
                </c:pt>
                <c:pt idx="223">
                  <c:v>1978</c:v>
                </c:pt>
                <c:pt idx="224">
                  <c:v>1978</c:v>
                </c:pt>
                <c:pt idx="225">
                  <c:v>1978</c:v>
                </c:pt>
                <c:pt idx="226">
                  <c:v>1978</c:v>
                </c:pt>
                <c:pt idx="227">
                  <c:v>1978</c:v>
                </c:pt>
                <c:pt idx="228">
                  <c:v>1979</c:v>
                </c:pt>
                <c:pt idx="229">
                  <c:v>1979</c:v>
                </c:pt>
                <c:pt idx="230">
                  <c:v>1979</c:v>
                </c:pt>
                <c:pt idx="231">
                  <c:v>1979</c:v>
                </c:pt>
                <c:pt idx="232">
                  <c:v>1979</c:v>
                </c:pt>
                <c:pt idx="233">
                  <c:v>1979</c:v>
                </c:pt>
                <c:pt idx="234">
                  <c:v>1979</c:v>
                </c:pt>
                <c:pt idx="235">
                  <c:v>1979</c:v>
                </c:pt>
                <c:pt idx="236">
                  <c:v>1979</c:v>
                </c:pt>
                <c:pt idx="237">
                  <c:v>1979</c:v>
                </c:pt>
                <c:pt idx="238">
                  <c:v>1979</c:v>
                </c:pt>
                <c:pt idx="239">
                  <c:v>1979</c:v>
                </c:pt>
                <c:pt idx="240">
                  <c:v>1980</c:v>
                </c:pt>
                <c:pt idx="241">
                  <c:v>1980</c:v>
                </c:pt>
                <c:pt idx="242">
                  <c:v>1980</c:v>
                </c:pt>
                <c:pt idx="243">
                  <c:v>1980</c:v>
                </c:pt>
                <c:pt idx="244">
                  <c:v>1980</c:v>
                </c:pt>
                <c:pt idx="245">
                  <c:v>1980</c:v>
                </c:pt>
                <c:pt idx="246">
                  <c:v>1980</c:v>
                </c:pt>
                <c:pt idx="247">
                  <c:v>1980</c:v>
                </c:pt>
                <c:pt idx="248">
                  <c:v>1980</c:v>
                </c:pt>
                <c:pt idx="249">
                  <c:v>1980</c:v>
                </c:pt>
                <c:pt idx="250">
                  <c:v>1980</c:v>
                </c:pt>
                <c:pt idx="251">
                  <c:v>1980</c:v>
                </c:pt>
                <c:pt idx="252">
                  <c:v>1981</c:v>
                </c:pt>
                <c:pt idx="253">
                  <c:v>1981</c:v>
                </c:pt>
                <c:pt idx="254">
                  <c:v>1981</c:v>
                </c:pt>
                <c:pt idx="255">
                  <c:v>1981</c:v>
                </c:pt>
                <c:pt idx="256">
                  <c:v>1981</c:v>
                </c:pt>
                <c:pt idx="257">
                  <c:v>1981</c:v>
                </c:pt>
                <c:pt idx="258">
                  <c:v>1981</c:v>
                </c:pt>
                <c:pt idx="259">
                  <c:v>1981</c:v>
                </c:pt>
                <c:pt idx="260">
                  <c:v>1981</c:v>
                </c:pt>
                <c:pt idx="261">
                  <c:v>1981</c:v>
                </c:pt>
                <c:pt idx="262">
                  <c:v>1981</c:v>
                </c:pt>
                <c:pt idx="263">
                  <c:v>1981</c:v>
                </c:pt>
                <c:pt idx="264">
                  <c:v>1982</c:v>
                </c:pt>
                <c:pt idx="265">
                  <c:v>1982</c:v>
                </c:pt>
                <c:pt idx="266">
                  <c:v>1982</c:v>
                </c:pt>
                <c:pt idx="267">
                  <c:v>1982</c:v>
                </c:pt>
                <c:pt idx="268">
                  <c:v>1982</c:v>
                </c:pt>
                <c:pt idx="269">
                  <c:v>1982</c:v>
                </c:pt>
                <c:pt idx="270">
                  <c:v>1982</c:v>
                </c:pt>
                <c:pt idx="271">
                  <c:v>1982</c:v>
                </c:pt>
                <c:pt idx="272">
                  <c:v>1982</c:v>
                </c:pt>
                <c:pt idx="273">
                  <c:v>1982</c:v>
                </c:pt>
                <c:pt idx="274">
                  <c:v>1982</c:v>
                </c:pt>
                <c:pt idx="275">
                  <c:v>1982</c:v>
                </c:pt>
                <c:pt idx="276">
                  <c:v>1983</c:v>
                </c:pt>
                <c:pt idx="277">
                  <c:v>1983</c:v>
                </c:pt>
                <c:pt idx="278">
                  <c:v>1983</c:v>
                </c:pt>
                <c:pt idx="279">
                  <c:v>1983</c:v>
                </c:pt>
                <c:pt idx="280">
                  <c:v>1983</c:v>
                </c:pt>
                <c:pt idx="281">
                  <c:v>1983</c:v>
                </c:pt>
                <c:pt idx="282">
                  <c:v>1983</c:v>
                </c:pt>
                <c:pt idx="283">
                  <c:v>1983</c:v>
                </c:pt>
                <c:pt idx="284">
                  <c:v>1983</c:v>
                </c:pt>
                <c:pt idx="285">
                  <c:v>1983</c:v>
                </c:pt>
                <c:pt idx="286">
                  <c:v>1983</c:v>
                </c:pt>
                <c:pt idx="287">
                  <c:v>1983</c:v>
                </c:pt>
                <c:pt idx="288">
                  <c:v>1984</c:v>
                </c:pt>
                <c:pt idx="289">
                  <c:v>1984</c:v>
                </c:pt>
                <c:pt idx="290">
                  <c:v>1984</c:v>
                </c:pt>
                <c:pt idx="291">
                  <c:v>1984</c:v>
                </c:pt>
                <c:pt idx="292">
                  <c:v>1984</c:v>
                </c:pt>
                <c:pt idx="293">
                  <c:v>1984</c:v>
                </c:pt>
                <c:pt idx="294">
                  <c:v>1984</c:v>
                </c:pt>
                <c:pt idx="295">
                  <c:v>1984</c:v>
                </c:pt>
                <c:pt idx="296">
                  <c:v>1984</c:v>
                </c:pt>
                <c:pt idx="297">
                  <c:v>1984</c:v>
                </c:pt>
                <c:pt idx="298">
                  <c:v>1984</c:v>
                </c:pt>
                <c:pt idx="299">
                  <c:v>1984</c:v>
                </c:pt>
                <c:pt idx="300">
                  <c:v>1985</c:v>
                </c:pt>
                <c:pt idx="301">
                  <c:v>1985</c:v>
                </c:pt>
                <c:pt idx="302">
                  <c:v>1985</c:v>
                </c:pt>
                <c:pt idx="303">
                  <c:v>1985</c:v>
                </c:pt>
                <c:pt idx="304">
                  <c:v>1985</c:v>
                </c:pt>
                <c:pt idx="305">
                  <c:v>1985</c:v>
                </c:pt>
                <c:pt idx="306">
                  <c:v>1985</c:v>
                </c:pt>
                <c:pt idx="307">
                  <c:v>1985</c:v>
                </c:pt>
                <c:pt idx="308">
                  <c:v>1985</c:v>
                </c:pt>
                <c:pt idx="309">
                  <c:v>1985</c:v>
                </c:pt>
                <c:pt idx="310">
                  <c:v>1985</c:v>
                </c:pt>
                <c:pt idx="311">
                  <c:v>1985</c:v>
                </c:pt>
                <c:pt idx="312">
                  <c:v>1986</c:v>
                </c:pt>
                <c:pt idx="313">
                  <c:v>1986</c:v>
                </c:pt>
                <c:pt idx="314">
                  <c:v>1986</c:v>
                </c:pt>
                <c:pt idx="315">
                  <c:v>1986</c:v>
                </c:pt>
                <c:pt idx="316">
                  <c:v>1986</c:v>
                </c:pt>
                <c:pt idx="317">
                  <c:v>1986</c:v>
                </c:pt>
                <c:pt idx="318">
                  <c:v>1986</c:v>
                </c:pt>
                <c:pt idx="319">
                  <c:v>1986</c:v>
                </c:pt>
                <c:pt idx="320">
                  <c:v>1986</c:v>
                </c:pt>
                <c:pt idx="321">
                  <c:v>1986</c:v>
                </c:pt>
                <c:pt idx="322">
                  <c:v>1986</c:v>
                </c:pt>
                <c:pt idx="323">
                  <c:v>1986</c:v>
                </c:pt>
                <c:pt idx="324">
                  <c:v>1987</c:v>
                </c:pt>
                <c:pt idx="325">
                  <c:v>1987</c:v>
                </c:pt>
                <c:pt idx="326">
                  <c:v>1987</c:v>
                </c:pt>
                <c:pt idx="327">
                  <c:v>1987</c:v>
                </c:pt>
                <c:pt idx="328">
                  <c:v>1987</c:v>
                </c:pt>
                <c:pt idx="329">
                  <c:v>1987</c:v>
                </c:pt>
                <c:pt idx="330">
                  <c:v>1987</c:v>
                </c:pt>
                <c:pt idx="331">
                  <c:v>1987</c:v>
                </c:pt>
                <c:pt idx="332">
                  <c:v>1987</c:v>
                </c:pt>
                <c:pt idx="333">
                  <c:v>1987</c:v>
                </c:pt>
                <c:pt idx="334">
                  <c:v>1987</c:v>
                </c:pt>
                <c:pt idx="335">
                  <c:v>1987</c:v>
                </c:pt>
                <c:pt idx="336">
                  <c:v>1988</c:v>
                </c:pt>
                <c:pt idx="337">
                  <c:v>1988</c:v>
                </c:pt>
                <c:pt idx="338">
                  <c:v>1988</c:v>
                </c:pt>
                <c:pt idx="339">
                  <c:v>1988</c:v>
                </c:pt>
                <c:pt idx="340">
                  <c:v>1988</c:v>
                </c:pt>
                <c:pt idx="341">
                  <c:v>1988</c:v>
                </c:pt>
                <c:pt idx="342">
                  <c:v>1988</c:v>
                </c:pt>
                <c:pt idx="343">
                  <c:v>1988</c:v>
                </c:pt>
                <c:pt idx="344">
                  <c:v>1988</c:v>
                </c:pt>
                <c:pt idx="345">
                  <c:v>1988</c:v>
                </c:pt>
                <c:pt idx="346">
                  <c:v>1988</c:v>
                </c:pt>
                <c:pt idx="347">
                  <c:v>1988</c:v>
                </c:pt>
                <c:pt idx="348">
                  <c:v>1989</c:v>
                </c:pt>
                <c:pt idx="349">
                  <c:v>1989</c:v>
                </c:pt>
                <c:pt idx="350">
                  <c:v>1989</c:v>
                </c:pt>
                <c:pt idx="351">
                  <c:v>1989</c:v>
                </c:pt>
                <c:pt idx="352">
                  <c:v>1989</c:v>
                </c:pt>
                <c:pt idx="353">
                  <c:v>1989</c:v>
                </c:pt>
                <c:pt idx="354">
                  <c:v>1989</c:v>
                </c:pt>
                <c:pt idx="355">
                  <c:v>1989</c:v>
                </c:pt>
                <c:pt idx="356">
                  <c:v>1989</c:v>
                </c:pt>
                <c:pt idx="357">
                  <c:v>1989</c:v>
                </c:pt>
                <c:pt idx="358">
                  <c:v>1989</c:v>
                </c:pt>
                <c:pt idx="359">
                  <c:v>1989</c:v>
                </c:pt>
                <c:pt idx="360">
                  <c:v>1990</c:v>
                </c:pt>
                <c:pt idx="361">
                  <c:v>1990</c:v>
                </c:pt>
                <c:pt idx="362">
                  <c:v>1990</c:v>
                </c:pt>
                <c:pt idx="363">
                  <c:v>1990</c:v>
                </c:pt>
                <c:pt idx="364">
                  <c:v>1990</c:v>
                </c:pt>
                <c:pt idx="365">
                  <c:v>1990</c:v>
                </c:pt>
                <c:pt idx="366">
                  <c:v>1990</c:v>
                </c:pt>
                <c:pt idx="367">
                  <c:v>1990</c:v>
                </c:pt>
                <c:pt idx="368">
                  <c:v>1990</c:v>
                </c:pt>
                <c:pt idx="369">
                  <c:v>1990</c:v>
                </c:pt>
                <c:pt idx="370">
                  <c:v>1990</c:v>
                </c:pt>
                <c:pt idx="371">
                  <c:v>1990</c:v>
                </c:pt>
                <c:pt idx="372">
                  <c:v>1991</c:v>
                </c:pt>
                <c:pt idx="373">
                  <c:v>1991</c:v>
                </c:pt>
                <c:pt idx="374">
                  <c:v>1991</c:v>
                </c:pt>
                <c:pt idx="375">
                  <c:v>1991</c:v>
                </c:pt>
                <c:pt idx="376">
                  <c:v>1991</c:v>
                </c:pt>
                <c:pt idx="377">
                  <c:v>1991</c:v>
                </c:pt>
                <c:pt idx="378">
                  <c:v>1991</c:v>
                </c:pt>
                <c:pt idx="379">
                  <c:v>1991</c:v>
                </c:pt>
                <c:pt idx="380">
                  <c:v>1991</c:v>
                </c:pt>
                <c:pt idx="381">
                  <c:v>1991</c:v>
                </c:pt>
                <c:pt idx="382">
                  <c:v>1991</c:v>
                </c:pt>
                <c:pt idx="383">
                  <c:v>1991</c:v>
                </c:pt>
                <c:pt idx="384">
                  <c:v>1992</c:v>
                </c:pt>
                <c:pt idx="385">
                  <c:v>1992</c:v>
                </c:pt>
                <c:pt idx="386">
                  <c:v>1992</c:v>
                </c:pt>
                <c:pt idx="387">
                  <c:v>1992</c:v>
                </c:pt>
                <c:pt idx="388">
                  <c:v>1992</c:v>
                </c:pt>
                <c:pt idx="389">
                  <c:v>1992</c:v>
                </c:pt>
                <c:pt idx="390">
                  <c:v>1992</c:v>
                </c:pt>
                <c:pt idx="391">
                  <c:v>1992</c:v>
                </c:pt>
                <c:pt idx="392">
                  <c:v>1992</c:v>
                </c:pt>
                <c:pt idx="393">
                  <c:v>1992</c:v>
                </c:pt>
                <c:pt idx="394">
                  <c:v>1992</c:v>
                </c:pt>
                <c:pt idx="395">
                  <c:v>1992</c:v>
                </c:pt>
                <c:pt idx="396">
                  <c:v>1993</c:v>
                </c:pt>
                <c:pt idx="397">
                  <c:v>1993</c:v>
                </c:pt>
                <c:pt idx="398">
                  <c:v>1993</c:v>
                </c:pt>
                <c:pt idx="399">
                  <c:v>1993</c:v>
                </c:pt>
                <c:pt idx="400">
                  <c:v>1993</c:v>
                </c:pt>
                <c:pt idx="401">
                  <c:v>1993</c:v>
                </c:pt>
                <c:pt idx="402">
                  <c:v>1993</c:v>
                </c:pt>
                <c:pt idx="403">
                  <c:v>1993</c:v>
                </c:pt>
                <c:pt idx="404">
                  <c:v>1993</c:v>
                </c:pt>
                <c:pt idx="405">
                  <c:v>1993</c:v>
                </c:pt>
                <c:pt idx="406">
                  <c:v>1993</c:v>
                </c:pt>
                <c:pt idx="407">
                  <c:v>1993</c:v>
                </c:pt>
                <c:pt idx="408">
                  <c:v>1994</c:v>
                </c:pt>
                <c:pt idx="409">
                  <c:v>1994</c:v>
                </c:pt>
                <c:pt idx="410">
                  <c:v>1994</c:v>
                </c:pt>
                <c:pt idx="411">
                  <c:v>1994</c:v>
                </c:pt>
                <c:pt idx="412">
                  <c:v>1994</c:v>
                </c:pt>
                <c:pt idx="413">
                  <c:v>1994</c:v>
                </c:pt>
                <c:pt idx="414">
                  <c:v>1994</c:v>
                </c:pt>
                <c:pt idx="415">
                  <c:v>1994</c:v>
                </c:pt>
                <c:pt idx="416">
                  <c:v>1994</c:v>
                </c:pt>
                <c:pt idx="417">
                  <c:v>1994</c:v>
                </c:pt>
                <c:pt idx="418">
                  <c:v>1994</c:v>
                </c:pt>
                <c:pt idx="419">
                  <c:v>1994</c:v>
                </c:pt>
                <c:pt idx="420">
                  <c:v>1995</c:v>
                </c:pt>
                <c:pt idx="421">
                  <c:v>1995</c:v>
                </c:pt>
                <c:pt idx="422">
                  <c:v>1995</c:v>
                </c:pt>
                <c:pt idx="423">
                  <c:v>1995</c:v>
                </c:pt>
                <c:pt idx="424">
                  <c:v>1995</c:v>
                </c:pt>
                <c:pt idx="425">
                  <c:v>1995</c:v>
                </c:pt>
                <c:pt idx="426">
                  <c:v>1995</c:v>
                </c:pt>
                <c:pt idx="427">
                  <c:v>1995</c:v>
                </c:pt>
                <c:pt idx="428">
                  <c:v>1995</c:v>
                </c:pt>
                <c:pt idx="429">
                  <c:v>1995</c:v>
                </c:pt>
                <c:pt idx="430">
                  <c:v>1995</c:v>
                </c:pt>
                <c:pt idx="431">
                  <c:v>1995</c:v>
                </c:pt>
                <c:pt idx="432">
                  <c:v>1996</c:v>
                </c:pt>
                <c:pt idx="433">
                  <c:v>1996</c:v>
                </c:pt>
                <c:pt idx="434">
                  <c:v>1996</c:v>
                </c:pt>
                <c:pt idx="435">
                  <c:v>1996</c:v>
                </c:pt>
                <c:pt idx="436">
                  <c:v>1996</c:v>
                </c:pt>
                <c:pt idx="437">
                  <c:v>1996</c:v>
                </c:pt>
                <c:pt idx="438">
                  <c:v>1996</c:v>
                </c:pt>
                <c:pt idx="439">
                  <c:v>1996</c:v>
                </c:pt>
                <c:pt idx="440">
                  <c:v>1996</c:v>
                </c:pt>
                <c:pt idx="441">
                  <c:v>1996</c:v>
                </c:pt>
                <c:pt idx="442">
                  <c:v>1996</c:v>
                </c:pt>
                <c:pt idx="443">
                  <c:v>1996</c:v>
                </c:pt>
                <c:pt idx="444">
                  <c:v>1997</c:v>
                </c:pt>
                <c:pt idx="445">
                  <c:v>1997</c:v>
                </c:pt>
                <c:pt idx="446">
                  <c:v>1997</c:v>
                </c:pt>
                <c:pt idx="447">
                  <c:v>1997</c:v>
                </c:pt>
                <c:pt idx="448">
                  <c:v>1997</c:v>
                </c:pt>
                <c:pt idx="449">
                  <c:v>1997</c:v>
                </c:pt>
                <c:pt idx="450">
                  <c:v>1997</c:v>
                </c:pt>
                <c:pt idx="451">
                  <c:v>1997</c:v>
                </c:pt>
                <c:pt idx="452">
                  <c:v>1997</c:v>
                </c:pt>
                <c:pt idx="453">
                  <c:v>1997</c:v>
                </c:pt>
                <c:pt idx="454">
                  <c:v>1997</c:v>
                </c:pt>
                <c:pt idx="455">
                  <c:v>1997</c:v>
                </c:pt>
                <c:pt idx="456">
                  <c:v>1998</c:v>
                </c:pt>
                <c:pt idx="457">
                  <c:v>1998</c:v>
                </c:pt>
                <c:pt idx="458">
                  <c:v>1998</c:v>
                </c:pt>
                <c:pt idx="459">
                  <c:v>1998</c:v>
                </c:pt>
                <c:pt idx="460">
                  <c:v>1998</c:v>
                </c:pt>
                <c:pt idx="461">
                  <c:v>1998</c:v>
                </c:pt>
                <c:pt idx="462">
                  <c:v>1998</c:v>
                </c:pt>
                <c:pt idx="463">
                  <c:v>1998</c:v>
                </c:pt>
                <c:pt idx="464">
                  <c:v>1998</c:v>
                </c:pt>
                <c:pt idx="465">
                  <c:v>1998</c:v>
                </c:pt>
                <c:pt idx="466">
                  <c:v>1998</c:v>
                </c:pt>
                <c:pt idx="467">
                  <c:v>1998</c:v>
                </c:pt>
                <c:pt idx="468">
                  <c:v>1999</c:v>
                </c:pt>
                <c:pt idx="469">
                  <c:v>1999</c:v>
                </c:pt>
                <c:pt idx="470">
                  <c:v>1999</c:v>
                </c:pt>
                <c:pt idx="471">
                  <c:v>1999</c:v>
                </c:pt>
                <c:pt idx="472">
                  <c:v>1999</c:v>
                </c:pt>
                <c:pt idx="473">
                  <c:v>1999</c:v>
                </c:pt>
                <c:pt idx="474">
                  <c:v>1999</c:v>
                </c:pt>
                <c:pt idx="475">
                  <c:v>1999</c:v>
                </c:pt>
                <c:pt idx="476">
                  <c:v>1999</c:v>
                </c:pt>
                <c:pt idx="477">
                  <c:v>1999</c:v>
                </c:pt>
                <c:pt idx="478">
                  <c:v>1999</c:v>
                </c:pt>
                <c:pt idx="479">
                  <c:v>1999</c:v>
                </c:pt>
                <c:pt idx="480">
                  <c:v>2000</c:v>
                </c:pt>
                <c:pt idx="481">
                  <c:v>2000</c:v>
                </c:pt>
                <c:pt idx="482">
                  <c:v>2000</c:v>
                </c:pt>
                <c:pt idx="483">
                  <c:v>2000</c:v>
                </c:pt>
                <c:pt idx="484">
                  <c:v>2000</c:v>
                </c:pt>
                <c:pt idx="485">
                  <c:v>2000</c:v>
                </c:pt>
                <c:pt idx="486">
                  <c:v>2000</c:v>
                </c:pt>
                <c:pt idx="487">
                  <c:v>2000</c:v>
                </c:pt>
                <c:pt idx="488">
                  <c:v>2000</c:v>
                </c:pt>
                <c:pt idx="489">
                  <c:v>2000</c:v>
                </c:pt>
                <c:pt idx="490">
                  <c:v>2000</c:v>
                </c:pt>
                <c:pt idx="491">
                  <c:v>2000</c:v>
                </c:pt>
                <c:pt idx="492">
                  <c:v>2001</c:v>
                </c:pt>
                <c:pt idx="493">
                  <c:v>2001</c:v>
                </c:pt>
                <c:pt idx="494">
                  <c:v>2001</c:v>
                </c:pt>
                <c:pt idx="495">
                  <c:v>2001</c:v>
                </c:pt>
                <c:pt idx="496">
                  <c:v>2001</c:v>
                </c:pt>
                <c:pt idx="497">
                  <c:v>2001</c:v>
                </c:pt>
                <c:pt idx="498">
                  <c:v>2001</c:v>
                </c:pt>
                <c:pt idx="499">
                  <c:v>2001</c:v>
                </c:pt>
                <c:pt idx="500">
                  <c:v>2001</c:v>
                </c:pt>
                <c:pt idx="501">
                  <c:v>2001</c:v>
                </c:pt>
                <c:pt idx="502">
                  <c:v>2001</c:v>
                </c:pt>
                <c:pt idx="503">
                  <c:v>2001</c:v>
                </c:pt>
                <c:pt idx="504">
                  <c:v>2002</c:v>
                </c:pt>
                <c:pt idx="505">
                  <c:v>2002</c:v>
                </c:pt>
                <c:pt idx="506">
                  <c:v>2002</c:v>
                </c:pt>
                <c:pt idx="507">
                  <c:v>2002</c:v>
                </c:pt>
                <c:pt idx="508">
                  <c:v>2002</c:v>
                </c:pt>
                <c:pt idx="509">
                  <c:v>2002</c:v>
                </c:pt>
                <c:pt idx="510">
                  <c:v>2002</c:v>
                </c:pt>
                <c:pt idx="511">
                  <c:v>2002</c:v>
                </c:pt>
                <c:pt idx="512">
                  <c:v>2002</c:v>
                </c:pt>
                <c:pt idx="513">
                  <c:v>2002</c:v>
                </c:pt>
                <c:pt idx="514">
                  <c:v>2002</c:v>
                </c:pt>
                <c:pt idx="515">
                  <c:v>2002</c:v>
                </c:pt>
                <c:pt idx="516">
                  <c:v>2003</c:v>
                </c:pt>
                <c:pt idx="517">
                  <c:v>2003</c:v>
                </c:pt>
                <c:pt idx="518">
                  <c:v>2003</c:v>
                </c:pt>
                <c:pt idx="519">
                  <c:v>2003</c:v>
                </c:pt>
                <c:pt idx="520">
                  <c:v>2003</c:v>
                </c:pt>
                <c:pt idx="521">
                  <c:v>2003</c:v>
                </c:pt>
                <c:pt idx="522">
                  <c:v>2003</c:v>
                </c:pt>
                <c:pt idx="523">
                  <c:v>2003</c:v>
                </c:pt>
                <c:pt idx="524">
                  <c:v>2003</c:v>
                </c:pt>
                <c:pt idx="525">
                  <c:v>2003</c:v>
                </c:pt>
                <c:pt idx="526">
                  <c:v>2003</c:v>
                </c:pt>
                <c:pt idx="527">
                  <c:v>2003</c:v>
                </c:pt>
                <c:pt idx="528">
                  <c:v>2004</c:v>
                </c:pt>
                <c:pt idx="529">
                  <c:v>2004</c:v>
                </c:pt>
                <c:pt idx="530">
                  <c:v>2004</c:v>
                </c:pt>
                <c:pt idx="531">
                  <c:v>2004</c:v>
                </c:pt>
                <c:pt idx="532">
                  <c:v>2004</c:v>
                </c:pt>
                <c:pt idx="533">
                  <c:v>2004</c:v>
                </c:pt>
                <c:pt idx="534">
                  <c:v>2004</c:v>
                </c:pt>
                <c:pt idx="535">
                  <c:v>2004</c:v>
                </c:pt>
                <c:pt idx="536">
                  <c:v>2004</c:v>
                </c:pt>
                <c:pt idx="537">
                  <c:v>2004</c:v>
                </c:pt>
                <c:pt idx="538">
                  <c:v>2004</c:v>
                </c:pt>
                <c:pt idx="539">
                  <c:v>2004</c:v>
                </c:pt>
                <c:pt idx="540">
                  <c:v>2005</c:v>
                </c:pt>
                <c:pt idx="541">
                  <c:v>2005</c:v>
                </c:pt>
                <c:pt idx="542">
                  <c:v>2005</c:v>
                </c:pt>
                <c:pt idx="543">
                  <c:v>2005</c:v>
                </c:pt>
                <c:pt idx="544">
                  <c:v>2005</c:v>
                </c:pt>
                <c:pt idx="545">
                  <c:v>2005</c:v>
                </c:pt>
                <c:pt idx="546">
                  <c:v>2005</c:v>
                </c:pt>
                <c:pt idx="547">
                  <c:v>2005</c:v>
                </c:pt>
                <c:pt idx="548">
                  <c:v>2005</c:v>
                </c:pt>
                <c:pt idx="549">
                  <c:v>2005</c:v>
                </c:pt>
                <c:pt idx="550">
                  <c:v>2005</c:v>
                </c:pt>
                <c:pt idx="551">
                  <c:v>2005</c:v>
                </c:pt>
                <c:pt idx="552">
                  <c:v>2006</c:v>
                </c:pt>
                <c:pt idx="553">
                  <c:v>2006</c:v>
                </c:pt>
                <c:pt idx="554">
                  <c:v>2006</c:v>
                </c:pt>
                <c:pt idx="555">
                  <c:v>2006</c:v>
                </c:pt>
                <c:pt idx="556">
                  <c:v>2006</c:v>
                </c:pt>
                <c:pt idx="557">
                  <c:v>2006</c:v>
                </c:pt>
                <c:pt idx="558">
                  <c:v>2006</c:v>
                </c:pt>
                <c:pt idx="559">
                  <c:v>2006</c:v>
                </c:pt>
                <c:pt idx="560">
                  <c:v>2006</c:v>
                </c:pt>
                <c:pt idx="561">
                  <c:v>2006</c:v>
                </c:pt>
                <c:pt idx="562">
                  <c:v>2006</c:v>
                </c:pt>
                <c:pt idx="563">
                  <c:v>2006</c:v>
                </c:pt>
                <c:pt idx="564">
                  <c:v>2007</c:v>
                </c:pt>
                <c:pt idx="565">
                  <c:v>2007</c:v>
                </c:pt>
                <c:pt idx="566">
                  <c:v>2007</c:v>
                </c:pt>
                <c:pt idx="567">
                  <c:v>2007</c:v>
                </c:pt>
                <c:pt idx="568">
                  <c:v>2007</c:v>
                </c:pt>
                <c:pt idx="569">
                  <c:v>2007</c:v>
                </c:pt>
                <c:pt idx="570">
                  <c:v>2007</c:v>
                </c:pt>
                <c:pt idx="571">
                  <c:v>2007</c:v>
                </c:pt>
                <c:pt idx="572">
                  <c:v>2007</c:v>
                </c:pt>
                <c:pt idx="573">
                  <c:v>2007</c:v>
                </c:pt>
                <c:pt idx="574">
                  <c:v>2007</c:v>
                </c:pt>
                <c:pt idx="575">
                  <c:v>2007</c:v>
                </c:pt>
                <c:pt idx="576">
                  <c:v>2008</c:v>
                </c:pt>
                <c:pt idx="577">
                  <c:v>2008</c:v>
                </c:pt>
                <c:pt idx="578">
                  <c:v>2008</c:v>
                </c:pt>
                <c:pt idx="579">
                  <c:v>2008</c:v>
                </c:pt>
                <c:pt idx="580">
                  <c:v>2008</c:v>
                </c:pt>
                <c:pt idx="581">
                  <c:v>2008</c:v>
                </c:pt>
                <c:pt idx="582">
                  <c:v>2008</c:v>
                </c:pt>
                <c:pt idx="583">
                  <c:v>2008</c:v>
                </c:pt>
                <c:pt idx="584">
                  <c:v>2008</c:v>
                </c:pt>
                <c:pt idx="585">
                  <c:v>2008</c:v>
                </c:pt>
                <c:pt idx="586">
                  <c:v>2008</c:v>
                </c:pt>
                <c:pt idx="587">
                  <c:v>2008</c:v>
                </c:pt>
                <c:pt idx="588">
                  <c:v>2009</c:v>
                </c:pt>
                <c:pt idx="589">
                  <c:v>2009</c:v>
                </c:pt>
                <c:pt idx="590">
                  <c:v>2009</c:v>
                </c:pt>
                <c:pt idx="591">
                  <c:v>2009</c:v>
                </c:pt>
                <c:pt idx="592">
                  <c:v>2009</c:v>
                </c:pt>
                <c:pt idx="593">
                  <c:v>2009</c:v>
                </c:pt>
                <c:pt idx="594">
                  <c:v>2009</c:v>
                </c:pt>
                <c:pt idx="595">
                  <c:v>2009</c:v>
                </c:pt>
                <c:pt idx="596">
                  <c:v>2009</c:v>
                </c:pt>
                <c:pt idx="597">
                  <c:v>2009</c:v>
                </c:pt>
                <c:pt idx="598">
                  <c:v>2009</c:v>
                </c:pt>
                <c:pt idx="599">
                  <c:v>2009</c:v>
                </c:pt>
                <c:pt idx="600">
                  <c:v>2010</c:v>
                </c:pt>
                <c:pt idx="601">
                  <c:v>2010</c:v>
                </c:pt>
                <c:pt idx="602">
                  <c:v>2010</c:v>
                </c:pt>
                <c:pt idx="603">
                  <c:v>2010</c:v>
                </c:pt>
                <c:pt idx="604">
                  <c:v>2010</c:v>
                </c:pt>
                <c:pt idx="605">
                  <c:v>2010</c:v>
                </c:pt>
                <c:pt idx="606">
                  <c:v>2010</c:v>
                </c:pt>
                <c:pt idx="607">
                  <c:v>2010</c:v>
                </c:pt>
                <c:pt idx="608">
                  <c:v>2010</c:v>
                </c:pt>
                <c:pt idx="609">
                  <c:v>2010</c:v>
                </c:pt>
                <c:pt idx="610">
                  <c:v>2010</c:v>
                </c:pt>
                <c:pt idx="611">
                  <c:v>2010</c:v>
                </c:pt>
                <c:pt idx="612">
                  <c:v>2011</c:v>
                </c:pt>
                <c:pt idx="613">
                  <c:v>2011</c:v>
                </c:pt>
                <c:pt idx="614">
                  <c:v>2011</c:v>
                </c:pt>
                <c:pt idx="615">
                  <c:v>2011</c:v>
                </c:pt>
                <c:pt idx="616">
                  <c:v>2011</c:v>
                </c:pt>
                <c:pt idx="617">
                  <c:v>2011</c:v>
                </c:pt>
                <c:pt idx="618">
                  <c:v>2011</c:v>
                </c:pt>
                <c:pt idx="619">
                  <c:v>2011</c:v>
                </c:pt>
                <c:pt idx="620">
                  <c:v>2011</c:v>
                </c:pt>
                <c:pt idx="621">
                  <c:v>2011</c:v>
                </c:pt>
                <c:pt idx="622">
                  <c:v>2011</c:v>
                </c:pt>
                <c:pt idx="623">
                  <c:v>2011</c:v>
                </c:pt>
                <c:pt idx="624">
                  <c:v>2012</c:v>
                </c:pt>
                <c:pt idx="625">
                  <c:v>2012</c:v>
                </c:pt>
                <c:pt idx="626">
                  <c:v>2012</c:v>
                </c:pt>
                <c:pt idx="627">
                  <c:v>2012</c:v>
                </c:pt>
                <c:pt idx="628">
                  <c:v>2012</c:v>
                </c:pt>
                <c:pt idx="629">
                  <c:v>2012</c:v>
                </c:pt>
                <c:pt idx="630">
                  <c:v>2012</c:v>
                </c:pt>
                <c:pt idx="631">
                  <c:v>2012</c:v>
                </c:pt>
                <c:pt idx="632">
                  <c:v>2012</c:v>
                </c:pt>
                <c:pt idx="633">
                  <c:v>2012</c:v>
                </c:pt>
                <c:pt idx="634">
                  <c:v>2012</c:v>
                </c:pt>
                <c:pt idx="635">
                  <c:v>2012</c:v>
                </c:pt>
                <c:pt idx="636">
                  <c:v>2013</c:v>
                </c:pt>
                <c:pt idx="637">
                  <c:v>2013</c:v>
                </c:pt>
                <c:pt idx="638">
                  <c:v>2013</c:v>
                </c:pt>
                <c:pt idx="639">
                  <c:v>2013</c:v>
                </c:pt>
                <c:pt idx="640">
                  <c:v>2013</c:v>
                </c:pt>
                <c:pt idx="641">
                  <c:v>2013</c:v>
                </c:pt>
                <c:pt idx="642">
                  <c:v>2013</c:v>
                </c:pt>
                <c:pt idx="643">
                  <c:v>2013</c:v>
                </c:pt>
                <c:pt idx="644">
                  <c:v>2013</c:v>
                </c:pt>
                <c:pt idx="645">
                  <c:v>2013</c:v>
                </c:pt>
                <c:pt idx="646">
                  <c:v>2013</c:v>
                </c:pt>
                <c:pt idx="647">
                  <c:v>2013</c:v>
                </c:pt>
                <c:pt idx="648">
                  <c:v>2014</c:v>
                </c:pt>
                <c:pt idx="649">
                  <c:v>2014</c:v>
                </c:pt>
                <c:pt idx="650">
                  <c:v>2014</c:v>
                </c:pt>
                <c:pt idx="651">
                  <c:v>2014</c:v>
                </c:pt>
                <c:pt idx="652">
                  <c:v>2014</c:v>
                </c:pt>
                <c:pt idx="653">
                  <c:v>2014</c:v>
                </c:pt>
                <c:pt idx="654">
                  <c:v>2014</c:v>
                </c:pt>
                <c:pt idx="655">
                  <c:v>2014</c:v>
                </c:pt>
                <c:pt idx="656">
                  <c:v>2014</c:v>
                </c:pt>
                <c:pt idx="657">
                  <c:v>2014</c:v>
                </c:pt>
                <c:pt idx="658">
                  <c:v>2014</c:v>
                </c:pt>
                <c:pt idx="659">
                  <c:v>2014</c:v>
                </c:pt>
                <c:pt idx="660">
                  <c:v>2015</c:v>
                </c:pt>
                <c:pt idx="661">
                  <c:v>2015</c:v>
                </c:pt>
                <c:pt idx="662">
                  <c:v>2015</c:v>
                </c:pt>
                <c:pt idx="663">
                  <c:v>2015</c:v>
                </c:pt>
                <c:pt idx="664">
                  <c:v>2015</c:v>
                </c:pt>
                <c:pt idx="665">
                  <c:v>2015</c:v>
                </c:pt>
                <c:pt idx="666">
                  <c:v>2015</c:v>
                </c:pt>
                <c:pt idx="667">
                  <c:v>2015</c:v>
                </c:pt>
                <c:pt idx="668">
                  <c:v>2015</c:v>
                </c:pt>
                <c:pt idx="669">
                  <c:v>2015</c:v>
                </c:pt>
                <c:pt idx="670">
                  <c:v>2015</c:v>
                </c:pt>
                <c:pt idx="671">
                  <c:v>2015</c:v>
                </c:pt>
                <c:pt idx="672">
                  <c:v>2016</c:v>
                </c:pt>
                <c:pt idx="673">
                  <c:v>2016</c:v>
                </c:pt>
                <c:pt idx="674">
                  <c:v>2016</c:v>
                </c:pt>
                <c:pt idx="675">
                  <c:v>2016</c:v>
                </c:pt>
                <c:pt idx="676">
                  <c:v>2016</c:v>
                </c:pt>
                <c:pt idx="677">
                  <c:v>2016</c:v>
                </c:pt>
                <c:pt idx="678">
                  <c:v>2016</c:v>
                </c:pt>
                <c:pt idx="679">
                  <c:v>2016</c:v>
                </c:pt>
                <c:pt idx="680">
                  <c:v>2016</c:v>
                </c:pt>
                <c:pt idx="681">
                  <c:v>2016</c:v>
                </c:pt>
                <c:pt idx="682">
                  <c:v>2016</c:v>
                </c:pt>
                <c:pt idx="683">
                  <c:v>2016</c:v>
                </c:pt>
                <c:pt idx="684">
                  <c:v>2017</c:v>
                </c:pt>
                <c:pt idx="685">
                  <c:v>2017</c:v>
                </c:pt>
                <c:pt idx="686">
                  <c:v>2017</c:v>
                </c:pt>
                <c:pt idx="687">
                  <c:v>2017</c:v>
                </c:pt>
                <c:pt idx="688">
                  <c:v>2017</c:v>
                </c:pt>
                <c:pt idx="689">
                  <c:v>2017</c:v>
                </c:pt>
                <c:pt idx="690">
                  <c:v>2017</c:v>
                </c:pt>
                <c:pt idx="691">
                  <c:v>2017</c:v>
                </c:pt>
                <c:pt idx="692">
                  <c:v>2017</c:v>
                </c:pt>
                <c:pt idx="693">
                  <c:v>2017</c:v>
                </c:pt>
                <c:pt idx="694">
                  <c:v>2017</c:v>
                </c:pt>
                <c:pt idx="695">
                  <c:v>2017</c:v>
                </c:pt>
                <c:pt idx="696">
                  <c:v>2018</c:v>
                </c:pt>
                <c:pt idx="697">
                  <c:v>2018</c:v>
                </c:pt>
                <c:pt idx="698">
                  <c:v>2018</c:v>
                </c:pt>
                <c:pt idx="699">
                  <c:v>2018</c:v>
                </c:pt>
                <c:pt idx="700">
                  <c:v>2018</c:v>
                </c:pt>
                <c:pt idx="701">
                  <c:v>2018</c:v>
                </c:pt>
                <c:pt idx="702">
                  <c:v>2018</c:v>
                </c:pt>
                <c:pt idx="703">
                  <c:v>2018</c:v>
                </c:pt>
                <c:pt idx="704">
                  <c:v>2018</c:v>
                </c:pt>
                <c:pt idx="705">
                  <c:v>2018</c:v>
                </c:pt>
                <c:pt idx="706">
                  <c:v>2018</c:v>
                </c:pt>
                <c:pt idx="707">
                  <c:v>2018</c:v>
                </c:pt>
                <c:pt idx="708">
                  <c:v>2019</c:v>
                </c:pt>
                <c:pt idx="709">
                  <c:v>2019</c:v>
                </c:pt>
                <c:pt idx="710">
                  <c:v>2019</c:v>
                </c:pt>
                <c:pt idx="711">
                  <c:v>2019</c:v>
                </c:pt>
                <c:pt idx="712">
                  <c:v>2019</c:v>
                </c:pt>
                <c:pt idx="713">
                  <c:v>2019</c:v>
                </c:pt>
                <c:pt idx="714">
                  <c:v>2019</c:v>
                </c:pt>
                <c:pt idx="715">
                  <c:v>2019</c:v>
                </c:pt>
                <c:pt idx="716">
                  <c:v>2019</c:v>
                </c:pt>
                <c:pt idx="717">
                  <c:v>2019</c:v>
                </c:pt>
                <c:pt idx="718">
                  <c:v>2019</c:v>
                </c:pt>
                <c:pt idx="719">
                  <c:v>2019</c:v>
                </c:pt>
                <c:pt idx="720">
                  <c:v>2020</c:v>
                </c:pt>
                <c:pt idx="721">
                  <c:v>2020</c:v>
                </c:pt>
                <c:pt idx="722">
                  <c:v>2020</c:v>
                </c:pt>
                <c:pt idx="723">
                  <c:v>2020</c:v>
                </c:pt>
                <c:pt idx="724">
                  <c:v>2020</c:v>
                </c:pt>
                <c:pt idx="725">
                  <c:v>2020</c:v>
                </c:pt>
                <c:pt idx="726">
                  <c:v>2020</c:v>
                </c:pt>
                <c:pt idx="727">
                  <c:v>2020</c:v>
                </c:pt>
                <c:pt idx="728">
                  <c:v>2020</c:v>
                </c:pt>
                <c:pt idx="729">
                  <c:v>2020</c:v>
                </c:pt>
                <c:pt idx="730">
                  <c:v>2020</c:v>
                </c:pt>
                <c:pt idx="731">
                  <c:v>2020</c:v>
                </c:pt>
                <c:pt idx="732">
                  <c:v>2021</c:v>
                </c:pt>
                <c:pt idx="733">
                  <c:v>2021</c:v>
                </c:pt>
                <c:pt idx="734">
                  <c:v>2021</c:v>
                </c:pt>
                <c:pt idx="735">
                  <c:v>2021</c:v>
                </c:pt>
                <c:pt idx="736">
                  <c:v>2021</c:v>
                </c:pt>
                <c:pt idx="737">
                  <c:v>2021</c:v>
                </c:pt>
                <c:pt idx="738">
                  <c:v>2021</c:v>
                </c:pt>
                <c:pt idx="739">
                  <c:v>2021</c:v>
                </c:pt>
                <c:pt idx="740">
                  <c:v>2021</c:v>
                </c:pt>
                <c:pt idx="741">
                  <c:v>2021</c:v>
                </c:pt>
                <c:pt idx="742">
                  <c:v>2021</c:v>
                </c:pt>
                <c:pt idx="743">
                  <c:v>2021</c:v>
                </c:pt>
                <c:pt idx="744">
                  <c:v>2022</c:v>
                </c:pt>
                <c:pt idx="745">
                  <c:v>2022</c:v>
                </c:pt>
                <c:pt idx="746">
                  <c:v>2022</c:v>
                </c:pt>
                <c:pt idx="747">
                  <c:v>2022</c:v>
                </c:pt>
                <c:pt idx="748">
                  <c:v>2022</c:v>
                </c:pt>
                <c:pt idx="749">
                  <c:v>2022</c:v>
                </c:pt>
                <c:pt idx="750">
                  <c:v>2022</c:v>
                </c:pt>
                <c:pt idx="751">
                  <c:v>2022</c:v>
                </c:pt>
                <c:pt idx="752">
                  <c:v>2022</c:v>
                </c:pt>
                <c:pt idx="753">
                  <c:v>2022</c:v>
                </c:pt>
                <c:pt idx="754">
                  <c:v>2022</c:v>
                </c:pt>
                <c:pt idx="755">
                  <c:v>2022</c:v>
                </c:pt>
                <c:pt idx="756">
                  <c:v>2023</c:v>
                </c:pt>
                <c:pt idx="757">
                  <c:v>2023</c:v>
                </c:pt>
                <c:pt idx="758">
                  <c:v>2023</c:v>
                </c:pt>
                <c:pt idx="759">
                  <c:v>2023</c:v>
                </c:pt>
                <c:pt idx="760">
                  <c:v>2023</c:v>
                </c:pt>
                <c:pt idx="761">
                  <c:v>2023</c:v>
                </c:pt>
                <c:pt idx="762">
                  <c:v>2023</c:v>
                </c:pt>
                <c:pt idx="763">
                  <c:v>2023</c:v>
                </c:pt>
                <c:pt idx="764">
                  <c:v>2023</c:v>
                </c:pt>
                <c:pt idx="765">
                  <c:v>2023</c:v>
                </c:pt>
                <c:pt idx="766">
                  <c:v>2023</c:v>
                </c:pt>
                <c:pt idx="767">
                  <c:v>2023</c:v>
                </c:pt>
                <c:pt idx="768">
                  <c:v>2024</c:v>
                </c:pt>
                <c:pt idx="769">
                  <c:v>2024</c:v>
                </c:pt>
                <c:pt idx="770">
                  <c:v>2024</c:v>
                </c:pt>
                <c:pt idx="771">
                  <c:v>2024</c:v>
                </c:pt>
                <c:pt idx="772">
                  <c:v>2024</c:v>
                </c:pt>
                <c:pt idx="773">
                  <c:v>2024</c:v>
                </c:pt>
                <c:pt idx="774">
                  <c:v>2024</c:v>
                </c:pt>
                <c:pt idx="775">
                  <c:v>2024</c:v>
                </c:pt>
                <c:pt idx="776">
                  <c:v>2024</c:v>
                </c:pt>
                <c:pt idx="777">
                  <c:v>2024</c:v>
                </c:pt>
                <c:pt idx="778">
                  <c:v>2024</c:v>
                </c:pt>
                <c:pt idx="779">
                  <c:v>2024</c:v>
                </c:pt>
                <c:pt idx="780">
                  <c:v>2025</c:v>
                </c:pt>
                <c:pt idx="781">
                  <c:v>2025</c:v>
                </c:pt>
                <c:pt idx="782">
                  <c:v>2025</c:v>
                </c:pt>
                <c:pt idx="783">
                  <c:v>2025</c:v>
                </c:pt>
                <c:pt idx="784">
                  <c:v>2025</c:v>
                </c:pt>
                <c:pt idx="785">
                  <c:v>2025</c:v>
                </c:pt>
                <c:pt idx="786">
                  <c:v>2025</c:v>
                </c:pt>
                <c:pt idx="787">
                  <c:v>2025</c:v>
                </c:pt>
                <c:pt idx="788">
                  <c:v>2025</c:v>
                </c:pt>
                <c:pt idx="789">
                  <c:v>2025</c:v>
                </c:pt>
                <c:pt idx="790">
                  <c:v>2025</c:v>
                </c:pt>
                <c:pt idx="791">
                  <c:v>2025</c:v>
                </c:pt>
                <c:pt idx="792">
                  <c:v>2026</c:v>
                </c:pt>
                <c:pt idx="793">
                  <c:v>2026</c:v>
                </c:pt>
                <c:pt idx="794">
                  <c:v>2026</c:v>
                </c:pt>
                <c:pt idx="795">
                  <c:v>2026</c:v>
                </c:pt>
                <c:pt idx="796">
                  <c:v>2026</c:v>
                </c:pt>
                <c:pt idx="797">
                  <c:v>2026</c:v>
                </c:pt>
              </c:numCache>
            </c:numRef>
          </c:cat>
          <c:val>
            <c:numRef>
              <c:f>'Chart 1'!$C$3:$C$800</c:f>
              <c:numCache>
                <c:formatCode>General</c:formatCode>
                <c:ptCount val="798"/>
                <c:pt idx="0">
                  <c:v>0.3243189302464824</c:v>
                </c:pt>
                <c:pt idx="1">
                  <c:v>0.33021563806914572</c:v>
                </c:pt>
                <c:pt idx="2">
                  <c:v>0.31071114296341323</c:v>
                </c:pt>
                <c:pt idx="3">
                  <c:v>0.32794767352196752</c:v>
                </c:pt>
                <c:pt idx="4">
                  <c:v>0.31071114296341323</c:v>
                </c:pt>
                <c:pt idx="5">
                  <c:v>0.31388629332946266</c:v>
                </c:pt>
                <c:pt idx="6">
                  <c:v>0.31842222242381907</c:v>
                </c:pt>
                <c:pt idx="7">
                  <c:v>0.30662880677849247</c:v>
                </c:pt>
                <c:pt idx="8">
                  <c:v>0.29347461240485889</c:v>
                </c:pt>
                <c:pt idx="9">
                  <c:v>0.27805245348404717</c:v>
                </c:pt>
                <c:pt idx="10">
                  <c:v>0.29120664785768069</c:v>
                </c:pt>
                <c:pt idx="11">
                  <c:v>0.28893868331050249</c:v>
                </c:pt>
                <c:pt idx="12">
                  <c:v>0.27533089602743333</c:v>
                </c:pt>
                <c:pt idx="13">
                  <c:v>0.27986682512178973</c:v>
                </c:pt>
                <c:pt idx="14">
                  <c:v>0.28168119675953229</c:v>
                </c:pt>
                <c:pt idx="15">
                  <c:v>0.28667071876332428</c:v>
                </c:pt>
                <c:pt idx="16">
                  <c:v>0.30300006350300734</c:v>
                </c:pt>
                <c:pt idx="17">
                  <c:v>0.2957425769520371</c:v>
                </c:pt>
                <c:pt idx="18">
                  <c:v>0.28712431167275992</c:v>
                </c:pt>
                <c:pt idx="19">
                  <c:v>0.28848509040106685</c:v>
                </c:pt>
                <c:pt idx="20">
                  <c:v>0.28712431167275992</c:v>
                </c:pt>
                <c:pt idx="21">
                  <c:v>0.285763532944453</c:v>
                </c:pt>
                <c:pt idx="22">
                  <c:v>0.28667071876332428</c:v>
                </c:pt>
                <c:pt idx="23">
                  <c:v>0.28803149749163121</c:v>
                </c:pt>
                <c:pt idx="24">
                  <c:v>0.28803149749163121</c:v>
                </c:pt>
                <c:pt idx="25">
                  <c:v>0.29392820531429453</c:v>
                </c:pt>
                <c:pt idx="26">
                  <c:v>0.29392820531429453</c:v>
                </c:pt>
                <c:pt idx="27">
                  <c:v>0.29302101949542325</c:v>
                </c:pt>
                <c:pt idx="28">
                  <c:v>0.29302101949542325</c:v>
                </c:pt>
                <c:pt idx="29">
                  <c:v>0.29302101949542325</c:v>
                </c:pt>
                <c:pt idx="30">
                  <c:v>0.29302101949542325</c:v>
                </c:pt>
                <c:pt idx="31">
                  <c:v>0.29302101949542325</c:v>
                </c:pt>
                <c:pt idx="32">
                  <c:v>0.29302101949542325</c:v>
                </c:pt>
                <c:pt idx="33">
                  <c:v>0.29302101949542325</c:v>
                </c:pt>
                <c:pt idx="34">
                  <c:v>0.29302101949542325</c:v>
                </c:pt>
                <c:pt idx="35">
                  <c:v>0.29302101949542325</c:v>
                </c:pt>
                <c:pt idx="36">
                  <c:v>0.29302101949542325</c:v>
                </c:pt>
                <c:pt idx="37">
                  <c:v>0.29302101949542325</c:v>
                </c:pt>
                <c:pt idx="38">
                  <c:v>0.29302101949542325</c:v>
                </c:pt>
                <c:pt idx="39">
                  <c:v>0.29302101949542325</c:v>
                </c:pt>
                <c:pt idx="40">
                  <c:v>0.29302101949542325</c:v>
                </c:pt>
                <c:pt idx="41">
                  <c:v>0.29302101949542325</c:v>
                </c:pt>
                <c:pt idx="42">
                  <c:v>0.29302101949542325</c:v>
                </c:pt>
                <c:pt idx="43">
                  <c:v>0.29302101949542325</c:v>
                </c:pt>
                <c:pt idx="44">
                  <c:v>0.29302101949542325</c:v>
                </c:pt>
                <c:pt idx="45">
                  <c:v>0.29302101949542325</c:v>
                </c:pt>
                <c:pt idx="46">
                  <c:v>0.29302101949542325</c:v>
                </c:pt>
                <c:pt idx="47">
                  <c:v>0.29483539113316581</c:v>
                </c:pt>
                <c:pt idx="48">
                  <c:v>0.29755694858977966</c:v>
                </c:pt>
                <c:pt idx="49">
                  <c:v>0.31479347914833394</c:v>
                </c:pt>
                <c:pt idx="50">
                  <c:v>0.33792671752955161</c:v>
                </c:pt>
                <c:pt idx="51">
                  <c:v>0.39099708793352145</c:v>
                </c:pt>
                <c:pt idx="52">
                  <c:v>0.37557492901270967</c:v>
                </c:pt>
                <c:pt idx="53">
                  <c:v>0.36650307082399691</c:v>
                </c:pt>
                <c:pt idx="54">
                  <c:v>0.38782193756747196</c:v>
                </c:pt>
                <c:pt idx="55">
                  <c:v>0.45313931652620409</c:v>
                </c:pt>
                <c:pt idx="56">
                  <c:v>0.52707496076421334</c:v>
                </c:pt>
                <c:pt idx="57">
                  <c:v>0.61597917101359878</c:v>
                </c:pt>
                <c:pt idx="58">
                  <c:v>0.63503007320989557</c:v>
                </c:pt>
                <c:pt idx="59">
                  <c:v>0.57560940207382683</c:v>
                </c:pt>
                <c:pt idx="60">
                  <c:v>0.45404650234507538</c:v>
                </c:pt>
                <c:pt idx="61">
                  <c:v>0.53523963313405487</c:v>
                </c:pt>
                <c:pt idx="62">
                  <c:v>0.56109442897188633</c:v>
                </c:pt>
                <c:pt idx="63">
                  <c:v>0.61144324191924238</c:v>
                </c:pt>
                <c:pt idx="64">
                  <c:v>0.62550462211174718</c:v>
                </c:pt>
                <c:pt idx="65">
                  <c:v>0.59375311845125245</c:v>
                </c:pt>
                <c:pt idx="66">
                  <c:v>0.5143743593000154</c:v>
                </c:pt>
                <c:pt idx="67">
                  <c:v>0.54884742041712409</c:v>
                </c:pt>
                <c:pt idx="68">
                  <c:v>0.60237138373052956</c:v>
                </c:pt>
                <c:pt idx="69">
                  <c:v>0.63593725902876685</c:v>
                </c:pt>
                <c:pt idx="70">
                  <c:v>0.66632798396095472</c:v>
                </c:pt>
                <c:pt idx="71">
                  <c:v>0.68855403652330105</c:v>
                </c:pt>
                <c:pt idx="72">
                  <c:v>0.76158249494243913</c:v>
                </c:pt>
                <c:pt idx="73">
                  <c:v>0.85003311228238887</c:v>
                </c:pt>
                <c:pt idx="74">
                  <c:v>0.85048670519182445</c:v>
                </c:pt>
                <c:pt idx="75">
                  <c:v>0.86500167829376495</c:v>
                </c:pt>
                <c:pt idx="76">
                  <c:v>0.75477860130090446</c:v>
                </c:pt>
                <c:pt idx="77">
                  <c:v>0.76929357440284496</c:v>
                </c:pt>
                <c:pt idx="78">
                  <c:v>0.71123368199508308</c:v>
                </c:pt>
                <c:pt idx="79">
                  <c:v>0.54204352677558942</c:v>
                </c:pt>
                <c:pt idx="80">
                  <c:v>0.51165280184340156</c:v>
                </c:pt>
                <c:pt idx="81">
                  <c:v>0.57833095953044067</c:v>
                </c:pt>
                <c:pt idx="82">
                  <c:v>0.59057796808520291</c:v>
                </c:pt>
                <c:pt idx="83">
                  <c:v>0.55111538496430224</c:v>
                </c:pt>
                <c:pt idx="84">
                  <c:v>0.56426957933793587</c:v>
                </c:pt>
                <c:pt idx="85">
                  <c:v>0.55338334951148049</c:v>
                </c:pt>
                <c:pt idx="86">
                  <c:v>0.4980450145603324</c:v>
                </c:pt>
                <c:pt idx="87">
                  <c:v>0.45132494488846153</c:v>
                </c:pt>
                <c:pt idx="88">
                  <c:v>0.46992225417532274</c:v>
                </c:pt>
                <c:pt idx="89">
                  <c:v>0.46039680307717434</c:v>
                </c:pt>
                <c:pt idx="90">
                  <c:v>0.45223213070733281</c:v>
                </c:pt>
                <c:pt idx="91">
                  <c:v>0.47400459036024351</c:v>
                </c:pt>
                <c:pt idx="92">
                  <c:v>0.48080848400177811</c:v>
                </c:pt>
                <c:pt idx="93">
                  <c:v>0.51618873093775797</c:v>
                </c:pt>
                <c:pt idx="94">
                  <c:v>0.65498816122506376</c:v>
                </c:pt>
                <c:pt idx="95">
                  <c:v>0.600557012092787</c:v>
                </c:pt>
                <c:pt idx="96">
                  <c:v>0.63911240939481639</c:v>
                </c:pt>
                <c:pt idx="97">
                  <c:v>0.78017980422930033</c:v>
                </c:pt>
                <c:pt idx="98">
                  <c:v>0.77156153895002322</c:v>
                </c:pt>
                <c:pt idx="99">
                  <c:v>0.56925910134172786</c:v>
                </c:pt>
                <c:pt idx="100">
                  <c:v>0.49759142165089676</c:v>
                </c:pt>
                <c:pt idx="101">
                  <c:v>0.51573513802832238</c:v>
                </c:pt>
                <c:pt idx="102">
                  <c:v>0.47808692654516427</c:v>
                </c:pt>
                <c:pt idx="103">
                  <c:v>0.47899411236403555</c:v>
                </c:pt>
                <c:pt idx="104">
                  <c:v>0.50348812947356014</c:v>
                </c:pt>
                <c:pt idx="105">
                  <c:v>0.48988034219049092</c:v>
                </c:pt>
                <c:pt idx="106">
                  <c:v>0.49895220037920368</c:v>
                </c:pt>
                <c:pt idx="107">
                  <c:v>0.53750759768123313</c:v>
                </c:pt>
                <c:pt idx="108">
                  <c:v>0.56971269425116344</c:v>
                </c:pt>
                <c:pt idx="109">
                  <c:v>0.58286688862479707</c:v>
                </c:pt>
                <c:pt idx="110">
                  <c:v>0.57969173825874754</c:v>
                </c:pt>
                <c:pt idx="111">
                  <c:v>0.62958695829666789</c:v>
                </c:pt>
                <c:pt idx="112">
                  <c:v>0.63140132993441045</c:v>
                </c:pt>
                <c:pt idx="113">
                  <c:v>0.67267828469305369</c:v>
                </c:pt>
                <c:pt idx="114">
                  <c:v>0.65952409031942016</c:v>
                </c:pt>
                <c:pt idx="115">
                  <c:v>0.728923805463073</c:v>
                </c:pt>
                <c:pt idx="116">
                  <c:v>0.71622320399887518</c:v>
                </c:pt>
                <c:pt idx="117">
                  <c:v>0.70488338126298411</c:v>
                </c:pt>
                <c:pt idx="118">
                  <c:v>0.73981003528952838</c:v>
                </c:pt>
                <c:pt idx="119">
                  <c:v>0.77110794604058752</c:v>
                </c:pt>
                <c:pt idx="120">
                  <c:v>0.73754207074235023</c:v>
                </c:pt>
                <c:pt idx="121">
                  <c:v>0.75160345093485503</c:v>
                </c:pt>
                <c:pt idx="122">
                  <c:v>0.79560196315011211</c:v>
                </c:pt>
                <c:pt idx="123">
                  <c:v>0.79015884823688443</c:v>
                </c:pt>
                <c:pt idx="124">
                  <c:v>0.72484146927815229</c:v>
                </c:pt>
                <c:pt idx="125">
                  <c:v>0.66133846195716273</c:v>
                </c:pt>
                <c:pt idx="126">
                  <c:v>0.62006150719851949</c:v>
                </c:pt>
                <c:pt idx="127">
                  <c:v>0.57470221625495554</c:v>
                </c:pt>
                <c:pt idx="128">
                  <c:v>0.56563035806624273</c:v>
                </c:pt>
                <c:pt idx="129">
                  <c:v>0.51800310257550053</c:v>
                </c:pt>
                <c:pt idx="130">
                  <c:v>0.49214830673766913</c:v>
                </c:pt>
                <c:pt idx="131">
                  <c:v>0.47445818326967915</c:v>
                </c:pt>
                <c:pt idx="132">
                  <c:v>0.45812883852999614</c:v>
                </c:pt>
                <c:pt idx="133">
                  <c:v>0.46266476762435255</c:v>
                </c:pt>
                <c:pt idx="134">
                  <c:v>0.51891028839437181</c:v>
                </c:pt>
                <c:pt idx="135">
                  <c:v>0.56789832261342088</c:v>
                </c:pt>
                <c:pt idx="136">
                  <c:v>0.5053025011113027</c:v>
                </c:pt>
                <c:pt idx="137">
                  <c:v>0.48715878473387708</c:v>
                </c:pt>
                <c:pt idx="138">
                  <c:v>0.50575609402073829</c:v>
                </c:pt>
                <c:pt idx="139">
                  <c:v>0.4980450145603324</c:v>
                </c:pt>
                <c:pt idx="140">
                  <c:v>0.47899411236403555</c:v>
                </c:pt>
                <c:pt idx="141">
                  <c:v>0.47219021872250094</c:v>
                </c:pt>
                <c:pt idx="142">
                  <c:v>0.4599432101677387</c:v>
                </c:pt>
                <c:pt idx="143">
                  <c:v>0.47082943999419402</c:v>
                </c:pt>
                <c:pt idx="144">
                  <c:v>0.48897315637161964</c:v>
                </c:pt>
                <c:pt idx="145">
                  <c:v>0.50439531529243142</c:v>
                </c:pt>
                <c:pt idx="146">
                  <c:v>0.50258094365468886</c:v>
                </c:pt>
                <c:pt idx="147">
                  <c:v>0.51392076639057982</c:v>
                </c:pt>
                <c:pt idx="148">
                  <c:v>0.50167375783581758</c:v>
                </c:pt>
                <c:pt idx="149">
                  <c:v>0.48216926273008504</c:v>
                </c:pt>
                <c:pt idx="150">
                  <c:v>0.4694686612658871</c:v>
                </c:pt>
                <c:pt idx="151">
                  <c:v>0.47491177617911479</c:v>
                </c:pt>
                <c:pt idx="152">
                  <c:v>0.48126207691121375</c:v>
                </c:pt>
                <c:pt idx="153">
                  <c:v>0.41639829086191726</c:v>
                </c:pt>
                <c:pt idx="154">
                  <c:v>0.45676805980168922</c:v>
                </c:pt>
                <c:pt idx="155">
                  <c:v>0.46447913926209505</c:v>
                </c:pt>
                <c:pt idx="156">
                  <c:v>0.50757046565848085</c:v>
                </c:pt>
                <c:pt idx="157">
                  <c:v>0.56426957933793587</c:v>
                </c:pt>
                <c:pt idx="158">
                  <c:v>0.68492529324781604</c:v>
                </c:pt>
                <c:pt idx="159">
                  <c:v>0.72030554018379589</c:v>
                </c:pt>
                <c:pt idx="160">
                  <c:v>0.70397619544411283</c:v>
                </c:pt>
                <c:pt idx="161">
                  <c:v>0.79333399860293385</c:v>
                </c:pt>
                <c:pt idx="162">
                  <c:v>0.91671126996942787</c:v>
                </c:pt>
                <c:pt idx="163">
                  <c:v>0.96297774673186309</c:v>
                </c:pt>
                <c:pt idx="164">
                  <c:v>0.87815587266739847</c:v>
                </c:pt>
                <c:pt idx="165">
                  <c:v>0.93666935798459605</c:v>
                </c:pt>
                <c:pt idx="166">
                  <c:v>1.0310166831472092</c:v>
                </c:pt>
                <c:pt idx="167">
                  <c:v>1.0178624887735754</c:v>
                </c:pt>
                <c:pt idx="168">
                  <c:v>0.92170079197321997</c:v>
                </c:pt>
                <c:pt idx="169">
                  <c:v>1.0396349484264862</c:v>
                </c:pt>
                <c:pt idx="170">
                  <c:v>1.2442053505819597</c:v>
                </c:pt>
                <c:pt idx="171">
                  <c:v>1.3752937014088595</c:v>
                </c:pt>
                <c:pt idx="172">
                  <c:v>1.3045332075368998</c:v>
                </c:pt>
                <c:pt idx="173">
                  <c:v>1.106766699022961</c:v>
                </c:pt>
                <c:pt idx="174">
                  <c:v>0.87044479320699264</c:v>
                </c:pt>
                <c:pt idx="175">
                  <c:v>0.81782801571245844</c:v>
                </c:pt>
                <c:pt idx="176">
                  <c:v>0.66269924068546959</c:v>
                </c:pt>
                <c:pt idx="177">
                  <c:v>0.63457648030045999</c:v>
                </c:pt>
                <c:pt idx="178">
                  <c:v>0.64274115267030152</c:v>
                </c:pt>
                <c:pt idx="179">
                  <c:v>0.58468126026253964</c:v>
                </c:pt>
                <c:pt idx="180">
                  <c:v>0.54930101332655967</c:v>
                </c:pt>
                <c:pt idx="181">
                  <c:v>0.57470221625495554</c:v>
                </c:pt>
                <c:pt idx="182">
                  <c:v>0.60962887028149981</c:v>
                </c:pt>
                <c:pt idx="183">
                  <c:v>0.60282497663996515</c:v>
                </c:pt>
                <c:pt idx="184">
                  <c:v>0.56880550843229216</c:v>
                </c:pt>
                <c:pt idx="185">
                  <c:v>0.54113634095671814</c:v>
                </c:pt>
                <c:pt idx="186">
                  <c:v>0.55429053533035177</c:v>
                </c:pt>
                <c:pt idx="187">
                  <c:v>0.57923814534931195</c:v>
                </c:pt>
                <c:pt idx="188">
                  <c:v>0.54884742041712409</c:v>
                </c:pt>
                <c:pt idx="189">
                  <c:v>0.53478604022461929</c:v>
                </c:pt>
                <c:pt idx="190">
                  <c:v>0.53523963313405487</c:v>
                </c:pt>
                <c:pt idx="191">
                  <c:v>0.52208543876042135</c:v>
                </c:pt>
                <c:pt idx="192">
                  <c:v>0.54113634095671814</c:v>
                </c:pt>
                <c:pt idx="193">
                  <c:v>0.5529297566020448</c:v>
                </c:pt>
                <c:pt idx="194">
                  <c:v>0.60282497663996515</c:v>
                </c:pt>
                <c:pt idx="195">
                  <c:v>0.68492529324781604</c:v>
                </c:pt>
                <c:pt idx="196">
                  <c:v>0.68583247906668732</c:v>
                </c:pt>
                <c:pt idx="197">
                  <c:v>0.70306900962524155</c:v>
                </c:pt>
                <c:pt idx="198">
                  <c:v>0.74706752184049863</c:v>
                </c:pt>
                <c:pt idx="199">
                  <c:v>0.69807948762144956</c:v>
                </c:pt>
                <c:pt idx="200">
                  <c:v>0.66179205486659831</c:v>
                </c:pt>
                <c:pt idx="201">
                  <c:v>0.58286688862479707</c:v>
                </c:pt>
                <c:pt idx="202">
                  <c:v>0.58014533116818323</c:v>
                </c:pt>
                <c:pt idx="203">
                  <c:v>0.58377407444366836</c:v>
                </c:pt>
                <c:pt idx="204">
                  <c:v>0.63321570157215301</c:v>
                </c:pt>
                <c:pt idx="205">
                  <c:v>0.64682348885522223</c:v>
                </c:pt>
                <c:pt idx="206">
                  <c:v>0.68719325779499418</c:v>
                </c:pt>
                <c:pt idx="207">
                  <c:v>0.64818426758352921</c:v>
                </c:pt>
                <c:pt idx="208">
                  <c:v>0.62187587883626205</c:v>
                </c:pt>
                <c:pt idx="209">
                  <c:v>0.59511389717955931</c:v>
                </c:pt>
                <c:pt idx="210">
                  <c:v>0.56608395097567843</c:v>
                </c:pt>
                <c:pt idx="211">
                  <c:v>0.52616777494534206</c:v>
                </c:pt>
                <c:pt idx="212">
                  <c:v>0.54204352677558942</c:v>
                </c:pt>
                <c:pt idx="213">
                  <c:v>0.54884742041712409</c:v>
                </c:pt>
                <c:pt idx="214">
                  <c:v>0.53614681895292615</c:v>
                </c:pt>
                <c:pt idx="215">
                  <c:v>0.5719806587983417</c:v>
                </c:pt>
                <c:pt idx="216">
                  <c:v>0.5719806587983417</c:v>
                </c:pt>
                <c:pt idx="217">
                  <c:v>0.55202257078317352</c:v>
                </c:pt>
                <c:pt idx="218">
                  <c:v>0.56880550843229216</c:v>
                </c:pt>
                <c:pt idx="219">
                  <c:v>0.58286688862479707</c:v>
                </c:pt>
                <c:pt idx="220">
                  <c:v>0.59103156099463861</c:v>
                </c:pt>
                <c:pt idx="221">
                  <c:v>0.60463934827770771</c:v>
                </c:pt>
                <c:pt idx="222">
                  <c:v>0.60645371991545027</c:v>
                </c:pt>
                <c:pt idx="223">
                  <c:v>0.64682348885522223</c:v>
                </c:pt>
                <c:pt idx="224">
                  <c:v>0.65408097540619248</c:v>
                </c:pt>
                <c:pt idx="225">
                  <c:v>0.68311092161007347</c:v>
                </c:pt>
                <c:pt idx="226">
                  <c:v>0.6717710988741824</c:v>
                </c:pt>
                <c:pt idx="227">
                  <c:v>0.69535793016483571</c:v>
                </c:pt>
                <c:pt idx="228">
                  <c:v>0.75251063675372631</c:v>
                </c:pt>
                <c:pt idx="229">
                  <c:v>0.8817846159428836</c:v>
                </c:pt>
                <c:pt idx="230">
                  <c:v>0.92986546434306139</c:v>
                </c:pt>
                <c:pt idx="231">
                  <c:v>0.95254510981484342</c:v>
                </c:pt>
                <c:pt idx="232">
                  <c:v>0.87361994357304207</c:v>
                </c:pt>
                <c:pt idx="233">
                  <c:v>0.85184748392013143</c:v>
                </c:pt>
                <c:pt idx="234">
                  <c:v>0.82281753771625044</c:v>
                </c:pt>
                <c:pt idx="235">
                  <c:v>0.8962995890448241</c:v>
                </c:pt>
                <c:pt idx="236">
                  <c:v>0.95073073817710085</c:v>
                </c:pt>
                <c:pt idx="237">
                  <c:v>0.94165887998838804</c:v>
                </c:pt>
                <c:pt idx="238">
                  <c:v>0.94800918072048701</c:v>
                </c:pt>
                <c:pt idx="239">
                  <c:v>1.0042547014905063</c:v>
                </c:pt>
                <c:pt idx="240">
                  <c:v>1.1797951574420988</c:v>
                </c:pt>
                <c:pt idx="241">
                  <c:v>1.3235841097331966</c:v>
                </c:pt>
                <c:pt idx="242">
                  <c:v>1.0459852491585853</c:v>
                </c:pt>
                <c:pt idx="243">
                  <c:v>0.9389373225317742</c:v>
                </c:pt>
                <c:pt idx="244">
                  <c:v>0.92396875652039812</c:v>
                </c:pt>
                <c:pt idx="245">
                  <c:v>0.90990737632789331</c:v>
                </c:pt>
                <c:pt idx="246">
                  <c:v>0.98701817093195199</c:v>
                </c:pt>
                <c:pt idx="247">
                  <c:v>0.94438043744500189</c:v>
                </c:pt>
                <c:pt idx="248">
                  <c:v>0.93440139343741779</c:v>
                </c:pt>
                <c:pt idx="249">
                  <c:v>0.92532953524870509</c:v>
                </c:pt>
                <c:pt idx="250">
                  <c:v>0.91172174796563588</c:v>
                </c:pt>
                <c:pt idx="251">
                  <c:v>0.85230107682956702</c:v>
                </c:pt>
                <c:pt idx="252">
                  <c:v>0.84776514773521061</c:v>
                </c:pt>
                <c:pt idx="253">
                  <c:v>0.81692082989358716</c:v>
                </c:pt>
                <c:pt idx="254">
                  <c:v>0.824631909353993</c:v>
                </c:pt>
                <c:pt idx="255">
                  <c:v>0.82599268808229998</c:v>
                </c:pt>
                <c:pt idx="256">
                  <c:v>0.79015884823688443</c:v>
                </c:pt>
                <c:pt idx="257">
                  <c:v>0.77110794604058752</c:v>
                </c:pt>
                <c:pt idx="258">
                  <c:v>0.76294327367074599</c:v>
                </c:pt>
                <c:pt idx="259">
                  <c:v>0.8105705291614882</c:v>
                </c:pt>
                <c:pt idx="260">
                  <c:v>0.77564387513494393</c:v>
                </c:pt>
                <c:pt idx="261">
                  <c:v>0.75568578711977574</c:v>
                </c:pt>
                <c:pt idx="262">
                  <c:v>0.74888189347824119</c:v>
                </c:pt>
                <c:pt idx="263">
                  <c:v>0.75069626511598375</c:v>
                </c:pt>
                <c:pt idx="264">
                  <c:v>0.73073817710081557</c:v>
                </c:pt>
                <c:pt idx="265">
                  <c:v>0.72484146927815229</c:v>
                </c:pt>
                <c:pt idx="266">
                  <c:v>0.68492529324781604</c:v>
                </c:pt>
                <c:pt idx="267">
                  <c:v>0.69036840816104361</c:v>
                </c:pt>
                <c:pt idx="268">
                  <c:v>0.69308996561765746</c:v>
                </c:pt>
                <c:pt idx="269">
                  <c:v>0.58967078226633163</c:v>
                </c:pt>
                <c:pt idx="270">
                  <c:v>0.65362738249675689</c:v>
                </c:pt>
                <c:pt idx="271">
                  <c:v>0.65861690450054888</c:v>
                </c:pt>
                <c:pt idx="272">
                  <c:v>0.64727708176465792</c:v>
                </c:pt>
                <c:pt idx="273">
                  <c:v>0.66269924068546959</c:v>
                </c:pt>
                <c:pt idx="274">
                  <c:v>0.65498816122506376</c:v>
                </c:pt>
                <c:pt idx="275">
                  <c:v>0.66814235559869728</c:v>
                </c:pt>
                <c:pt idx="276">
                  <c:v>0.71304805363282564</c:v>
                </c:pt>
                <c:pt idx="277">
                  <c:v>0.74706752184049863</c:v>
                </c:pt>
                <c:pt idx="278">
                  <c:v>0.72484146927815229</c:v>
                </c:pt>
                <c:pt idx="279">
                  <c:v>0.75976812330469656</c:v>
                </c:pt>
                <c:pt idx="280">
                  <c:v>0.8010450780633398</c:v>
                </c:pt>
                <c:pt idx="281">
                  <c:v>0.77156153895002322</c:v>
                </c:pt>
                <c:pt idx="282">
                  <c:v>0.77292231767833008</c:v>
                </c:pt>
                <c:pt idx="283">
                  <c:v>0.7438923714744492</c:v>
                </c:pt>
                <c:pt idx="284">
                  <c:v>0.70805853162903365</c:v>
                </c:pt>
                <c:pt idx="285">
                  <c:v>0.65090582504014305</c:v>
                </c:pt>
                <c:pt idx="286">
                  <c:v>0.63004055120610358</c:v>
                </c:pt>
                <c:pt idx="287">
                  <c:v>0.64183396685143024</c:v>
                </c:pt>
                <c:pt idx="288">
                  <c:v>0.62414384338344031</c:v>
                </c:pt>
                <c:pt idx="289">
                  <c:v>0.64863786049296479</c:v>
                </c:pt>
                <c:pt idx="290">
                  <c:v>0.68084295706289522</c:v>
                </c:pt>
                <c:pt idx="291">
                  <c:v>0.69535793016483571</c:v>
                </c:pt>
                <c:pt idx="292">
                  <c:v>0.64455552430804408</c:v>
                </c:pt>
                <c:pt idx="293">
                  <c:v>0.62006150719851949</c:v>
                </c:pt>
                <c:pt idx="294">
                  <c:v>0.60373216245883643</c:v>
                </c:pt>
                <c:pt idx="295">
                  <c:v>0.60690731282488597</c:v>
                </c:pt>
                <c:pt idx="296">
                  <c:v>0.58694922480971778</c:v>
                </c:pt>
                <c:pt idx="297">
                  <c:v>0.57742377371156939</c:v>
                </c:pt>
                <c:pt idx="298">
                  <c:v>0.6100824631909354</c:v>
                </c:pt>
                <c:pt idx="299">
                  <c:v>0.59919623336448002</c:v>
                </c:pt>
                <c:pt idx="300">
                  <c:v>0.61643276392303437</c:v>
                </c:pt>
                <c:pt idx="301">
                  <c:v>0.63004055120610358</c:v>
                </c:pt>
                <c:pt idx="302">
                  <c:v>0.63049414411553917</c:v>
                </c:pt>
                <c:pt idx="303">
                  <c:v>0.68129654997233091</c:v>
                </c:pt>
                <c:pt idx="304">
                  <c:v>0.69445074434596443</c:v>
                </c:pt>
                <c:pt idx="305">
                  <c:v>0.64954504631183607</c:v>
                </c:pt>
                <c:pt idx="306">
                  <c:v>0.66904954141756856</c:v>
                </c:pt>
                <c:pt idx="307">
                  <c:v>0.64410193139860838</c:v>
                </c:pt>
                <c:pt idx="308">
                  <c:v>0.61960791428908391</c:v>
                </c:pt>
                <c:pt idx="309">
                  <c:v>0.62822617956836102</c:v>
                </c:pt>
                <c:pt idx="310">
                  <c:v>0.62142228592682647</c:v>
                </c:pt>
                <c:pt idx="311">
                  <c:v>0.63094773702497486</c:v>
                </c:pt>
                <c:pt idx="312">
                  <c:v>0.6431947455797371</c:v>
                </c:pt>
                <c:pt idx="313">
                  <c:v>0.63775163066650942</c:v>
                </c:pt>
                <c:pt idx="314">
                  <c:v>0.65544175413449945</c:v>
                </c:pt>
                <c:pt idx="315">
                  <c:v>0.65090582504014305</c:v>
                </c:pt>
                <c:pt idx="316">
                  <c:v>0.6436483384891728</c:v>
                </c:pt>
                <c:pt idx="317">
                  <c:v>0.64092678103255896</c:v>
                </c:pt>
                <c:pt idx="318">
                  <c:v>0.60962887028149981</c:v>
                </c:pt>
                <c:pt idx="319">
                  <c:v>0.59103156099463861</c:v>
                </c:pt>
                <c:pt idx="320">
                  <c:v>0.61098964900980668</c:v>
                </c:pt>
                <c:pt idx="321">
                  <c:v>0.59738186172673746</c:v>
                </c:pt>
                <c:pt idx="322">
                  <c:v>0.59103156099463861</c:v>
                </c:pt>
                <c:pt idx="323">
                  <c:v>0.60600012700601469</c:v>
                </c:pt>
                <c:pt idx="324">
                  <c:v>0.61053605610037109</c:v>
                </c:pt>
                <c:pt idx="325">
                  <c:v>0.62595821502118287</c:v>
                </c:pt>
                <c:pt idx="326">
                  <c:v>0.66496720523264785</c:v>
                </c:pt>
                <c:pt idx="327">
                  <c:v>0.67313187760248938</c:v>
                </c:pt>
                <c:pt idx="328">
                  <c:v>0.68946122234217233</c:v>
                </c:pt>
                <c:pt idx="329">
                  <c:v>0.71304805363282564</c:v>
                </c:pt>
                <c:pt idx="330">
                  <c:v>0.76883998149340937</c:v>
                </c:pt>
                <c:pt idx="331">
                  <c:v>0.79650914896898339</c:v>
                </c:pt>
                <c:pt idx="332">
                  <c:v>0.82145675898794357</c:v>
                </c:pt>
                <c:pt idx="333">
                  <c:v>0.89221725285990339</c:v>
                </c:pt>
                <c:pt idx="334">
                  <c:v>1.1448685034155546</c:v>
                </c:pt>
                <c:pt idx="335">
                  <c:v>1.3013580571708503</c:v>
                </c:pt>
                <c:pt idx="336">
                  <c:v>1.2079179178271087</c:v>
                </c:pt>
                <c:pt idx="337">
                  <c:v>1.0568714789850406</c:v>
                </c:pt>
                <c:pt idx="338">
                  <c:v>1.0700256733586742</c:v>
                </c:pt>
                <c:pt idx="339">
                  <c:v>1.0369133909698725</c:v>
                </c:pt>
                <c:pt idx="340">
                  <c:v>1.1103954422984461</c:v>
                </c:pt>
                <c:pt idx="341">
                  <c:v>1.1521259899665248</c:v>
                </c:pt>
                <c:pt idx="342">
                  <c:v>1.0042547014905063</c:v>
                </c:pt>
                <c:pt idx="343">
                  <c:v>0.99835799366784306</c:v>
                </c:pt>
                <c:pt idx="344">
                  <c:v>1.1049523273852184</c:v>
                </c:pt>
                <c:pt idx="345">
                  <c:v>1.3335631537407808</c:v>
                </c:pt>
                <c:pt idx="346">
                  <c:v>1.4991245656847894</c:v>
                </c:pt>
                <c:pt idx="347">
                  <c:v>1.5871215901153033</c:v>
                </c:pt>
                <c:pt idx="348">
                  <c:v>1.5394943346245613</c:v>
                </c:pt>
                <c:pt idx="349">
                  <c:v>1.4047772405221761</c:v>
                </c:pt>
                <c:pt idx="350">
                  <c:v>1.4805272563979281</c:v>
                </c:pt>
                <c:pt idx="351">
                  <c:v>1.4143026916203247</c:v>
                </c:pt>
                <c:pt idx="352">
                  <c:v>1.2423909789442171</c:v>
                </c:pt>
                <c:pt idx="353">
                  <c:v>1.1548475474231388</c:v>
                </c:pt>
                <c:pt idx="354">
                  <c:v>1.1362502381362776</c:v>
                </c:pt>
                <c:pt idx="355">
                  <c:v>1.2528236158612369</c:v>
                </c:pt>
                <c:pt idx="356">
                  <c:v>1.308161950812385</c:v>
                </c:pt>
                <c:pt idx="357">
                  <c:v>1.2977293138953652</c:v>
                </c:pt>
                <c:pt idx="358">
                  <c:v>1.1752592283477425</c:v>
                </c:pt>
                <c:pt idx="359">
                  <c:v>1.0972412479248126</c:v>
                </c:pt>
                <c:pt idx="360">
                  <c:v>1.0736544166341593</c:v>
                </c:pt>
                <c:pt idx="361">
                  <c:v>1.0704792662681097</c:v>
                </c:pt>
                <c:pt idx="362">
                  <c:v>1.19113498017799</c:v>
                </c:pt>
                <c:pt idx="363">
                  <c:v>1.2183505547441282</c:v>
                </c:pt>
                <c:pt idx="364">
                  <c:v>1.2437517576725241</c:v>
                </c:pt>
                <c:pt idx="365">
                  <c:v>1.1725376708911286</c:v>
                </c:pt>
                <c:pt idx="366">
                  <c:v>1.2559987662272865</c:v>
                </c:pt>
                <c:pt idx="367">
                  <c:v>1.3412742332011867</c:v>
                </c:pt>
                <c:pt idx="368">
                  <c:v>1.374840108499424</c:v>
                </c:pt>
                <c:pt idx="369">
                  <c:v>1.2446589434913955</c:v>
                </c:pt>
                <c:pt idx="370">
                  <c:v>1.1729912638005644</c:v>
                </c:pt>
                <c:pt idx="371">
                  <c:v>1.1271783799475648</c:v>
                </c:pt>
                <c:pt idx="372">
                  <c:v>1.1108490352078817</c:v>
                </c:pt>
                <c:pt idx="373">
                  <c:v>1.1108490352078817</c:v>
                </c:pt>
                <c:pt idx="374">
                  <c:v>1.0931589117398917</c:v>
                </c:pt>
                <c:pt idx="375">
                  <c:v>1.1212816721249015</c:v>
                </c:pt>
                <c:pt idx="376">
                  <c:v>1.0459852491585853</c:v>
                </c:pt>
                <c:pt idx="377">
                  <c:v>1.0065226660376845</c:v>
                </c:pt>
                <c:pt idx="378">
                  <c:v>1.0142337454980905</c:v>
                </c:pt>
                <c:pt idx="379">
                  <c:v>1.0128729667697836</c:v>
                </c:pt>
                <c:pt idx="380">
                  <c:v>1.0546035144378623</c:v>
                </c:pt>
                <c:pt idx="381">
                  <c:v>1.0722936379058523</c:v>
                </c:pt>
                <c:pt idx="382">
                  <c:v>1.0795511244568226</c:v>
                </c:pt>
                <c:pt idx="383">
                  <c:v>1.008337037675427</c:v>
                </c:pt>
                <c:pt idx="384">
                  <c:v>0.97023523328283334</c:v>
                </c:pt>
                <c:pt idx="385">
                  <c:v>1.0006259582150212</c:v>
                </c:pt>
                <c:pt idx="386">
                  <c:v>1.0101514093131696</c:v>
                </c:pt>
                <c:pt idx="387">
                  <c:v>1.0047082943999419</c:v>
                </c:pt>
                <c:pt idx="388">
                  <c:v>1.0056154802188133</c:v>
                </c:pt>
                <c:pt idx="389">
                  <c:v>1.0428100987925357</c:v>
                </c:pt>
                <c:pt idx="390">
                  <c:v>1.143054131777812</c:v>
                </c:pt>
                <c:pt idx="391">
                  <c:v>1.1439613175966834</c:v>
                </c:pt>
                <c:pt idx="392">
                  <c:v>1.0949732833776342</c:v>
                </c:pt>
                <c:pt idx="393">
                  <c:v>1.0201304533207538</c:v>
                </c:pt>
                <c:pt idx="394">
                  <c:v>0.97885349856211057</c:v>
                </c:pt>
                <c:pt idx="395">
                  <c:v>1.0010795511244568</c:v>
                </c:pt>
                <c:pt idx="396">
                  <c:v>1.0237591965962389</c:v>
                </c:pt>
                <c:pt idx="397">
                  <c:v>1.0038011085810707</c:v>
                </c:pt>
                <c:pt idx="398">
                  <c:v>0.97658553401493231</c:v>
                </c:pt>
                <c:pt idx="399">
                  <c:v>0.88450617339949744</c:v>
                </c:pt>
                <c:pt idx="400">
                  <c:v>0.81419927243697332</c:v>
                </c:pt>
                <c:pt idx="401">
                  <c:v>0.84050766118424036</c:v>
                </c:pt>
                <c:pt idx="402">
                  <c:v>0.87407353648247776</c:v>
                </c:pt>
                <c:pt idx="403">
                  <c:v>0.88314539467119058</c:v>
                </c:pt>
                <c:pt idx="404">
                  <c:v>0.84458999736916118</c:v>
                </c:pt>
                <c:pt idx="405">
                  <c:v>0.74661392893106293</c:v>
                </c:pt>
                <c:pt idx="406">
                  <c:v>0.73935644238009279</c:v>
                </c:pt>
                <c:pt idx="407">
                  <c:v>0.7819941758670429</c:v>
                </c:pt>
                <c:pt idx="408">
                  <c:v>0.81873520153132973</c:v>
                </c:pt>
                <c:pt idx="409">
                  <c:v>0.84640436900690375</c:v>
                </c:pt>
                <c:pt idx="410">
                  <c:v>0.86863042156925008</c:v>
                </c:pt>
                <c:pt idx="411">
                  <c:v>0.85366185555787399</c:v>
                </c:pt>
                <c:pt idx="412">
                  <c:v>0.97567834819606103</c:v>
                </c:pt>
                <c:pt idx="413">
                  <c:v>1.0722936379058523</c:v>
                </c:pt>
                <c:pt idx="414">
                  <c:v>1.1149313713928024</c:v>
                </c:pt>
                <c:pt idx="415">
                  <c:v>1.0913445401021491</c:v>
                </c:pt>
                <c:pt idx="416">
                  <c:v>1.1367038310457132</c:v>
                </c:pt>
                <c:pt idx="417">
                  <c:v>1.1557547332420099</c:v>
                </c:pt>
                <c:pt idx="418">
                  <c:v>1.2709673322386625</c:v>
                </c:pt>
                <c:pt idx="419">
                  <c:v>1.3539748346653846</c:v>
                </c:pt>
                <c:pt idx="420">
                  <c:v>1.36486106449184</c:v>
                </c:pt>
                <c:pt idx="421">
                  <c:v>1.3054403933557712</c:v>
                </c:pt>
                <c:pt idx="422">
                  <c:v>1.3263056671898106</c:v>
                </c:pt>
                <c:pt idx="423">
                  <c:v>1.3172338090010978</c:v>
                </c:pt>
                <c:pt idx="424">
                  <c:v>1.257813137865029</c:v>
                </c:pt>
                <c:pt idx="425">
                  <c:v>1.3585107637597409</c:v>
                </c:pt>
                <c:pt idx="426">
                  <c:v>1.3952517894240277</c:v>
                </c:pt>
                <c:pt idx="427">
                  <c:v>1.3775616659560379</c:v>
                </c:pt>
                <c:pt idx="428">
                  <c:v>1.3226769239143255</c:v>
                </c:pt>
                <c:pt idx="429">
                  <c:v>1.2764104471518902</c:v>
                </c:pt>
                <c:pt idx="430">
                  <c:v>1.3503460913898995</c:v>
                </c:pt>
                <c:pt idx="431">
                  <c:v>1.3272128530086817</c:v>
                </c:pt>
                <c:pt idx="432">
                  <c:v>1.1865990510836335</c:v>
                </c:pt>
                <c:pt idx="433">
                  <c:v>1.1512188041476537</c:v>
                </c:pt>
                <c:pt idx="434">
                  <c:v>1.1616514410646734</c:v>
                </c:pt>
                <c:pt idx="435">
                  <c:v>1.1775271928949207</c:v>
                </c:pt>
                <c:pt idx="436">
                  <c:v>1.2056499532799303</c:v>
                </c:pt>
                <c:pt idx="437">
                  <c:v>0.98565739220364512</c:v>
                </c:pt>
                <c:pt idx="438">
                  <c:v>0.9008355181391805</c:v>
                </c:pt>
                <c:pt idx="439">
                  <c:v>0.91126815505620018</c:v>
                </c:pt>
                <c:pt idx="440">
                  <c:v>0.88042383721457673</c:v>
                </c:pt>
                <c:pt idx="441">
                  <c:v>0.88949569540328954</c:v>
                </c:pt>
                <c:pt idx="442">
                  <c:v>1.0119657809509122</c:v>
                </c:pt>
                <c:pt idx="443">
                  <c:v>1.0287487186000308</c:v>
                </c:pt>
                <c:pt idx="444">
                  <c:v>1.1044987344757828</c:v>
                </c:pt>
                <c:pt idx="445">
                  <c:v>1.0913445401021491</c:v>
                </c:pt>
                <c:pt idx="446">
                  <c:v>1.0981484337436838</c:v>
                </c:pt>
                <c:pt idx="447">
                  <c:v>1.0845406464606147</c:v>
                </c:pt>
                <c:pt idx="448">
                  <c:v>1.1403325743211983</c:v>
                </c:pt>
                <c:pt idx="449">
                  <c:v>1.1852382723553265</c:v>
                </c:pt>
                <c:pt idx="450">
                  <c:v>1.1113026281173173</c:v>
                </c:pt>
                <c:pt idx="451">
                  <c:v>1.021037639139625</c:v>
                </c:pt>
                <c:pt idx="452">
                  <c:v>0.95572026018089284</c:v>
                </c:pt>
                <c:pt idx="453">
                  <c:v>0.93077265016193267</c:v>
                </c:pt>
                <c:pt idx="454">
                  <c:v>0.86953760738812136</c:v>
                </c:pt>
                <c:pt idx="455">
                  <c:v>0.79923070642559724</c:v>
                </c:pt>
                <c:pt idx="456">
                  <c:v>0.76566483112735984</c:v>
                </c:pt>
                <c:pt idx="457">
                  <c:v>0.75523219421034016</c:v>
                </c:pt>
                <c:pt idx="458">
                  <c:v>0.79288040569349827</c:v>
                </c:pt>
                <c:pt idx="459">
                  <c:v>0.81692082989358716</c:v>
                </c:pt>
                <c:pt idx="460">
                  <c:v>0.78607651205196361</c:v>
                </c:pt>
                <c:pt idx="461">
                  <c:v>0.7534178225725976</c:v>
                </c:pt>
                <c:pt idx="462">
                  <c:v>0.74888189347824119</c:v>
                </c:pt>
                <c:pt idx="463">
                  <c:v>0.73527410619517197</c:v>
                </c:pt>
                <c:pt idx="464">
                  <c:v>0.74752111474993421</c:v>
                </c:pt>
                <c:pt idx="465">
                  <c:v>0.71939835436492461</c:v>
                </c:pt>
                <c:pt idx="466">
                  <c:v>0.71395523945169692</c:v>
                </c:pt>
                <c:pt idx="467">
                  <c:v>0.66859594850813298</c:v>
                </c:pt>
                <c:pt idx="468">
                  <c:v>0.64909145340240049</c:v>
                </c:pt>
                <c:pt idx="469">
                  <c:v>0.64001959521368768</c:v>
                </c:pt>
                <c:pt idx="470">
                  <c:v>0.62505102920231159</c:v>
                </c:pt>
                <c:pt idx="471">
                  <c:v>0.66496720523264785</c:v>
                </c:pt>
                <c:pt idx="472">
                  <c:v>0.68537888615725162</c:v>
                </c:pt>
                <c:pt idx="473">
                  <c:v>0.64500911721747967</c:v>
                </c:pt>
                <c:pt idx="474">
                  <c:v>0.7438923714744492</c:v>
                </c:pt>
                <c:pt idx="475">
                  <c:v>0.74752111474993421</c:v>
                </c:pt>
                <c:pt idx="476">
                  <c:v>0.79378759151236955</c:v>
                </c:pt>
                <c:pt idx="477">
                  <c:v>0.7819941758670429</c:v>
                </c:pt>
                <c:pt idx="478">
                  <c:v>0.78380854750478546</c:v>
                </c:pt>
                <c:pt idx="479">
                  <c:v>0.8005914851539041</c:v>
                </c:pt>
                <c:pt idx="480">
                  <c:v>0.83642532499931965</c:v>
                </c:pt>
                <c:pt idx="481">
                  <c:v>0.81692082989358716</c:v>
                </c:pt>
                <c:pt idx="482">
                  <c:v>0.78879806950857745</c:v>
                </c:pt>
                <c:pt idx="483">
                  <c:v>0.76158249494243913</c:v>
                </c:pt>
                <c:pt idx="484">
                  <c:v>0.8101169362520525</c:v>
                </c:pt>
                <c:pt idx="485">
                  <c:v>0.79514837024067642</c:v>
                </c:pt>
                <c:pt idx="486">
                  <c:v>0.81601364407471588</c:v>
                </c:pt>
                <c:pt idx="487">
                  <c:v>0.84186843991254734</c:v>
                </c:pt>
                <c:pt idx="488">
                  <c:v>0.88904210249385385</c:v>
                </c:pt>
                <c:pt idx="489">
                  <c:v>0.86137293501827983</c:v>
                </c:pt>
                <c:pt idx="490">
                  <c:v>0.81419927243697332</c:v>
                </c:pt>
                <c:pt idx="491">
                  <c:v>0.83960047536536908</c:v>
                </c:pt>
                <c:pt idx="492">
                  <c:v>0.81102412207092378</c:v>
                </c:pt>
                <c:pt idx="493">
                  <c:v>0.8010450780633398</c:v>
                </c:pt>
                <c:pt idx="494">
                  <c:v>0.78879806950857745</c:v>
                </c:pt>
                <c:pt idx="495">
                  <c:v>0.75477860130090446</c:v>
                </c:pt>
                <c:pt idx="496">
                  <c:v>0.76294327367074599</c:v>
                </c:pt>
                <c:pt idx="497">
                  <c:v>0.7293773983725087</c:v>
                </c:pt>
                <c:pt idx="498">
                  <c:v>0.69172918688935059</c:v>
                </c:pt>
                <c:pt idx="499">
                  <c:v>0.66406001941377657</c:v>
                </c:pt>
                <c:pt idx="500">
                  <c:v>0.64682348885522223</c:v>
                </c:pt>
                <c:pt idx="501">
                  <c:v>0.6245974362928759</c:v>
                </c:pt>
                <c:pt idx="502">
                  <c:v>0.64773067467409351</c:v>
                </c:pt>
                <c:pt idx="503">
                  <c:v>0.66768876268926169</c:v>
                </c:pt>
                <c:pt idx="504">
                  <c:v>0.68220373579120219</c:v>
                </c:pt>
                <c:pt idx="505">
                  <c:v>0.70851212453846923</c:v>
                </c:pt>
                <c:pt idx="506">
                  <c:v>0.72801661964420172</c:v>
                </c:pt>
                <c:pt idx="507">
                  <c:v>0.72121272600266717</c:v>
                </c:pt>
                <c:pt idx="508">
                  <c:v>0.72393428345928101</c:v>
                </c:pt>
                <c:pt idx="509">
                  <c:v>0.74752111474993421</c:v>
                </c:pt>
                <c:pt idx="510">
                  <c:v>0.72075913309323147</c:v>
                </c:pt>
                <c:pt idx="511">
                  <c:v>0.67131750596474682</c:v>
                </c:pt>
                <c:pt idx="512">
                  <c:v>0.67086391305531112</c:v>
                </c:pt>
                <c:pt idx="513">
                  <c:v>0.67313187760248938</c:v>
                </c:pt>
                <c:pt idx="514">
                  <c:v>0.71758398272718205</c:v>
                </c:pt>
                <c:pt idx="515">
                  <c:v>0.72393428345928101</c:v>
                </c:pt>
                <c:pt idx="516">
                  <c:v>0.74752111474993421</c:v>
                </c:pt>
                <c:pt idx="517">
                  <c:v>0.76385045948961727</c:v>
                </c:pt>
                <c:pt idx="518">
                  <c:v>0.75251063675372631</c:v>
                </c:pt>
                <c:pt idx="519">
                  <c:v>0.71985194727436019</c:v>
                </c:pt>
                <c:pt idx="520">
                  <c:v>0.74752111474993421</c:v>
                </c:pt>
                <c:pt idx="521">
                  <c:v>0.76521123821792425</c:v>
                </c:pt>
                <c:pt idx="522">
                  <c:v>0.77564387513494393</c:v>
                </c:pt>
                <c:pt idx="523">
                  <c:v>0.79832352060672596</c:v>
                </c:pt>
                <c:pt idx="524">
                  <c:v>0.81193130788979506</c:v>
                </c:pt>
                <c:pt idx="525">
                  <c:v>0.87135197902586392</c:v>
                </c:pt>
                <c:pt idx="526">
                  <c:v>0.93213342889023965</c:v>
                </c:pt>
                <c:pt idx="527">
                  <c:v>0.99835799366784306</c:v>
                </c:pt>
                <c:pt idx="528">
                  <c:v>1.0995092124719907</c:v>
                </c:pt>
                <c:pt idx="529">
                  <c:v>1.2519164300423657</c:v>
                </c:pt>
                <c:pt idx="530">
                  <c:v>1.36486106449184</c:v>
                </c:pt>
                <c:pt idx="531">
                  <c:v>1.3376454899257015</c:v>
                </c:pt>
                <c:pt idx="532">
                  <c:v>1.240123014397039</c:v>
                </c:pt>
                <c:pt idx="533">
                  <c:v>1.218804147653564</c:v>
                </c:pt>
                <c:pt idx="534">
                  <c:v>1.2736888896952763</c:v>
                </c:pt>
                <c:pt idx="535">
                  <c:v>1.2909254202538307</c:v>
                </c:pt>
                <c:pt idx="536">
                  <c:v>1.3131514728161771</c:v>
                </c:pt>
                <c:pt idx="537">
                  <c:v>1.3662218432201469</c:v>
                </c:pt>
                <c:pt idx="538">
                  <c:v>1.4165706561675029</c:v>
                </c:pt>
                <c:pt idx="539">
                  <c:v>1.4265497001750869</c:v>
                </c:pt>
                <c:pt idx="540">
                  <c:v>1.4378895229109778</c:v>
                </c:pt>
                <c:pt idx="541">
                  <c:v>1.4759913273035716</c:v>
                </c:pt>
                <c:pt idx="542">
                  <c:v>1.5326904409830266</c:v>
                </c:pt>
                <c:pt idx="543">
                  <c:v>1.5394943346245613</c:v>
                </c:pt>
                <c:pt idx="544">
                  <c:v>1.4737233627563935</c:v>
                </c:pt>
                <c:pt idx="545">
                  <c:v>1.5984614128511945</c:v>
                </c:pt>
                <c:pt idx="546">
                  <c:v>1.639284774700402</c:v>
                </c:pt>
                <c:pt idx="547">
                  <c:v>1.7227458700365597</c:v>
                </c:pt>
                <c:pt idx="548">
                  <c:v>1.7499614446026981</c:v>
                </c:pt>
                <c:pt idx="549">
                  <c:v>1.8415872123086974</c:v>
                </c:pt>
                <c:pt idx="550">
                  <c:v>1.936388130380746</c:v>
                </c:pt>
                <c:pt idx="551">
                  <c:v>2.0760947464869228</c:v>
                </c:pt>
                <c:pt idx="552">
                  <c:v>2.1473088332683186</c:v>
                </c:pt>
                <c:pt idx="553">
                  <c:v>2.259799874808357</c:v>
                </c:pt>
                <c:pt idx="554">
                  <c:v>2.3146846168500694</c:v>
                </c:pt>
                <c:pt idx="555">
                  <c:v>2.8975515054748664</c:v>
                </c:pt>
                <c:pt idx="556">
                  <c:v>3.649608549319157</c:v>
                </c:pt>
                <c:pt idx="557">
                  <c:v>3.2649617621177347</c:v>
                </c:pt>
                <c:pt idx="558">
                  <c:v>3.4981085175676534</c:v>
                </c:pt>
                <c:pt idx="559">
                  <c:v>3.4908510310166831</c:v>
                </c:pt>
                <c:pt idx="560">
                  <c:v>3.4482132975297333</c:v>
                </c:pt>
                <c:pt idx="561">
                  <c:v>3.4019468207672978</c:v>
                </c:pt>
                <c:pt idx="562">
                  <c:v>3.1883045604231115</c:v>
                </c:pt>
                <c:pt idx="563">
                  <c:v>3.0277326704828953</c:v>
                </c:pt>
                <c:pt idx="564">
                  <c:v>2.5718717965000772</c:v>
                </c:pt>
                <c:pt idx="565">
                  <c:v>2.5745933539566912</c:v>
                </c:pt>
                <c:pt idx="566">
                  <c:v>2.9265814516787474</c:v>
                </c:pt>
                <c:pt idx="567">
                  <c:v>3.5226025346771781</c:v>
                </c:pt>
                <c:pt idx="568">
                  <c:v>3.4840471373751489</c:v>
                </c:pt>
                <c:pt idx="569">
                  <c:v>3.3901534051219713</c:v>
                </c:pt>
                <c:pt idx="570">
                  <c:v>3.6164962669303553</c:v>
                </c:pt>
                <c:pt idx="571">
                  <c:v>3.4082971214993969</c:v>
                </c:pt>
                <c:pt idx="572">
                  <c:v>3.4695321642732084</c:v>
                </c:pt>
                <c:pt idx="573">
                  <c:v>3.632372018760603</c:v>
                </c:pt>
                <c:pt idx="574">
                  <c:v>3.1601818000381021</c:v>
                </c:pt>
                <c:pt idx="575">
                  <c:v>2.9882700873619945</c:v>
                </c:pt>
                <c:pt idx="576">
                  <c:v>3.202819533525052</c:v>
                </c:pt>
                <c:pt idx="577">
                  <c:v>3.5779408696283261</c:v>
                </c:pt>
                <c:pt idx="578">
                  <c:v>3.8278705627273637</c:v>
                </c:pt>
                <c:pt idx="579">
                  <c:v>3.9394544184485309</c:v>
                </c:pt>
                <c:pt idx="580">
                  <c:v>3.8024693597989678</c:v>
                </c:pt>
                <c:pt idx="581">
                  <c:v>3.7471310248478198</c:v>
                </c:pt>
                <c:pt idx="582">
                  <c:v>3.8165307399914727</c:v>
                </c:pt>
                <c:pt idx="583">
                  <c:v>3.4631818635411094</c:v>
                </c:pt>
                <c:pt idx="584">
                  <c:v>3.1710680298645575</c:v>
                </c:pt>
                <c:pt idx="585">
                  <c:v>2.2343986718799611</c:v>
                </c:pt>
                <c:pt idx="586">
                  <c:v>1.6860048443722728</c:v>
                </c:pt>
                <c:pt idx="587">
                  <c:v>1.3934374177862852</c:v>
                </c:pt>
                <c:pt idx="588">
                  <c:v>1.4610227612921955</c:v>
                </c:pt>
                <c:pt idx="589">
                  <c:v>1.5036604947791457</c:v>
                </c:pt>
                <c:pt idx="590">
                  <c:v>1.7009734103836489</c:v>
                </c:pt>
                <c:pt idx="591">
                  <c:v>1.9989839518828643</c:v>
                </c:pt>
                <c:pt idx="592">
                  <c:v>2.0724660032114377</c:v>
                </c:pt>
                <c:pt idx="593">
                  <c:v>2.2743148479102975</c:v>
                </c:pt>
                <c:pt idx="594">
                  <c:v>2.3659406156162968</c:v>
                </c:pt>
                <c:pt idx="595">
                  <c:v>2.7964002866707189</c:v>
                </c:pt>
                <c:pt idx="596">
                  <c:v>2.8104616668632239</c:v>
                </c:pt>
                <c:pt idx="597">
                  <c:v>2.8521922145313026</c:v>
                </c:pt>
                <c:pt idx="598">
                  <c:v>3.0281862633923309</c:v>
                </c:pt>
                <c:pt idx="599">
                  <c:v>3.1669856936796363</c:v>
                </c:pt>
                <c:pt idx="600">
                  <c:v>3.3502372290916349</c:v>
                </c:pt>
                <c:pt idx="601">
                  <c:v>3.1062042438152608</c:v>
                </c:pt>
                <c:pt idx="602">
                  <c:v>3.3851638831181794</c:v>
                </c:pt>
                <c:pt idx="603">
                  <c:v>3.5130770835790295</c:v>
                </c:pt>
                <c:pt idx="604">
                  <c:v>3.1016683147209045</c:v>
                </c:pt>
                <c:pt idx="605">
                  <c:v>2.9479003184222226</c:v>
                </c:pt>
                <c:pt idx="606">
                  <c:v>3.0549482450490335</c:v>
                </c:pt>
                <c:pt idx="607">
                  <c:v>3.3039707523291999</c:v>
                </c:pt>
                <c:pt idx="608">
                  <c:v>3.4967477388393466</c:v>
                </c:pt>
                <c:pt idx="609">
                  <c:v>3.7611924050403247</c:v>
                </c:pt>
                <c:pt idx="610">
                  <c:v>3.8419319429198686</c:v>
                </c:pt>
                <c:pt idx="611">
                  <c:v>4.1490143426077966</c:v>
                </c:pt>
                <c:pt idx="612">
                  <c:v>4.334533842566973</c:v>
                </c:pt>
                <c:pt idx="613">
                  <c:v>4.4760548303108925</c:v>
                </c:pt>
                <c:pt idx="614">
                  <c:v>4.3104934183668844</c:v>
                </c:pt>
                <c:pt idx="615">
                  <c:v>4.3059574892725276</c:v>
                </c:pt>
                <c:pt idx="616">
                  <c:v>4.0641924685433315</c:v>
                </c:pt>
                <c:pt idx="617">
                  <c:v>4.1127269098529453</c:v>
                </c:pt>
                <c:pt idx="618">
                  <c:v>4.3771715760539234</c:v>
                </c:pt>
                <c:pt idx="619">
                  <c:v>4.0827897778301931</c:v>
                </c:pt>
                <c:pt idx="620">
                  <c:v>3.7648211483158098</c:v>
                </c:pt>
                <c:pt idx="621">
                  <c:v>3.35386597236712</c:v>
                </c:pt>
                <c:pt idx="622">
                  <c:v>3.4386878464315846</c:v>
                </c:pt>
                <c:pt idx="623">
                  <c:v>3.4314303598806144</c:v>
                </c:pt>
                <c:pt idx="624">
                  <c:v>3.6468869918625435</c:v>
                </c:pt>
                <c:pt idx="625">
                  <c:v>3.8287777485462349</c:v>
                </c:pt>
                <c:pt idx="626">
                  <c:v>3.8423855358293042</c:v>
                </c:pt>
                <c:pt idx="627">
                  <c:v>3.7598316263120175</c:v>
                </c:pt>
                <c:pt idx="628">
                  <c:v>3.6087851874699495</c:v>
                </c:pt>
                <c:pt idx="629">
                  <c:v>3.3670201667407538</c:v>
                </c:pt>
                <c:pt idx="630">
                  <c:v>3.4400486251598918</c:v>
                </c:pt>
                <c:pt idx="631">
                  <c:v>3.4092043073182681</c:v>
                </c:pt>
                <c:pt idx="632">
                  <c:v>3.6686594515154543</c:v>
                </c:pt>
                <c:pt idx="633">
                  <c:v>3.6568660358701273</c:v>
                </c:pt>
                <c:pt idx="634">
                  <c:v>3.4976549246582178</c:v>
                </c:pt>
                <c:pt idx="635">
                  <c:v>3.6133211165643062</c:v>
                </c:pt>
                <c:pt idx="636">
                  <c:v>3.650062142228593</c:v>
                </c:pt>
                <c:pt idx="637">
                  <c:v>3.6564124429606917</c:v>
                </c:pt>
                <c:pt idx="638">
                  <c:v>3.4681713855449012</c:v>
                </c:pt>
                <c:pt idx="639">
                  <c:v>3.281291106857418</c:v>
                </c:pt>
                <c:pt idx="640">
                  <c:v>3.2880950004989522</c:v>
                </c:pt>
                <c:pt idx="641">
                  <c:v>3.1751503660494782</c:v>
                </c:pt>
                <c:pt idx="642">
                  <c:v>3.1329662254719635</c:v>
                </c:pt>
                <c:pt idx="643">
                  <c:v>3.2626937975705563</c:v>
                </c:pt>
                <c:pt idx="644">
                  <c:v>3.2472716386497447</c:v>
                </c:pt>
                <c:pt idx="645">
                  <c:v>3.2672297266649131</c:v>
                </c:pt>
                <c:pt idx="646">
                  <c:v>3.2073554626194083</c:v>
                </c:pt>
                <c:pt idx="647">
                  <c:v>3.2726728415781405</c:v>
                </c:pt>
                <c:pt idx="648">
                  <c:v>3.3071459026952494</c:v>
                </c:pt>
                <c:pt idx="649">
                  <c:v>3.2427357095553884</c:v>
                </c:pt>
                <c:pt idx="650">
                  <c:v>3.0163928477470043</c:v>
                </c:pt>
                <c:pt idx="651">
                  <c:v>3.0272790775734597</c:v>
                </c:pt>
                <c:pt idx="652">
                  <c:v>3.1257087389209932</c:v>
                </c:pt>
                <c:pt idx="653">
                  <c:v>3.0939572352604987</c:v>
                </c:pt>
                <c:pt idx="654">
                  <c:v>3.2264063648157055</c:v>
                </c:pt>
                <c:pt idx="655">
                  <c:v>3.1760575518683494</c:v>
                </c:pt>
                <c:pt idx="656">
                  <c:v>3.1170904736417162</c:v>
                </c:pt>
                <c:pt idx="657">
                  <c:v>3.0558554308679047</c:v>
                </c:pt>
                <c:pt idx="658">
                  <c:v>3.0449692010414493</c:v>
                </c:pt>
                <c:pt idx="659">
                  <c:v>2.9238598942221339</c:v>
                </c:pt>
                <c:pt idx="660">
                  <c:v>2.6449002549192153</c:v>
                </c:pt>
                <c:pt idx="661">
                  <c:v>2.5986337781567799</c:v>
                </c:pt>
                <c:pt idx="662">
                  <c:v>2.6943418820476999</c:v>
                </c:pt>
                <c:pt idx="663">
                  <c:v>2.7406083588101353</c:v>
                </c:pt>
                <c:pt idx="664">
                  <c:v>2.8553673648973521</c:v>
                </c:pt>
                <c:pt idx="665">
                  <c:v>2.6458074407380865</c:v>
                </c:pt>
                <c:pt idx="666">
                  <c:v>2.4752565067902861</c:v>
                </c:pt>
                <c:pt idx="667">
                  <c:v>2.3255708466765248</c:v>
                </c:pt>
                <c:pt idx="668">
                  <c:v>2.3663942085257323</c:v>
                </c:pt>
                <c:pt idx="669">
                  <c:v>2.3659406156162968</c:v>
                </c:pt>
                <c:pt idx="670">
                  <c:v>2.1772459652910707</c:v>
                </c:pt>
                <c:pt idx="671">
                  <c:v>2.1042175068719327</c:v>
                </c:pt>
                <c:pt idx="672">
                  <c:v>2.0284674909961811</c:v>
                </c:pt>
                <c:pt idx="673">
                  <c:v>2.086073790494507</c:v>
                </c:pt>
                <c:pt idx="674">
                  <c:v>2.2470992733441593</c:v>
                </c:pt>
                <c:pt idx="675">
                  <c:v>2.2103582476798724</c:v>
                </c:pt>
                <c:pt idx="676">
                  <c:v>2.1296187098003285</c:v>
                </c:pt>
                <c:pt idx="677">
                  <c:v>2.1055782856002394</c:v>
                </c:pt>
                <c:pt idx="678">
                  <c:v>2.2067295044043873</c:v>
                </c:pt>
                <c:pt idx="679">
                  <c:v>2.15547350563816</c:v>
                </c:pt>
                <c:pt idx="680">
                  <c:v>2.1418657183550907</c:v>
                </c:pt>
                <c:pt idx="681">
                  <c:v>2.1459480545400114</c:v>
                </c:pt>
                <c:pt idx="682">
                  <c:v>2.4725349493336721</c:v>
                </c:pt>
                <c:pt idx="683">
                  <c:v>2.567335867405721</c:v>
                </c:pt>
                <c:pt idx="684">
                  <c:v>2.6104271938021064</c:v>
                </c:pt>
                <c:pt idx="685">
                  <c:v>2.6947954749571355</c:v>
                </c:pt>
                <c:pt idx="686">
                  <c:v>2.6421786974626014</c:v>
                </c:pt>
                <c:pt idx="687">
                  <c:v>2.5782220972321763</c:v>
                </c:pt>
                <c:pt idx="688">
                  <c:v>2.5401202928395823</c:v>
                </c:pt>
                <c:pt idx="689">
                  <c:v>2.5945514419718592</c:v>
                </c:pt>
                <c:pt idx="690">
                  <c:v>2.7147535629723039</c:v>
                </c:pt>
                <c:pt idx="691">
                  <c:v>2.9420036105995591</c:v>
                </c:pt>
                <c:pt idx="692">
                  <c:v>2.9832805653582026</c:v>
                </c:pt>
                <c:pt idx="693">
                  <c:v>3.0880605274378352</c:v>
                </c:pt>
                <c:pt idx="694">
                  <c:v>3.0966787927171122</c:v>
                </c:pt>
                <c:pt idx="695">
                  <c:v>3.0998539430831618</c:v>
                </c:pt>
                <c:pt idx="696">
                  <c:v>3.2050874980722304</c:v>
                </c:pt>
                <c:pt idx="697">
                  <c:v>3.1783255164155277</c:v>
                </c:pt>
                <c:pt idx="698">
                  <c:v>3.0839781912529145</c:v>
                </c:pt>
                <c:pt idx="699">
                  <c:v>3.1080186154530032</c:v>
                </c:pt>
                <c:pt idx="700">
                  <c:v>3.095771606898241</c:v>
                </c:pt>
                <c:pt idx="701">
                  <c:v>3.1597282071286665</c:v>
                </c:pt>
                <c:pt idx="702">
                  <c:v>2.8354092768821841</c:v>
                </c:pt>
                <c:pt idx="703">
                  <c:v>2.744690694995056</c:v>
                </c:pt>
                <c:pt idx="704">
                  <c:v>2.744690694995056</c:v>
                </c:pt>
                <c:pt idx="705">
                  <c:v>2.8213478966896792</c:v>
                </c:pt>
                <c:pt idx="706">
                  <c:v>2.8104616668632239</c:v>
                </c:pt>
                <c:pt idx="707">
                  <c:v>2.7555769248215114</c:v>
                </c:pt>
                <c:pt idx="708">
                  <c:v>2.6938882891382643</c:v>
                </c:pt>
                <c:pt idx="709">
                  <c:v>2.8576353294445305</c:v>
                </c:pt>
                <c:pt idx="710">
                  <c:v>2.9206847438560843</c:v>
                </c:pt>
                <c:pt idx="711">
                  <c:v>2.9202311509466488</c:v>
                </c:pt>
                <c:pt idx="712">
                  <c:v>2.7297221289836799</c:v>
                </c:pt>
                <c:pt idx="713">
                  <c:v>2.6680334933004328</c:v>
                </c:pt>
                <c:pt idx="714">
                  <c:v>2.6947954749571355</c:v>
                </c:pt>
                <c:pt idx="715">
                  <c:v>2.5895619199680673</c:v>
                </c:pt>
                <c:pt idx="716">
                  <c:v>2.6122415654398492</c:v>
                </c:pt>
                <c:pt idx="717">
                  <c:v>2.611334379620978</c:v>
                </c:pt>
                <c:pt idx="718">
                  <c:v>2.6580544492928486</c:v>
                </c:pt>
                <c:pt idx="719">
                  <c:v>2.7564841106403826</c:v>
                </c:pt>
                <c:pt idx="720">
                  <c:v>2.735618836806343</c:v>
                </c:pt>
                <c:pt idx="721">
                  <c:v>2.5800364688699187</c:v>
                </c:pt>
                <c:pt idx="722">
                  <c:v>2.3509720496049207</c:v>
                </c:pt>
                <c:pt idx="723">
                  <c:v>2.2942729359254659</c:v>
                </c:pt>
                <c:pt idx="724">
                  <c:v>2.3768268454427521</c:v>
                </c:pt>
                <c:pt idx="725">
                  <c:v>2.6104271938021064</c:v>
                </c:pt>
                <c:pt idx="726">
                  <c:v>2.8902940189238961</c:v>
                </c:pt>
                <c:pt idx="727">
                  <c:v>2.9479003184222226</c:v>
                </c:pt>
                <c:pt idx="728">
                  <c:v>3.0413404577659642</c:v>
                </c:pt>
                <c:pt idx="729">
                  <c:v>3.0454227939508853</c:v>
                </c:pt>
                <c:pt idx="730">
                  <c:v>3.2064482768005371</c:v>
                </c:pt>
                <c:pt idx="731">
                  <c:v>3.5253240921337921</c:v>
                </c:pt>
                <c:pt idx="732">
                  <c:v>3.6160426740209197</c:v>
                </c:pt>
                <c:pt idx="733">
                  <c:v>3.8423855358293042</c:v>
                </c:pt>
                <c:pt idx="734">
                  <c:v>4.0768930700075297</c:v>
                </c:pt>
                <c:pt idx="735">
                  <c:v>4.2297538804873405</c:v>
                </c:pt>
                <c:pt idx="736">
                  <c:v>4.6094111456849705</c:v>
                </c:pt>
                <c:pt idx="737">
                  <c:v>4.369006903684082</c:v>
                </c:pt>
                <c:pt idx="738">
                  <c:v>4.2869065870762313</c:v>
                </c:pt>
                <c:pt idx="739">
                  <c:v>4.2501655614119445</c:v>
                </c:pt>
                <c:pt idx="740">
                  <c:v>4.2297538804873405</c:v>
                </c:pt>
                <c:pt idx="741">
                  <c:v>4.4583647068429029</c:v>
                </c:pt>
                <c:pt idx="742">
                  <c:v>4.413005415899339</c:v>
                </c:pt>
                <c:pt idx="743">
                  <c:v>4.3322658780197951</c:v>
                </c:pt>
                <c:pt idx="744">
                  <c:v>4.4370458400994277</c:v>
                </c:pt>
                <c:pt idx="745">
                  <c:v>4.5100742985185658</c:v>
                </c:pt>
                <c:pt idx="746">
                  <c:v>4.6407090564360303</c:v>
                </c:pt>
                <c:pt idx="747">
                  <c:v>4.6089575527755349</c:v>
                </c:pt>
                <c:pt idx="748">
                  <c:v>4.2533407117779936</c:v>
                </c:pt>
                <c:pt idx="749">
                  <c:v>4.0932224147472125</c:v>
                </c:pt>
                <c:pt idx="750">
                  <c:v>3.4223585016919018</c:v>
                </c:pt>
                <c:pt idx="751">
                  <c:v>3.6205786031152765</c:v>
                </c:pt>
                <c:pt idx="752">
                  <c:v>3.5135306764884655</c:v>
                </c:pt>
                <c:pt idx="753">
                  <c:v>3.4704393500920796</c:v>
                </c:pt>
                <c:pt idx="754">
                  <c:v>3.6514229209568998</c:v>
                </c:pt>
                <c:pt idx="755">
                  <c:v>3.7988406165234827</c:v>
                </c:pt>
                <c:pt idx="756">
                  <c:v>4.0995727154793116</c:v>
                </c:pt>
                <c:pt idx="757">
                  <c:v>4.0537598316263121</c:v>
                </c:pt>
                <c:pt idx="758">
                  <c:v>4.0170188059620253</c:v>
                </c:pt>
                <c:pt idx="759">
                  <c:v>3.9956999392185502</c:v>
                </c:pt>
                <c:pt idx="760">
                  <c:v>3.7271729368326518</c:v>
                </c:pt>
                <c:pt idx="761">
                  <c:v>3.8088196605310669</c:v>
                </c:pt>
                <c:pt idx="762">
                  <c:v>3.8451070932859182</c:v>
                </c:pt>
                <c:pt idx="763">
                  <c:v>3.7870472008781562</c:v>
                </c:pt>
                <c:pt idx="764">
                  <c:v>3.75438851139879</c:v>
                </c:pt>
                <c:pt idx="765">
                  <c:v>3.6001669221906725</c:v>
                </c:pt>
                <c:pt idx="766">
                  <c:v>3.7149259282778893</c:v>
                </c:pt>
                <c:pt idx="767">
                  <c:v>3.8101804392593737</c:v>
                </c:pt>
                <c:pt idx="768">
                  <c:v>3.7825112717837999</c:v>
                </c:pt>
                <c:pt idx="769">
                  <c:v>3.7670891128629878</c:v>
                </c:pt>
                <c:pt idx="770">
                  <c:v>3.9412687900862737</c:v>
                </c:pt>
                <c:pt idx="771">
                  <c:v>4.2928032948988948</c:v>
                </c:pt>
                <c:pt idx="772">
                  <c:v>4.5989785087679511</c:v>
                </c:pt>
                <c:pt idx="773">
                  <c:v>4.3762643902350522</c:v>
                </c:pt>
                <c:pt idx="774">
                  <c:v>4.2569694550534791</c:v>
                </c:pt>
                <c:pt idx="775">
                  <c:v>4.0696355834565594</c:v>
                </c:pt>
                <c:pt idx="776">
                  <c:v>4.1898377044570045</c:v>
                </c:pt>
                <c:pt idx="777">
                  <c:v>4.3245547985593893</c:v>
                </c:pt>
                <c:pt idx="778">
                  <c:v>4.1168092460378665</c:v>
                </c:pt>
                <c:pt idx="779">
                  <c:v>4.044234380528164</c:v>
                </c:pt>
                <c:pt idx="780">
                  <c:v>4.0782538487358364</c:v>
                </c:pt>
                <c:pt idx="781">
                  <c:v>4.232475437943954</c:v>
                </c:pt>
                <c:pt idx="782">
                  <c:v>4.4179949379031314</c:v>
                </c:pt>
                <c:pt idx="783">
                  <c:v>4.1626221298908659</c:v>
                </c:pt>
                <c:pt idx="784">
                  <c:v>4.3241012056499537</c:v>
                </c:pt>
                <c:pt idx="785">
                  <c:v>4.4610862642995164</c:v>
                </c:pt>
                <c:pt idx="786">
                  <c:v>4.4320563180956354</c:v>
                </c:pt>
                <c:pt idx="787">
                  <c:v>4.386243434242636</c:v>
                </c:pt>
                <c:pt idx="788">
                  <c:v>4.5286716078054274</c:v>
                </c:pt>
                <c:pt idx="789">
                  <c:v>4.8715878473387706</c:v>
                </c:pt>
                <c:pt idx="790">
                  <c:v>4.9042465368181363</c:v>
                </c:pt>
                <c:pt idx="791">
                  <c:v>5.3455924376990138</c:v>
                </c:pt>
                <c:pt idx="792">
                  <c:v>5.9021509375765442</c:v>
                </c:pt>
                <c:pt idx="793">
                  <c:v>5.8744817701009699</c:v>
                </c:pt>
                <c:pt idx="794">
                  <c:v>5.68306556231913</c:v>
                </c:pt>
                <c:pt idx="795">
                  <c:v>5.8744817701009699</c:v>
                </c:pt>
                <c:pt idx="796">
                  <c:v>6.1430087724868692</c:v>
                </c:pt>
                <c:pt idx="797">
                  <c:v>6.1470911086717894</c:v>
                </c:pt>
              </c:numCache>
            </c:numRef>
          </c:val>
          <c:smooth val="0"/>
          <c:extLst>
            <c:ext xmlns:c16="http://schemas.microsoft.com/office/drawing/2014/chart" uri="{C3380CC4-5D6E-409C-BE32-E72D297353CC}">
              <c16:uniqueId val="{00000000-382C-4B50-A280-F15023048826}"/>
            </c:ext>
          </c:extLst>
        </c:ser>
        <c:dLbls>
          <c:showLegendKey val="0"/>
          <c:showVal val="0"/>
          <c:showCatName val="0"/>
          <c:showSerName val="0"/>
          <c:showPercent val="0"/>
          <c:showBubbleSize val="0"/>
        </c:dLbls>
        <c:smooth val="0"/>
        <c:axId val="560823039"/>
        <c:axId val="560823999"/>
      </c:lineChart>
      <c:catAx>
        <c:axId val="560823039"/>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560823999"/>
        <c:crosses val="autoZero"/>
        <c:auto val="1"/>
        <c:lblAlgn val="ctr"/>
        <c:lblOffset val="100"/>
        <c:tickLblSkip val="36"/>
        <c:tickMarkSkip val="36"/>
        <c:noMultiLvlLbl val="0"/>
      </c:catAx>
      <c:valAx>
        <c:axId val="56082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56082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mn-lt"/>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022264752318741E-2"/>
          <c:y val="0.1004516037983105"/>
          <c:w val="0.89165599301091492"/>
          <c:h val="0.74288787487110097"/>
        </c:manualLayout>
      </c:layout>
      <c:barChart>
        <c:barDir val="col"/>
        <c:grouping val="clustered"/>
        <c:varyColors val="0"/>
        <c:ser>
          <c:idx val="2"/>
          <c:order val="1"/>
          <c:tx>
            <c:strRef>
              <c:f>'Chart 2'!$C$1</c:f>
              <c:strCache>
                <c:ptCount val="1"/>
                <c:pt idx="0">
                  <c:v>LAC</c:v>
                </c:pt>
              </c:strCache>
            </c:strRef>
          </c:tx>
          <c:spPr>
            <a:solidFill>
              <a:schemeClr val="accent1"/>
            </a:solidFill>
            <a:ln>
              <a:noFill/>
            </a:ln>
            <a:effectLst/>
          </c:spPr>
          <c:invertIfNegative val="0"/>
          <c:cat>
            <c:numRef>
              <c:f>'Chart 2'!$A$2:$A$22</c:f>
              <c:numCache>
                <c:formatCode>General</c:formatCod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numCache>
            </c:numRef>
          </c:cat>
          <c:val>
            <c:numRef>
              <c:f>'Chart 2'!$C$2:$C$22</c:f>
              <c:numCache>
                <c:formatCode>General</c:formatCode>
                <c:ptCount val="21"/>
                <c:pt idx="0">
                  <c:v>47.25</c:v>
                </c:pt>
                <c:pt idx="1">
                  <c:v>44.71</c:v>
                </c:pt>
                <c:pt idx="2">
                  <c:v>41.02</c:v>
                </c:pt>
                <c:pt idx="3">
                  <c:v>38.92</c:v>
                </c:pt>
                <c:pt idx="4">
                  <c:v>37</c:v>
                </c:pt>
                <c:pt idx="5">
                  <c:v>36.659999999999997</c:v>
                </c:pt>
                <c:pt idx="6">
                  <c:v>34.72</c:v>
                </c:pt>
                <c:pt idx="7">
                  <c:v>32.79</c:v>
                </c:pt>
                <c:pt idx="8">
                  <c:v>31.63</c:v>
                </c:pt>
                <c:pt idx="9">
                  <c:v>30.63</c:v>
                </c:pt>
                <c:pt idx="10">
                  <c:v>30.15</c:v>
                </c:pt>
                <c:pt idx="11">
                  <c:v>28.38</c:v>
                </c:pt>
                <c:pt idx="12">
                  <c:v>28.21</c:v>
                </c:pt>
                <c:pt idx="13">
                  <c:v>27.75</c:v>
                </c:pt>
                <c:pt idx="14">
                  <c:v>27.32</c:v>
                </c:pt>
                <c:pt idx="15">
                  <c:v>27.14</c:v>
                </c:pt>
                <c:pt idx="16">
                  <c:v>27.24</c:v>
                </c:pt>
                <c:pt idx="17">
                  <c:v>27.82</c:v>
                </c:pt>
                <c:pt idx="18">
                  <c:v>24.95</c:v>
                </c:pt>
                <c:pt idx="19">
                  <c:v>23.64</c:v>
                </c:pt>
                <c:pt idx="20">
                  <c:v>21.88</c:v>
                </c:pt>
              </c:numCache>
            </c:numRef>
          </c:val>
          <c:extLst>
            <c:ext xmlns:c16="http://schemas.microsoft.com/office/drawing/2014/chart" uri="{C3380CC4-5D6E-409C-BE32-E72D297353CC}">
              <c16:uniqueId val="{00000002-50D4-46DE-BF3E-1594FF9BCEEB}"/>
            </c:ext>
          </c:extLst>
        </c:ser>
        <c:dLbls>
          <c:showLegendKey val="0"/>
          <c:showVal val="0"/>
          <c:showCatName val="0"/>
          <c:showSerName val="0"/>
          <c:showPercent val="0"/>
          <c:showBubbleSize val="0"/>
        </c:dLbls>
        <c:gapWidth val="50"/>
        <c:axId val="560823039"/>
        <c:axId val="560823999"/>
      </c:barChart>
      <c:lineChart>
        <c:grouping val="standard"/>
        <c:varyColors val="0"/>
        <c:ser>
          <c:idx val="1"/>
          <c:order val="0"/>
          <c:tx>
            <c:strRef>
              <c:f>'Chart 2'!$B$1</c:f>
              <c:strCache>
                <c:ptCount val="1"/>
                <c:pt idx="0">
                  <c:v>Peru</c:v>
                </c:pt>
              </c:strCache>
            </c:strRef>
          </c:tx>
          <c:spPr>
            <a:ln w="34925" cap="rnd">
              <a:solidFill>
                <a:schemeClr val="accent3"/>
              </a:solidFill>
              <a:round/>
            </a:ln>
            <a:effectLst/>
          </c:spPr>
          <c:marker>
            <c:symbol val="none"/>
          </c:marker>
          <c:cat>
            <c:numRef>
              <c:f>'Chart 2'!$A$2:$A$22</c:f>
              <c:numCache>
                <c:formatCode>General</c:formatCod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numCache>
            </c:numRef>
          </c:cat>
          <c:val>
            <c:numRef>
              <c:f>'Chart 2'!$B$2:$B$22</c:f>
              <c:numCache>
                <c:formatCode>0.0</c:formatCode>
                <c:ptCount val="21"/>
                <c:pt idx="0">
                  <c:v>59.759946186599997</c:v>
                </c:pt>
                <c:pt idx="1">
                  <c:v>61.503981137300002</c:v>
                </c:pt>
                <c:pt idx="2">
                  <c:v>55.861864437999998</c:v>
                </c:pt>
                <c:pt idx="3">
                  <c:v>50.303048839500001</c:v>
                </c:pt>
                <c:pt idx="4">
                  <c:v>46.402334499800006</c:v>
                </c:pt>
                <c:pt idx="5">
                  <c:v>44.554035617799997</c:v>
                </c:pt>
                <c:pt idx="6">
                  <c:v>40.525379864499996</c:v>
                </c:pt>
                <c:pt idx="7">
                  <c:v>38.069460627300003</c:v>
                </c:pt>
                <c:pt idx="8">
                  <c:v>35.295254153599998</c:v>
                </c:pt>
                <c:pt idx="9">
                  <c:v>34.510649347499999</c:v>
                </c:pt>
                <c:pt idx="10">
                  <c:v>33.377722562399995</c:v>
                </c:pt>
                <c:pt idx="11">
                  <c:v>32.668167328400003</c:v>
                </c:pt>
                <c:pt idx="12">
                  <c:v>31.814745438399999</c:v>
                </c:pt>
                <c:pt idx="13">
                  <c:v>32.620040754800002</c:v>
                </c:pt>
                <c:pt idx="14">
                  <c:v>30.306703333200002</c:v>
                </c:pt>
                <c:pt idx="15">
                  <c:v>28.7912633362</c:v>
                </c:pt>
                <c:pt idx="16">
                  <c:v>42.848956868499997</c:v>
                </c:pt>
                <c:pt idx="17">
                  <c:v>33.423717936800003</c:v>
                </c:pt>
                <c:pt idx="18">
                  <c:v>32.223312108199998</c:v>
                </c:pt>
                <c:pt idx="19">
                  <c:v>32.6890723936</c:v>
                </c:pt>
                <c:pt idx="20">
                  <c:v>30.730509254100003</c:v>
                </c:pt>
              </c:numCache>
            </c:numRef>
          </c:val>
          <c:smooth val="1"/>
          <c:extLst>
            <c:ext xmlns:c16="http://schemas.microsoft.com/office/drawing/2014/chart" uri="{C3380CC4-5D6E-409C-BE32-E72D297353CC}">
              <c16:uniqueId val="{00000001-50D4-46DE-BF3E-1594FF9BCEEB}"/>
            </c:ext>
          </c:extLst>
        </c:ser>
        <c:dLbls>
          <c:showLegendKey val="0"/>
          <c:showVal val="0"/>
          <c:showCatName val="0"/>
          <c:showSerName val="0"/>
          <c:showPercent val="0"/>
          <c:showBubbleSize val="0"/>
        </c:dLbls>
        <c:marker val="1"/>
        <c:smooth val="0"/>
        <c:axId val="560823039"/>
        <c:axId val="560823999"/>
      </c:lineChart>
      <c:catAx>
        <c:axId val="560823039"/>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560823999"/>
        <c:crosses val="autoZero"/>
        <c:auto val="1"/>
        <c:lblAlgn val="ctr"/>
        <c:lblOffset val="100"/>
        <c:tickMarkSkip val="1"/>
        <c:noMultiLvlLbl val="0"/>
      </c:catAx>
      <c:valAx>
        <c:axId val="56082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560823039"/>
        <c:crosses val="autoZero"/>
        <c:crossBetween val="between"/>
      </c:valAx>
      <c:spPr>
        <a:noFill/>
        <a:ln>
          <a:noFill/>
        </a:ln>
        <a:effectLst/>
      </c:spPr>
    </c:plotArea>
    <c:legend>
      <c:legendPos val="t"/>
      <c:layout>
        <c:manualLayout>
          <c:xMode val="edge"/>
          <c:yMode val="edge"/>
          <c:x val="0"/>
          <c:y val="0"/>
          <c:w val="1"/>
          <c:h val="8.5740878880130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mn-lt"/>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1378034811093"/>
          <c:y val="9.6251061474220759E-2"/>
          <c:w val="0.77929671046225513"/>
          <c:h val="0.7603792147523788"/>
        </c:manualLayout>
      </c:layout>
      <c:lineChart>
        <c:grouping val="standard"/>
        <c:varyColors val="0"/>
        <c:ser>
          <c:idx val="1"/>
          <c:order val="0"/>
          <c:spPr>
            <a:ln w="28575" cap="rnd">
              <a:solidFill>
                <a:schemeClr val="accent2"/>
              </a:solidFill>
              <a:round/>
            </a:ln>
            <a:effectLst/>
          </c:spPr>
          <c:marker>
            <c:symbol val="none"/>
          </c:marker>
          <c:cat>
            <c:numRef>
              <c:f>'Chart 3'!$A$4:$A$28</c:f>
              <c:numCache>
                <c:formatCode>General</c:formatCode>
                <c:ptCount val="25"/>
              </c:numCache>
            </c:numRef>
          </c:cat>
          <c:val>
            <c:numRef>
              <c:f>'Chart 3'!#REF!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'Chart 3'!#REF!</c15:sqref>
                        </c15:formulaRef>
                      </c:ext>
                    </c:extLst>
                    <c:strCache>
                      <c:ptCount val="1"/>
                      <c:pt idx="0">
                        <c:v>#REF!</c:v>
                      </c:pt>
                    </c:strCache>
                  </c:strRef>
                </c15:tx>
              </c15:filteredSeriesTitle>
            </c:ext>
            <c:ext xmlns:c16="http://schemas.microsoft.com/office/drawing/2014/chart" uri="{C3380CC4-5D6E-409C-BE32-E72D297353CC}">
              <c16:uniqueId val="{00000001-8A3A-4C2B-8A8A-3D7F3374E728}"/>
            </c:ext>
          </c:extLst>
        </c:ser>
        <c:dLbls>
          <c:showLegendKey val="0"/>
          <c:showVal val="0"/>
          <c:showCatName val="0"/>
          <c:showSerName val="0"/>
          <c:showPercent val="0"/>
          <c:showBubbleSize val="0"/>
        </c:dLbls>
        <c:marker val="1"/>
        <c:smooth val="0"/>
        <c:axId val="1062725296"/>
        <c:axId val="1062725776"/>
      </c:lineChart>
      <c:lineChart>
        <c:grouping val="standard"/>
        <c:varyColors val="0"/>
        <c:ser>
          <c:idx val="2"/>
          <c:order val="1"/>
          <c:spPr>
            <a:ln w="28575" cap="rnd">
              <a:solidFill>
                <a:schemeClr val="accent3"/>
              </a:solidFill>
              <a:round/>
            </a:ln>
            <a:effectLst/>
          </c:spPr>
          <c:marker>
            <c:symbol val="none"/>
          </c:marker>
          <c:cat>
            <c:numRef>
              <c:f>'Chart 3'!$A$4:$A$28</c:f>
              <c:numCache>
                <c:formatCode>General</c:formatCode>
                <c:ptCount val="25"/>
              </c:numCache>
            </c:numRef>
          </c:cat>
          <c:val>
            <c:numRef>
              <c:f>'Chart 3'!#REF!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'Chart 3'!#REF!</c15:sqref>
                        </c15:formulaRef>
                      </c:ext>
                    </c:extLst>
                    <c:strCache>
                      <c:ptCount val="1"/>
                      <c:pt idx="0">
                        <c:v>#REF!</c:v>
                      </c:pt>
                    </c:strCache>
                  </c:strRef>
                </c15:tx>
              </c15:filteredSeriesTitle>
            </c:ext>
            <c:ext xmlns:c16="http://schemas.microsoft.com/office/drawing/2014/chart" uri="{C3380CC4-5D6E-409C-BE32-E72D297353CC}">
              <c16:uniqueId val="{00000002-8A3A-4C2B-8A8A-3D7F3374E728}"/>
            </c:ext>
          </c:extLst>
        </c:ser>
        <c:dLbls>
          <c:showLegendKey val="0"/>
          <c:showVal val="0"/>
          <c:showCatName val="0"/>
          <c:showSerName val="0"/>
          <c:showPercent val="0"/>
          <c:showBubbleSize val="0"/>
        </c:dLbls>
        <c:marker val="1"/>
        <c:smooth val="0"/>
        <c:axId val="2012701360"/>
        <c:axId val="1926314816"/>
      </c:lineChart>
      <c:catAx>
        <c:axId val="1062725296"/>
        <c:scaling>
          <c:orientation val="minMax"/>
        </c:scaling>
        <c:delete val="0"/>
        <c:axPos val="b"/>
        <c:numFmt formatCode="General" sourceLinked="1"/>
        <c:majorTickMark val="none"/>
        <c:minorTickMark val="none"/>
        <c:tickLblPos val="low"/>
        <c:spPr>
          <a:noFill/>
          <a:ln w="9525" cap="flat" cmpd="sng" algn="ctr">
            <a:solidFill>
              <a:schemeClr val="bg1">
                <a:lumMod val="50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062725776"/>
        <c:crosses val="autoZero"/>
        <c:auto val="1"/>
        <c:lblAlgn val="ctr"/>
        <c:lblOffset val="100"/>
        <c:noMultiLvlLbl val="0"/>
      </c:catAx>
      <c:valAx>
        <c:axId val="1062725776"/>
        <c:scaling>
          <c:orientation val="minMax"/>
          <c:max val="10"/>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PE"/>
                  <a:t>GDP growth (annual</a:t>
                </a:r>
                <a:r>
                  <a:rPr lang="es-PE" baseline="0"/>
                  <a:t> % change)</a:t>
                </a:r>
                <a:endParaRPr lang="es-PE"/>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title>
        <c:numFmt formatCode="#,##0" sourceLinked="0"/>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062725296"/>
        <c:crosses val="autoZero"/>
        <c:crossBetween val="between"/>
      </c:valAx>
      <c:valAx>
        <c:axId val="1926314816"/>
        <c:scaling>
          <c:orientation val="minMax"/>
          <c:max val="6"/>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PE"/>
                  <a:t>Copper</a:t>
                </a:r>
                <a:r>
                  <a:rPr lang="es-PE" baseline="0"/>
                  <a:t> price (US$/lb)</a:t>
                </a:r>
                <a:endParaRPr lang="es-PE"/>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title>
        <c:numFmt formatCode="0" sourceLinked="0"/>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2012701360"/>
        <c:crosses val="max"/>
        <c:crossBetween val="between"/>
      </c:valAx>
      <c:catAx>
        <c:axId val="2012701360"/>
        <c:scaling>
          <c:orientation val="minMax"/>
        </c:scaling>
        <c:delete val="1"/>
        <c:axPos val="b"/>
        <c:numFmt formatCode="General" sourceLinked="1"/>
        <c:majorTickMark val="out"/>
        <c:minorTickMark val="none"/>
        <c:tickLblPos val="nextTo"/>
        <c:crossAx val="1926314816"/>
        <c:crosses val="autoZero"/>
        <c:auto val="1"/>
        <c:lblAlgn val="ctr"/>
        <c:lblOffset val="100"/>
        <c:noMultiLvlLbl val="0"/>
      </c:catAx>
      <c:spPr>
        <a:noFill/>
        <a:ln>
          <a:noFill/>
        </a:ln>
        <a:effectLst/>
      </c:spPr>
    </c:plotArea>
    <c:legend>
      <c:legendPos val="t"/>
      <c:layout>
        <c:manualLayout>
          <c:xMode val="edge"/>
          <c:yMode val="edge"/>
          <c:x val="0"/>
          <c:y val="0"/>
          <c:w val="1"/>
          <c:h val="7.790913254956705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mn-lt"/>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1378034811093"/>
          <c:y val="8.6958070684377733E-2"/>
          <c:w val="0.77929671046225513"/>
          <c:h val="0.76967235103899301"/>
        </c:manualLayout>
      </c:layout>
      <c:barChart>
        <c:barDir val="col"/>
        <c:grouping val="clustered"/>
        <c:varyColors val="0"/>
        <c:ser>
          <c:idx val="1"/>
          <c:order val="0"/>
          <c:tx>
            <c:strRef>
              <c:f>'Chart 3'!$D$1</c:f>
              <c:strCache>
                <c:ptCount val="1"/>
                <c:pt idx="0">
                  <c:v>GDP growth (annual % change)</c:v>
                </c:pt>
              </c:strCache>
            </c:strRef>
          </c:tx>
          <c:spPr>
            <a:solidFill>
              <a:schemeClr val="accent5">
                <a:lumMod val="60000"/>
                <a:lumOff val="40000"/>
              </a:schemeClr>
            </a:solidFill>
            <a:ln>
              <a:noFill/>
            </a:ln>
            <a:effectLst/>
          </c:spPr>
          <c:invertIfNegative val="0"/>
          <c:cat>
            <c:numRef>
              <c:f>'Chart 3'!$C$4:$C$26</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2022</c:v>
                </c:pt>
                <c:pt idx="19">
                  <c:v>2023</c:v>
                </c:pt>
                <c:pt idx="20">
                  <c:v>2024</c:v>
                </c:pt>
                <c:pt idx="21">
                  <c:v>2025</c:v>
                </c:pt>
                <c:pt idx="22">
                  <c:v>2026</c:v>
                </c:pt>
              </c:numCache>
            </c:numRef>
          </c:cat>
          <c:val>
            <c:numRef>
              <c:f>'Chart 3'!$D$4:$D$26</c:f>
              <c:numCache>
                <c:formatCode>0.00</c:formatCode>
                <c:ptCount val="23"/>
                <c:pt idx="0">
                  <c:v>5.4539999999999997</c:v>
                </c:pt>
                <c:pt idx="1">
                  <c:v>4.165</c:v>
                </c:pt>
                <c:pt idx="2">
                  <c:v>4.9589999999999996</c:v>
                </c:pt>
                <c:pt idx="3">
                  <c:v>6.2850000000000001</c:v>
                </c:pt>
                <c:pt idx="4">
                  <c:v>7.5289999999999999</c:v>
                </c:pt>
                <c:pt idx="5">
                  <c:v>8.5180000000000007</c:v>
                </c:pt>
                <c:pt idx="6">
                  <c:v>9.1270000000000007</c:v>
                </c:pt>
                <c:pt idx="7">
                  <c:v>1.0960000000000001</c:v>
                </c:pt>
                <c:pt idx="8">
                  <c:v>8.33</c:v>
                </c:pt>
                <c:pt idx="9">
                  <c:v>6.3280000000000003</c:v>
                </c:pt>
                <c:pt idx="10">
                  <c:v>6.14</c:v>
                </c:pt>
                <c:pt idx="11">
                  <c:v>5.8520000000000003</c:v>
                </c:pt>
                <c:pt idx="12">
                  <c:v>2.3839999999999999</c:v>
                </c:pt>
                <c:pt idx="13">
                  <c:v>3.2509999999999999</c:v>
                </c:pt>
                <c:pt idx="14">
                  <c:v>3.9540000000000002</c:v>
                </c:pt>
                <c:pt idx="15">
                  <c:v>2.5190000000000001</c:v>
                </c:pt>
                <c:pt idx="16">
                  <c:v>3.9689999999999999</c:v>
                </c:pt>
                <c:pt idx="17">
                  <c:v>2.2400000000000002</c:v>
                </c:pt>
                <c:pt idx="18">
                  <c:v>2.819</c:v>
                </c:pt>
                <c:pt idx="19">
                  <c:v>-0.35</c:v>
                </c:pt>
                <c:pt idx="20">
                  <c:v>3.5139999999999998</c:v>
                </c:pt>
                <c:pt idx="21">
                  <c:v>3.4390000000000001</c:v>
                </c:pt>
                <c:pt idx="22">
                  <c:v>2.82</c:v>
                </c:pt>
              </c:numCache>
            </c:numRef>
          </c:val>
          <c:extLst>
            <c:ext xmlns:c16="http://schemas.microsoft.com/office/drawing/2014/chart" uri="{C3380CC4-5D6E-409C-BE32-E72D297353CC}">
              <c16:uniqueId val="{00000000-099D-44D4-A701-81EE2D0B3950}"/>
            </c:ext>
          </c:extLst>
        </c:ser>
        <c:dLbls>
          <c:showLegendKey val="0"/>
          <c:showVal val="0"/>
          <c:showCatName val="0"/>
          <c:showSerName val="0"/>
          <c:showPercent val="0"/>
          <c:showBubbleSize val="0"/>
        </c:dLbls>
        <c:gapWidth val="50"/>
        <c:axId val="1062725296"/>
        <c:axId val="1062725776"/>
      </c:barChart>
      <c:lineChart>
        <c:grouping val="standard"/>
        <c:varyColors val="0"/>
        <c:ser>
          <c:idx val="2"/>
          <c:order val="1"/>
          <c:tx>
            <c:strRef>
              <c:f>'Chart 3'!$E$1</c:f>
              <c:strCache>
                <c:ptCount val="1"/>
                <c:pt idx="0">
                  <c:v>Copper price ($ per pound, right axis)</c:v>
                </c:pt>
              </c:strCache>
            </c:strRef>
          </c:tx>
          <c:spPr>
            <a:ln w="34925" cap="rnd">
              <a:solidFill>
                <a:schemeClr val="accent3"/>
              </a:solidFill>
              <a:round/>
            </a:ln>
            <a:effectLst/>
          </c:spPr>
          <c:marker>
            <c:symbol val="none"/>
          </c:marker>
          <c:cat>
            <c:numRef>
              <c:f>'Chart 3'!$C$4:$C$26</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2022</c:v>
                </c:pt>
                <c:pt idx="19">
                  <c:v>2023</c:v>
                </c:pt>
                <c:pt idx="20">
                  <c:v>2024</c:v>
                </c:pt>
                <c:pt idx="21">
                  <c:v>2025</c:v>
                </c:pt>
                <c:pt idx="22">
                  <c:v>2026</c:v>
                </c:pt>
              </c:numCache>
            </c:numRef>
          </c:cat>
          <c:val>
            <c:numRef>
              <c:f>'Chart 3'!$E$4:$E$26</c:f>
              <c:numCache>
                <c:formatCode>0.00</c:formatCode>
                <c:ptCount val="23"/>
                <c:pt idx="0">
                  <c:v>0.70741594167399979</c:v>
                </c:pt>
                <c:pt idx="1">
                  <c:v>0.80701738470424234</c:v>
                </c:pt>
                <c:pt idx="2">
                  <c:v>1.2999972784425435</c:v>
                </c:pt>
                <c:pt idx="3">
                  <c:v>1.6686927149954791</c:v>
                </c:pt>
                <c:pt idx="4">
                  <c:v>3.0490893366354901</c:v>
                </c:pt>
                <c:pt idx="5">
                  <c:v>3.2287499281811232</c:v>
                </c:pt>
                <c:pt idx="6">
                  <c:v>3.1551922780343098</c:v>
                </c:pt>
                <c:pt idx="7">
                  <c:v>2.3359656841844245</c:v>
                </c:pt>
                <c:pt idx="8">
                  <c:v>3.417671374961067</c:v>
                </c:pt>
                <c:pt idx="9">
                  <c:v>4.0043938033160673</c:v>
                </c:pt>
                <c:pt idx="10">
                  <c:v>3.6116201431539232</c:v>
                </c:pt>
                <c:pt idx="11">
                  <c:v>3.3257810113912307</c:v>
                </c:pt>
                <c:pt idx="12">
                  <c:v>3.1131215356841544</c:v>
                </c:pt>
                <c:pt idx="13">
                  <c:v>2.499523727445093</c:v>
                </c:pt>
                <c:pt idx="14">
                  <c:v>2.2080902831326941</c:v>
                </c:pt>
                <c:pt idx="15">
                  <c:v>2.7987438500361361</c:v>
                </c:pt>
                <c:pt idx="16">
                  <c:v>2.9619238992056083</c:v>
                </c:pt>
                <c:pt idx="17">
                  <c:v>2.7260555862990752</c:v>
                </c:pt>
                <c:pt idx="18">
                  <c:v>4.001710045268573</c:v>
                </c:pt>
                <c:pt idx="19">
                  <c:v>3.8511549987450597</c:v>
                </c:pt>
                <c:pt idx="20">
                  <c:v>4.1467463780606186</c:v>
                </c:pt>
                <c:pt idx="21">
                  <c:v>4.5120776672019067</c:v>
                </c:pt>
                <c:pt idx="22">
                  <c:v>5.9373799868760457</c:v>
                </c:pt>
              </c:numCache>
            </c:numRef>
          </c:val>
          <c:smooth val="1"/>
          <c:extLst>
            <c:ext xmlns:c16="http://schemas.microsoft.com/office/drawing/2014/chart" uri="{C3380CC4-5D6E-409C-BE32-E72D297353CC}">
              <c16:uniqueId val="{00000001-099D-44D4-A701-81EE2D0B3950}"/>
            </c:ext>
          </c:extLst>
        </c:ser>
        <c:dLbls>
          <c:showLegendKey val="0"/>
          <c:showVal val="0"/>
          <c:showCatName val="0"/>
          <c:showSerName val="0"/>
          <c:showPercent val="0"/>
          <c:showBubbleSize val="0"/>
        </c:dLbls>
        <c:marker val="1"/>
        <c:smooth val="0"/>
        <c:axId val="2012701360"/>
        <c:axId val="1926314816"/>
      </c:lineChart>
      <c:catAx>
        <c:axId val="1062725296"/>
        <c:scaling>
          <c:orientation val="minMax"/>
        </c:scaling>
        <c:delete val="0"/>
        <c:axPos val="b"/>
        <c:numFmt formatCode="General" sourceLinked="1"/>
        <c:majorTickMark val="none"/>
        <c:minorTickMark val="none"/>
        <c:tickLblPos val="low"/>
        <c:spPr>
          <a:noFill/>
          <a:ln w="9525" cap="flat" cmpd="sng" algn="ctr">
            <a:solidFill>
              <a:schemeClr val="bg1">
                <a:lumMod val="50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062725776"/>
        <c:crosses val="autoZero"/>
        <c:auto val="1"/>
        <c:lblAlgn val="ctr"/>
        <c:lblOffset val="100"/>
        <c:noMultiLvlLbl val="0"/>
      </c:catAx>
      <c:valAx>
        <c:axId val="1062725776"/>
        <c:scaling>
          <c:orientation val="minMax"/>
          <c:max val="10"/>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PE"/>
                  <a:t>GDP growth (annual</a:t>
                </a:r>
                <a:r>
                  <a:rPr lang="es-PE" baseline="0"/>
                  <a:t> % change)</a:t>
                </a:r>
                <a:endParaRPr lang="es-PE"/>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title>
        <c:numFmt formatCode="#,##0" sourceLinked="0"/>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062725296"/>
        <c:crosses val="autoZero"/>
        <c:crossBetween val="between"/>
      </c:valAx>
      <c:valAx>
        <c:axId val="1926314816"/>
        <c:scaling>
          <c:orientation val="minMax"/>
          <c:max val="6"/>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PE"/>
                  <a:t>Copper price ($ per pound)</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title>
        <c:numFmt formatCode="0" sourceLinked="0"/>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2012701360"/>
        <c:crosses val="max"/>
        <c:crossBetween val="between"/>
      </c:valAx>
      <c:catAx>
        <c:axId val="2012701360"/>
        <c:scaling>
          <c:orientation val="minMax"/>
        </c:scaling>
        <c:delete val="1"/>
        <c:axPos val="b"/>
        <c:numFmt formatCode="General" sourceLinked="1"/>
        <c:majorTickMark val="out"/>
        <c:minorTickMark val="none"/>
        <c:tickLblPos val="nextTo"/>
        <c:crossAx val="1926314816"/>
        <c:crosses val="autoZero"/>
        <c:auto val="1"/>
        <c:lblAlgn val="ctr"/>
        <c:lblOffset val="100"/>
        <c:noMultiLvlLbl val="0"/>
      </c:catAx>
      <c:spPr>
        <a:noFill/>
        <a:ln>
          <a:noFill/>
        </a:ln>
        <a:effectLst/>
      </c:spPr>
    </c:plotArea>
    <c:legend>
      <c:legendPos val="t"/>
      <c:layout>
        <c:manualLayout>
          <c:xMode val="edge"/>
          <c:yMode val="edge"/>
          <c:x val="0"/>
          <c:y val="0"/>
          <c:w val="1"/>
          <c:h val="7.790913254956705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mn-lt"/>
        </a:defRPr>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ysClr val="windowText" lastClr="000000"/>
                </a:solidFill>
                <a:latin typeface="+mn-lt"/>
                <a:ea typeface="+mn-ea"/>
                <a:cs typeface="+mn-cs"/>
              </a:defRPr>
            </a:pPr>
            <a:r>
              <a:rPr lang="es-PE" sz="1050"/>
              <a:t>Score (0-100)</a:t>
            </a:r>
          </a:p>
        </c:rich>
      </c:tx>
      <c:layout>
        <c:manualLayout>
          <c:xMode val="edge"/>
          <c:yMode val="edge"/>
          <c:x val="0.41289332527377981"/>
          <c:y val="1.7878391043348412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ysClr val="windowText" lastClr="000000"/>
              </a:solidFill>
              <a:latin typeface="+mn-lt"/>
              <a:ea typeface="+mn-ea"/>
              <a:cs typeface="+mn-cs"/>
            </a:defRPr>
          </a:pPr>
          <a:endParaRPr lang="es-PE"/>
        </a:p>
      </c:txPr>
    </c:title>
    <c:autoTitleDeleted val="0"/>
    <c:plotArea>
      <c:layout>
        <c:manualLayout>
          <c:layoutTarget val="inner"/>
          <c:xMode val="edge"/>
          <c:yMode val="edge"/>
          <c:x val="0.26492572562041433"/>
          <c:y val="9.5206303610977469E-2"/>
          <c:w val="0.70445492852015623"/>
          <c:h val="0.808888446230563"/>
        </c:manualLayout>
      </c:layout>
      <c:barChart>
        <c:barDir val="bar"/>
        <c:grouping val="clustered"/>
        <c:varyColors val="0"/>
        <c:ser>
          <c:idx val="0"/>
          <c:order val="0"/>
          <c:spPr>
            <a:solidFill>
              <a:schemeClr val="accent4">
                <a:lumMod val="40000"/>
                <a:lumOff val="60000"/>
              </a:schemeClr>
            </a:solidFill>
            <a:ln>
              <a:noFill/>
            </a:ln>
            <a:effectLst/>
          </c:spPr>
          <c:invertIfNegative val="0"/>
          <c:dPt>
            <c:idx val="5"/>
            <c:invertIfNegative val="0"/>
            <c:bubble3D val="0"/>
            <c:spPr>
              <a:solidFill>
                <a:schemeClr val="accent3"/>
              </a:solidFill>
              <a:ln>
                <a:noFill/>
              </a:ln>
              <a:effectLst/>
            </c:spPr>
            <c:extLst>
              <c:ext xmlns:c16="http://schemas.microsoft.com/office/drawing/2014/chart" uri="{C3380CC4-5D6E-409C-BE32-E72D297353CC}">
                <c16:uniqueId val="{00000001-E9C9-449F-8EAD-E82BE1077CA2}"/>
              </c:ext>
            </c:extLst>
          </c:dPt>
          <c:dLbls>
            <c:dLbl>
              <c:idx val="5"/>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1-E9C9-449F-8EAD-E82BE1077CA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4'!$B$18:$B$29</c:f>
              <c:strCache>
                <c:ptCount val="12"/>
                <c:pt idx="0">
                  <c:v>Argentina (San Juan)</c:v>
                </c:pt>
                <c:pt idx="1">
                  <c:v>Brazil</c:v>
                </c:pt>
                <c:pt idx="2">
                  <c:v>Argentina (Santa Cruz)</c:v>
                </c:pt>
                <c:pt idx="3">
                  <c:v>Chile</c:v>
                </c:pt>
                <c:pt idx="4">
                  <c:v>Mexico</c:v>
                </c:pt>
                <c:pt idx="5">
                  <c:v>Peru</c:v>
                </c:pt>
                <c:pt idx="6">
                  <c:v>Colombia</c:v>
                </c:pt>
                <c:pt idx="7">
                  <c:v>Argentina (Mendoza)</c:v>
                </c:pt>
                <c:pt idx="8">
                  <c:v>Ecuador</c:v>
                </c:pt>
                <c:pt idx="9">
                  <c:v>Bolivia</c:v>
                </c:pt>
                <c:pt idx="10">
                  <c:v>Argentina (Neuquen)</c:v>
                </c:pt>
                <c:pt idx="11">
                  <c:v>Argentina (Chubut)</c:v>
                </c:pt>
              </c:strCache>
            </c:strRef>
          </c:cat>
          <c:val>
            <c:numRef>
              <c:f>'Chart 4'!$C$18:$C$29</c:f>
              <c:numCache>
                <c:formatCode>General</c:formatCode>
                <c:ptCount val="12"/>
                <c:pt idx="0">
                  <c:v>76.944462342292709</c:v>
                </c:pt>
                <c:pt idx="1">
                  <c:v>76.735149432076469</c:v>
                </c:pt>
                <c:pt idx="2">
                  <c:v>74.339325031615957</c:v>
                </c:pt>
                <c:pt idx="3">
                  <c:v>69.171433599097981</c:v>
                </c:pt>
                <c:pt idx="4">
                  <c:v>67.732506236747525</c:v>
                </c:pt>
                <c:pt idx="5">
                  <c:v>64.977902840233796</c:v>
                </c:pt>
                <c:pt idx="6">
                  <c:v>64.91275764769108</c:v>
                </c:pt>
                <c:pt idx="7">
                  <c:v>53.062313594819628</c:v>
                </c:pt>
                <c:pt idx="8">
                  <c:v>52.877440486202296</c:v>
                </c:pt>
                <c:pt idx="9">
                  <c:v>49.80765673488866</c:v>
                </c:pt>
                <c:pt idx="10">
                  <c:v>49.289201430109046</c:v>
                </c:pt>
                <c:pt idx="11">
                  <c:v>47.027060711901498</c:v>
                </c:pt>
              </c:numCache>
            </c:numRef>
          </c:val>
          <c:extLst>
            <c:ext xmlns:c16="http://schemas.microsoft.com/office/drawing/2014/chart" uri="{C3380CC4-5D6E-409C-BE32-E72D297353CC}">
              <c16:uniqueId val="{00000000-E9C9-449F-8EAD-E82BE1077CA2}"/>
            </c:ext>
          </c:extLst>
        </c:ser>
        <c:dLbls>
          <c:showLegendKey val="0"/>
          <c:showVal val="0"/>
          <c:showCatName val="0"/>
          <c:showSerName val="0"/>
          <c:showPercent val="0"/>
          <c:showBubbleSize val="0"/>
        </c:dLbls>
        <c:gapWidth val="50"/>
        <c:axId val="196838879"/>
        <c:axId val="196855679"/>
      </c:barChart>
      <c:catAx>
        <c:axId val="196838879"/>
        <c:scaling>
          <c:orientation val="maxMin"/>
        </c:scaling>
        <c:delete val="0"/>
        <c:axPos val="l"/>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96855679"/>
        <c:crosses val="autoZero"/>
        <c:auto val="1"/>
        <c:lblAlgn val="ctr"/>
        <c:lblOffset val="100"/>
        <c:noMultiLvlLbl val="0"/>
      </c:catAx>
      <c:valAx>
        <c:axId val="196855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high"/>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9683887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mn-lt"/>
        </a:defRPr>
      </a:pPr>
      <a:endParaRPr lang="es-P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1378034811093"/>
          <c:y val="0.11452541554290553"/>
          <c:w val="0.82272268870955445"/>
          <c:h val="0.74210527267826876"/>
        </c:manualLayout>
      </c:layout>
      <c:areaChart>
        <c:grouping val="percentStacked"/>
        <c:varyColors val="0"/>
        <c:ser>
          <c:idx val="0"/>
          <c:order val="0"/>
          <c:spPr>
            <a:solidFill>
              <a:schemeClr val="accent3">
                <a:lumMod val="20000"/>
                <a:lumOff val="80000"/>
              </a:schemeClr>
            </a:solidFill>
            <a:ln>
              <a:noFill/>
            </a:ln>
            <a:effectLst/>
          </c:spPr>
          <c:cat>
            <c:numRef>
              <c:f>'Chart 4'!$B$3:$B$13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 4'!$C$3:$C$13</c:f>
              <c:numCache>
                <c:formatCode>General</c:formatCode>
                <c:ptCount val="11"/>
                <c:pt idx="0">
                  <c:v>67</c:v>
                </c:pt>
                <c:pt idx="1">
                  <c:v>73</c:v>
                </c:pt>
                <c:pt idx="2">
                  <c:v>79</c:v>
                </c:pt>
                <c:pt idx="3">
                  <c:v>83</c:v>
                </c:pt>
                <c:pt idx="4">
                  <c:v>68</c:v>
                </c:pt>
                <c:pt idx="5">
                  <c:v>56</c:v>
                </c:pt>
                <c:pt idx="6">
                  <c:v>50</c:v>
                </c:pt>
                <c:pt idx="7">
                  <c:v>45</c:v>
                </c:pt>
                <c:pt idx="8">
                  <c:v>31</c:v>
                </c:pt>
                <c:pt idx="9">
                  <c:v>51</c:v>
                </c:pt>
                <c:pt idx="10">
                  <c:v>40</c:v>
                </c:pt>
              </c:numCache>
            </c:numRef>
          </c:val>
          <c:extLst>
            <c:ext xmlns:c16="http://schemas.microsoft.com/office/drawing/2014/chart" uri="{C3380CC4-5D6E-409C-BE32-E72D297353CC}">
              <c16:uniqueId val="{00000002-94D3-4151-BEA5-0B2C6C693842}"/>
            </c:ext>
          </c:extLst>
        </c:ser>
        <c:ser>
          <c:idx val="2"/>
          <c:order val="1"/>
          <c:spPr>
            <a:solidFill>
              <a:schemeClr val="tx1">
                <a:lumMod val="20000"/>
                <a:lumOff val="80000"/>
              </a:schemeClr>
            </a:solidFill>
            <a:ln>
              <a:noFill/>
            </a:ln>
            <a:effectLst/>
          </c:spPr>
          <c:cat>
            <c:numRef>
              <c:f>'Chart 4'!$B$3:$B$13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 4'!$D$3:$D$13</c:f>
              <c:numCache>
                <c:formatCode>General</c:formatCode>
                <c:ptCount val="11"/>
                <c:pt idx="0">
                  <c:v>33</c:v>
                </c:pt>
                <c:pt idx="1">
                  <c:v>27</c:v>
                </c:pt>
                <c:pt idx="2">
                  <c:v>21</c:v>
                </c:pt>
                <c:pt idx="3">
                  <c:v>17</c:v>
                </c:pt>
                <c:pt idx="4">
                  <c:v>32</c:v>
                </c:pt>
                <c:pt idx="5">
                  <c:v>44</c:v>
                </c:pt>
                <c:pt idx="6">
                  <c:v>50</c:v>
                </c:pt>
                <c:pt idx="7">
                  <c:v>55</c:v>
                </c:pt>
                <c:pt idx="8">
                  <c:v>69</c:v>
                </c:pt>
                <c:pt idx="9">
                  <c:v>49</c:v>
                </c:pt>
                <c:pt idx="10">
                  <c:v>60</c:v>
                </c:pt>
              </c:numCache>
            </c:numRef>
          </c:val>
          <c:extLst>
            <c:ext xmlns:c16="http://schemas.microsoft.com/office/drawing/2014/chart" uri="{C3380CC4-5D6E-409C-BE32-E72D297353CC}">
              <c16:uniqueId val="{00000003-94D3-4151-BEA5-0B2C6C693842}"/>
            </c:ext>
          </c:extLst>
        </c:ser>
        <c:dLbls>
          <c:showLegendKey val="0"/>
          <c:showVal val="0"/>
          <c:showCatName val="0"/>
          <c:showSerName val="0"/>
          <c:showPercent val="0"/>
          <c:showBubbleSize val="0"/>
        </c:dLbls>
        <c:axId val="1062725296"/>
        <c:axId val="1062725776"/>
      </c:areaChart>
      <c:lineChart>
        <c:grouping val="standard"/>
        <c:varyColors val="0"/>
        <c:ser>
          <c:idx val="1"/>
          <c:order val="2"/>
          <c:tx>
            <c:strRef>
              <c:f>'Chart 4'!$C$2</c:f>
              <c:strCache>
                <c:ptCount val="1"/>
                <c:pt idx="0">
                  <c:v>% of jurisdictions below Peru in the global ranking</c:v>
                </c:pt>
              </c:strCache>
            </c:strRef>
          </c:tx>
          <c:spPr>
            <a:ln w="28575" cap="rnd">
              <a:solidFill>
                <a:schemeClr val="accent3"/>
              </a:solidFill>
              <a:round/>
            </a:ln>
            <a:effectLst/>
          </c:spPr>
          <c:marker>
            <c:symbol val="diamond"/>
            <c:size val="8"/>
            <c:spPr>
              <a:solidFill>
                <a:schemeClr val="accent3"/>
              </a:solidFill>
              <a:ln w="9525">
                <a:solidFill>
                  <a:schemeClr val="accent3"/>
                </a:solidFill>
              </a:ln>
              <a:effectLst/>
            </c:spPr>
          </c:marker>
          <c:dLbls>
            <c:dLbl>
              <c:idx val="0"/>
              <c:layout>
                <c:manualLayout>
                  <c:x val="-2.1610524854388455E-2"/>
                  <c:y val="7.1082156103885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D3-4151-BEA5-0B2C6C693842}"/>
                </c:ext>
              </c:extLst>
            </c:dLbl>
            <c:dLbl>
              <c:idx val="1"/>
              <c:layout>
                <c:manualLayout>
                  <c:x val="-4.6518444564466646E-2"/>
                  <c:y val="6.13905819087035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D3-4151-BEA5-0B2C6C693842}"/>
                </c:ext>
              </c:extLst>
            </c:dLbl>
            <c:dLbl>
              <c:idx val="10"/>
              <c:layout>
                <c:manualLayout>
                  <c:x val="-8.7857912336592056E-2"/>
                  <c:y val="7.1082321601395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D3-4151-BEA5-0B2C6C69384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'Chart 4'!$G$3:$G$13</c:f>
              <c:numCache>
                <c:formatCode>General</c:formatCode>
                <c:ptCount val="11"/>
                <c:pt idx="0">
                  <c:v>0.67</c:v>
                </c:pt>
                <c:pt idx="1">
                  <c:v>0.73</c:v>
                </c:pt>
                <c:pt idx="2">
                  <c:v>0.79</c:v>
                </c:pt>
                <c:pt idx="3">
                  <c:v>0.83</c:v>
                </c:pt>
                <c:pt idx="4">
                  <c:v>0.68</c:v>
                </c:pt>
                <c:pt idx="5">
                  <c:v>0.56000000000000005</c:v>
                </c:pt>
                <c:pt idx="6">
                  <c:v>0.5</c:v>
                </c:pt>
                <c:pt idx="7">
                  <c:v>0.45</c:v>
                </c:pt>
                <c:pt idx="8">
                  <c:v>0.31</c:v>
                </c:pt>
                <c:pt idx="9">
                  <c:v>0.51</c:v>
                </c:pt>
                <c:pt idx="10">
                  <c:v>0.4</c:v>
                </c:pt>
              </c:numCache>
            </c:numRef>
          </c:val>
          <c:smooth val="0"/>
          <c:extLst>
            <c:ext xmlns:c16="http://schemas.microsoft.com/office/drawing/2014/chart" uri="{C3380CC4-5D6E-409C-BE32-E72D297353CC}">
              <c16:uniqueId val="{00000004-94D3-4151-BEA5-0B2C6C693842}"/>
            </c:ext>
          </c:extLst>
        </c:ser>
        <c:dLbls>
          <c:showLegendKey val="0"/>
          <c:showVal val="0"/>
          <c:showCatName val="0"/>
          <c:showSerName val="0"/>
          <c:showPercent val="0"/>
          <c:showBubbleSize val="0"/>
        </c:dLbls>
        <c:marker val="1"/>
        <c:smooth val="0"/>
        <c:axId val="186498303"/>
        <c:axId val="186491103"/>
      </c:lineChart>
      <c:catAx>
        <c:axId val="1062725296"/>
        <c:scaling>
          <c:orientation val="minMax"/>
        </c:scaling>
        <c:delete val="0"/>
        <c:axPos val="b"/>
        <c:numFmt formatCode="General" sourceLinked="1"/>
        <c:majorTickMark val="out"/>
        <c:minorTickMark val="none"/>
        <c:tickLblPos val="low"/>
        <c:spPr>
          <a:noFill/>
          <a:ln w="9525" cap="flat" cmpd="sng" algn="ctr">
            <a:solidFill>
              <a:schemeClr val="bg1">
                <a:lumMod val="50000"/>
              </a:schemeClr>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062725776"/>
        <c:crosses val="autoZero"/>
        <c:auto val="1"/>
        <c:lblAlgn val="ctr"/>
        <c:lblOffset val="100"/>
        <c:noMultiLvlLbl val="0"/>
      </c:catAx>
      <c:valAx>
        <c:axId val="1062725776"/>
        <c:scaling>
          <c:orientation val="minMax"/>
        </c:scaling>
        <c:delete val="0"/>
        <c:axPos val="l"/>
        <c:numFmt formatCode="0%" sourceLinked="0"/>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1062725296"/>
        <c:crosses val="autoZero"/>
        <c:crossBetween val="between"/>
      </c:valAx>
      <c:valAx>
        <c:axId val="186491103"/>
        <c:scaling>
          <c:orientation val="minMax"/>
          <c:max val="1"/>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s-PE"/>
          </a:p>
        </c:txPr>
        <c:crossAx val="186498303"/>
        <c:crosses val="max"/>
        <c:crossBetween val="between"/>
      </c:valAx>
      <c:catAx>
        <c:axId val="186498303"/>
        <c:scaling>
          <c:orientation val="minMax"/>
        </c:scaling>
        <c:delete val="1"/>
        <c:axPos val="b"/>
        <c:majorTickMark val="out"/>
        <c:minorTickMark val="none"/>
        <c:tickLblPos val="nextTo"/>
        <c:crossAx val="186491103"/>
        <c:crosses val="autoZero"/>
        <c:auto val="1"/>
        <c:lblAlgn val="ctr"/>
        <c:lblOffset val="100"/>
        <c:noMultiLvlLbl val="0"/>
      </c:catAx>
      <c:spPr>
        <a:noFill/>
        <a:ln>
          <a:noFill/>
        </a:ln>
        <a:effectLst/>
      </c:spPr>
    </c:plotArea>
    <c:legend>
      <c:legendPos val="r"/>
      <c:legendEntry>
        <c:idx val="0"/>
        <c:delete val="1"/>
      </c:legendEntry>
      <c:legendEntry>
        <c:idx val="1"/>
        <c:delete val="1"/>
      </c:legendEntry>
      <c:layout>
        <c:manualLayout>
          <c:xMode val="edge"/>
          <c:yMode val="edge"/>
          <c:x val="0"/>
          <c:y val="3.2190669481270222E-3"/>
          <c:w val="1"/>
          <c:h val="0.1068170923844719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mn-lt"/>
        </a:defRPr>
      </a:pPr>
      <a:endParaRPr lang="es-P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606363612698834E-2"/>
          <c:y val="5.1162790697674418E-2"/>
          <c:w val="0.84379986727615508"/>
          <c:h val="0.78156528108405054"/>
        </c:manualLayout>
      </c:layout>
      <c:lineChart>
        <c:grouping val="standard"/>
        <c:varyColors val="0"/>
        <c:ser>
          <c:idx val="0"/>
          <c:order val="0"/>
          <c:tx>
            <c:strRef>
              <c:f>'Chart 5'!$C$3</c:f>
              <c:strCache>
                <c:ptCount val="1"/>
                <c:pt idx="0">
                  <c:v>Legal</c:v>
                </c:pt>
              </c:strCache>
            </c:strRef>
          </c:tx>
          <c:spPr>
            <a:ln w="28575" cap="rnd">
              <a:solidFill>
                <a:schemeClr val="accent4"/>
              </a:solidFill>
              <a:round/>
            </a:ln>
            <a:effectLst/>
          </c:spPr>
          <c:marker>
            <c:symbol val="circle"/>
            <c:size val="5"/>
            <c:spPr>
              <a:noFill/>
              <a:ln w="9525">
                <a:noFill/>
              </a:ln>
              <a:effectLst/>
            </c:spPr>
          </c:marker>
          <c:dLbls>
            <c:dLbl>
              <c:idx val="0"/>
              <c:layout>
                <c:manualLayout>
                  <c:x val="-3.1131927466694569E-2"/>
                  <c:y val="-5.211976727050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FF-431A-9F41-2A4D44477F3E}"/>
                </c:ext>
              </c:extLst>
            </c:dLbl>
            <c:dLbl>
              <c:idx val="20"/>
              <c:layout>
                <c:manualLayout>
                  <c:x val="0"/>
                  <c:y val="-5.5813953488372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FF-431A-9F41-2A4D44477F3E}"/>
                </c:ext>
              </c:extLst>
            </c:dLbl>
            <c:numFmt formatCode="#,##0.0" sourceLinked="0"/>
            <c:spPr>
              <a:noFill/>
              <a:ln>
                <a:noFill/>
              </a:ln>
              <a:effectLst/>
            </c:spPr>
            <c:txPr>
              <a:bodyPr rot="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accent4"/>
                      </a:solidFill>
                      <a:round/>
                    </a:ln>
                    <a:effectLst/>
                  </c:spPr>
                </c15:leaderLines>
              </c:ext>
            </c:extLst>
          </c:dLbls>
          <c:cat>
            <c:numRef>
              <c:f>'Chart 5'!$B$4:$B$24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'Chart 5'!$C$4:$C$24</c:f>
              <c:numCache>
                <c:formatCode>0</c:formatCode>
                <c:ptCount val="21"/>
                <c:pt idx="0">
                  <c:v>185.97036835899624</c:v>
                </c:pt>
                <c:pt idx="1">
                  <c:v>181.23414904659253</c:v>
                </c:pt>
                <c:pt idx="2">
                  <c:v>148.89696124789927</c:v>
                </c:pt>
                <c:pt idx="3">
                  <c:v>158.02602337363726</c:v>
                </c:pt>
                <c:pt idx="4">
                  <c:v>161.52599540032369</c:v>
                </c:pt>
                <c:pt idx="5">
                  <c:v>140.42397678176877</c:v>
                </c:pt>
                <c:pt idx="6">
                  <c:v>138.95079150038313</c:v>
                </c:pt>
                <c:pt idx="7">
                  <c:v>137.97748410739726</c:v>
                </c:pt>
                <c:pt idx="8">
                  <c:v>124.2154320640992</c:v>
                </c:pt>
                <c:pt idx="9">
                  <c:v>118.36824793248019</c:v>
                </c:pt>
                <c:pt idx="10">
                  <c:v>121.28097651397191</c:v>
                </c:pt>
                <c:pt idx="11">
                  <c:v>113.08449289068498</c:v>
                </c:pt>
                <c:pt idx="12">
                  <c:v>113.77799470690175</c:v>
                </c:pt>
                <c:pt idx="13">
                  <c:v>103.46294367005089</c:v>
                </c:pt>
                <c:pt idx="14">
                  <c:v>95.697394367038925</c:v>
                </c:pt>
                <c:pt idx="15">
                  <c:v>80.112831418464651</c:v>
                </c:pt>
                <c:pt idx="16">
                  <c:v>93.62265929058691</c:v>
                </c:pt>
                <c:pt idx="17">
                  <c:v>93.191063986179373</c:v>
                </c:pt>
                <c:pt idx="18">
                  <c:v>97.594077708912522</c:v>
                </c:pt>
                <c:pt idx="19">
                  <c:v>105.93220100985764</c:v>
                </c:pt>
                <c:pt idx="20">
                  <c:v>104.748073025884</c:v>
                </c:pt>
              </c:numCache>
            </c:numRef>
          </c:val>
          <c:smooth val="1"/>
          <c:extLst>
            <c:ext xmlns:c16="http://schemas.microsoft.com/office/drawing/2014/chart" uri="{C3380CC4-5D6E-409C-BE32-E72D297353CC}">
              <c16:uniqueId val="{00000002-DDFF-431A-9F41-2A4D44477F3E}"/>
            </c:ext>
          </c:extLst>
        </c:ser>
        <c:ser>
          <c:idx val="1"/>
          <c:order val="1"/>
          <c:tx>
            <c:strRef>
              <c:f>'Chart 5'!$D$3</c:f>
              <c:strCache>
                <c:ptCount val="1"/>
                <c:pt idx="0">
                  <c:v>Ilegal</c:v>
                </c:pt>
              </c:strCache>
            </c:strRef>
          </c:tx>
          <c:spPr>
            <a:ln w="28575" cap="rnd">
              <a:solidFill>
                <a:schemeClr val="accent3"/>
              </a:solidFill>
              <a:round/>
            </a:ln>
            <a:effectLst/>
          </c:spPr>
          <c:marker>
            <c:symbol val="circle"/>
            <c:size val="5"/>
            <c:spPr>
              <a:noFill/>
              <a:ln w="9525">
                <a:noFill/>
              </a:ln>
              <a:effectLst/>
            </c:spPr>
          </c:marker>
          <c:dLbls>
            <c:dLbl>
              <c:idx val="0"/>
              <c:layout>
                <c:manualLayout>
                  <c:x val="-2.8537600177803355E-2"/>
                  <c:y val="-4.7381606609547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FF-431A-9F41-2A4D44477F3E}"/>
                </c:ext>
              </c:extLst>
            </c:dLbl>
            <c:dLbl>
              <c:idx val="20"/>
              <c:layout>
                <c:manualLayout>
                  <c:x val="0"/>
                  <c:y val="6.046511627906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FF-431A-9F41-2A4D44477F3E}"/>
                </c:ext>
              </c:extLst>
            </c:dLbl>
            <c:numFmt formatCode="#,##0.0" sourceLinked="0"/>
            <c:spPr>
              <a:noFill/>
              <a:ln>
                <a:noFill/>
              </a:ln>
              <a:effectLst/>
            </c:spPr>
            <c:txPr>
              <a:bodyPr rot="0" spcFirstLastPara="1" vertOverflow="ellipsis" vert="horz" wrap="square" anchor="ctr" anchorCtr="1"/>
              <a:lstStyle/>
              <a:p>
                <a:pPr>
                  <a:defRPr sz="1000" b="1" i="0" u="none" strike="noStrike" kern="1200" baseline="0">
                    <a:solidFill>
                      <a:schemeClr val="accent3"/>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accent3"/>
                      </a:solidFill>
                      <a:round/>
                    </a:ln>
                    <a:effectLst/>
                  </c:spPr>
                </c15:leaderLines>
              </c:ext>
            </c:extLst>
          </c:dLbls>
          <c:cat>
            <c:numRef>
              <c:f>'Chart 5'!$B$4:$B$24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'Chart 5'!$D$4:$D$24</c:f>
              <c:numCache>
                <c:formatCode>0</c:formatCode>
                <c:ptCount val="21"/>
                <c:pt idx="0">
                  <c:v>27.891318241956782</c:v>
                </c:pt>
                <c:pt idx="1">
                  <c:v>26.342115058797958</c:v>
                </c:pt>
                <c:pt idx="2">
                  <c:v>36.70988929056773</c:v>
                </c:pt>
                <c:pt idx="3">
                  <c:v>41.586405135111733</c:v>
                </c:pt>
                <c:pt idx="4">
                  <c:v>55.333732434001263</c:v>
                </c:pt>
                <c:pt idx="5">
                  <c:v>56.602798954362726</c:v>
                </c:pt>
                <c:pt idx="6">
                  <c:v>62.980900091709856</c:v>
                </c:pt>
                <c:pt idx="7">
                  <c:v>61.929554136672351</c:v>
                </c:pt>
                <c:pt idx="8">
                  <c:v>63.881837479281202</c:v>
                </c:pt>
                <c:pt idx="9">
                  <c:v>47.210176038428159</c:v>
                </c:pt>
                <c:pt idx="10">
                  <c:v>57.373312137201637</c:v>
                </c:pt>
                <c:pt idx="11">
                  <c:v>71.566574388203108</c:v>
                </c:pt>
                <c:pt idx="12">
                  <c:v>90.386239255722217</c:v>
                </c:pt>
                <c:pt idx="13">
                  <c:v>99.126790944642522</c:v>
                </c:pt>
                <c:pt idx="14">
                  <c:v>95.271213194794029</c:v>
                </c:pt>
                <c:pt idx="15">
                  <c:v>57.573102382620903</c:v>
                </c:pt>
                <c:pt idx="16">
                  <c:v>82.527388142659504</c:v>
                </c:pt>
                <c:pt idx="17">
                  <c:v>83.014987140486411</c:v>
                </c:pt>
                <c:pt idx="18">
                  <c:v>79.056931222805616</c:v>
                </c:pt>
                <c:pt idx="19">
                  <c:v>95.845716343176747</c:v>
                </c:pt>
                <c:pt idx="20">
                  <c:v>104.32927803447515</c:v>
                </c:pt>
              </c:numCache>
            </c:numRef>
          </c:val>
          <c:smooth val="1"/>
          <c:extLst>
            <c:ext xmlns:c16="http://schemas.microsoft.com/office/drawing/2014/chart" uri="{C3380CC4-5D6E-409C-BE32-E72D297353CC}">
              <c16:uniqueId val="{00000005-DDFF-431A-9F41-2A4D44477F3E}"/>
            </c:ext>
          </c:extLst>
        </c:ser>
        <c:dLbls>
          <c:showLegendKey val="0"/>
          <c:showVal val="0"/>
          <c:showCatName val="0"/>
          <c:showSerName val="0"/>
          <c:showPercent val="0"/>
          <c:showBubbleSize val="0"/>
        </c:dLbls>
        <c:marker val="1"/>
        <c:smooth val="0"/>
        <c:axId val="632602944"/>
        <c:axId val="632592384"/>
      </c:lineChart>
      <c:catAx>
        <c:axId val="632602944"/>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s-PE"/>
          </a:p>
        </c:txPr>
        <c:crossAx val="632592384"/>
        <c:crosses val="autoZero"/>
        <c:auto val="1"/>
        <c:lblAlgn val="ctr"/>
        <c:lblOffset val="100"/>
        <c:noMultiLvlLbl val="0"/>
      </c:catAx>
      <c:valAx>
        <c:axId val="632592384"/>
        <c:scaling>
          <c:orientation val="minMax"/>
        </c:scaling>
        <c:delete val="0"/>
        <c:axPos val="l"/>
        <c:numFmt formatCode="0" sourceLinked="1"/>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PE"/>
          </a:p>
        </c:txPr>
        <c:crossAx val="632602944"/>
        <c:crosses val="autoZero"/>
        <c:crossBetween val="between"/>
        <c:majorUnit val="4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mn-lt"/>
        </a:defRPr>
      </a:pPr>
      <a:endParaRPr lang="es-P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18625</xdr:colOff>
      <xdr:row>5</xdr:row>
      <xdr:rowOff>27955</xdr:rowOff>
    </xdr:from>
    <xdr:to>
      <xdr:col>12</xdr:col>
      <xdr:colOff>396323</xdr:colOff>
      <xdr:row>20</xdr:row>
      <xdr:rowOff>16998</xdr:rowOff>
    </xdr:to>
    <xdr:graphicFrame macro="">
      <xdr:nvGraphicFramePr>
        <xdr:cNvPr id="3" name="Gráfico 2">
          <a:extLst>
            <a:ext uri="{FF2B5EF4-FFF2-40B4-BE49-F238E27FC236}">
              <a16:creationId xmlns:a16="http://schemas.microsoft.com/office/drawing/2014/main" id="{C8F0C50E-3965-5E4D-CD65-82FA6342E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678180</xdr:colOff>
      <xdr:row>5</xdr:row>
      <xdr:rowOff>91440</xdr:rowOff>
    </xdr:from>
    <xdr:to>
      <xdr:col>12</xdr:col>
      <xdr:colOff>245468</xdr:colOff>
      <xdr:row>20</xdr:row>
      <xdr:rowOff>26694</xdr:rowOff>
    </xdr:to>
    <xdr:graphicFrame macro="">
      <xdr:nvGraphicFramePr>
        <xdr:cNvPr id="3" name="Gráfico 2">
          <a:extLst>
            <a:ext uri="{FF2B5EF4-FFF2-40B4-BE49-F238E27FC236}">
              <a16:creationId xmlns:a16="http://schemas.microsoft.com/office/drawing/2014/main" id="{4E3924EE-0BA1-4DAD-8F0E-C590BE1A2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760095</xdr:colOff>
      <xdr:row>10</xdr:row>
      <xdr:rowOff>35242</xdr:rowOff>
    </xdr:from>
    <xdr:to>
      <xdr:col>7</xdr:col>
      <xdr:colOff>0</xdr:colOff>
      <xdr:row>25</xdr:row>
      <xdr:rowOff>79057</xdr:rowOff>
    </xdr:to>
    <xdr:graphicFrame macro="">
      <xdr:nvGraphicFramePr>
        <xdr:cNvPr id="2" name="Gráfico 1">
          <a:extLst>
            <a:ext uri="{FF2B5EF4-FFF2-40B4-BE49-F238E27FC236}">
              <a16:creationId xmlns:a16="http://schemas.microsoft.com/office/drawing/2014/main" id="{C7519DAB-AE7F-0753-D1CD-B40B834D5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630556</xdr:colOff>
      <xdr:row>10</xdr:row>
      <xdr:rowOff>87630</xdr:rowOff>
    </xdr:from>
    <xdr:to>
      <xdr:col>13</xdr:col>
      <xdr:colOff>219076</xdr:colOff>
      <xdr:row>25</xdr:row>
      <xdr:rowOff>133350</xdr:rowOff>
    </xdr:to>
    <xdr:graphicFrame macro="">
      <xdr:nvGraphicFramePr>
        <xdr:cNvPr id="4" name="Gráfico 3">
          <a:extLst>
            <a:ext uri="{FF2B5EF4-FFF2-40B4-BE49-F238E27FC236}">
              <a16:creationId xmlns:a16="http://schemas.microsoft.com/office/drawing/2014/main" id="{A9D7553D-4FDC-4C98-B321-A664B23B1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25</xdr:col>
      <xdr:colOff>126290</xdr:colOff>
      <xdr:row>6</xdr:row>
      <xdr:rowOff>123826</xdr:rowOff>
    </xdr:from>
    <xdr:to>
      <xdr:col>30</xdr:col>
      <xdr:colOff>746647</xdr:colOff>
      <xdr:row>22</xdr:row>
      <xdr:rowOff>102254</xdr:rowOff>
    </xdr:to>
    <xdr:graphicFrame macro="">
      <xdr:nvGraphicFramePr>
        <xdr:cNvPr id="3" name="Gráfico 2">
          <a:extLst>
            <a:ext uri="{FF2B5EF4-FFF2-40B4-BE49-F238E27FC236}">
              <a16:creationId xmlns:a16="http://schemas.microsoft.com/office/drawing/2014/main" id="{1DA6E3CF-FDF9-90CA-B736-BD1DFCDC2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292354</xdr:colOff>
      <xdr:row>6</xdr:row>
      <xdr:rowOff>19050</xdr:rowOff>
    </xdr:from>
    <xdr:to>
      <xdr:col>15</xdr:col>
      <xdr:colOff>625657</xdr:colOff>
      <xdr:row>21</xdr:row>
      <xdr:rowOff>151085</xdr:rowOff>
    </xdr:to>
    <xdr:grpSp>
      <xdr:nvGrpSpPr>
        <xdr:cNvPr id="16" name="Grupo 15">
          <a:extLst>
            <a:ext uri="{FF2B5EF4-FFF2-40B4-BE49-F238E27FC236}">
              <a16:creationId xmlns:a16="http://schemas.microsoft.com/office/drawing/2014/main" id="{2199945E-FA93-435C-1109-73415747FD7A}"/>
            </a:ext>
          </a:extLst>
        </xdr:cNvPr>
        <xdr:cNvGrpSpPr/>
      </xdr:nvGrpSpPr>
      <xdr:grpSpPr>
        <a:xfrm>
          <a:off x="8144267" y="1145485"/>
          <a:ext cx="5567912" cy="2948122"/>
          <a:chOff x="7388742" y="1118826"/>
          <a:chExt cx="5064863" cy="2891001"/>
        </a:xfrm>
      </xdr:grpSpPr>
      <xdr:graphicFrame macro="">
        <xdr:nvGraphicFramePr>
          <xdr:cNvPr id="2" name="Gráfico 1">
            <a:extLst>
              <a:ext uri="{FF2B5EF4-FFF2-40B4-BE49-F238E27FC236}">
                <a16:creationId xmlns:a16="http://schemas.microsoft.com/office/drawing/2014/main" id="{8D258A44-46BF-4F98-8357-8861C5477CFF}"/>
              </a:ext>
            </a:extLst>
          </xdr:cNvPr>
          <xdr:cNvGraphicFramePr>
            <a:graphicFrameLocks/>
          </xdr:cNvGraphicFramePr>
        </xdr:nvGraphicFramePr>
        <xdr:xfrm>
          <a:off x="7876350" y="1118826"/>
          <a:ext cx="4577255" cy="263823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 name="CuadroTexto 3">
            <a:extLst>
              <a:ext uri="{FF2B5EF4-FFF2-40B4-BE49-F238E27FC236}">
                <a16:creationId xmlns:a16="http://schemas.microsoft.com/office/drawing/2014/main" id="{9354471A-36C1-90F9-9045-49AB2B45FDFB}"/>
              </a:ext>
            </a:extLst>
          </xdr:cNvPr>
          <xdr:cNvSpPr txBox="1"/>
        </xdr:nvSpPr>
        <xdr:spPr>
          <a:xfrm>
            <a:off x="7388742" y="3559072"/>
            <a:ext cx="914546" cy="45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s-PE" sz="1100" b="1">
                <a:solidFill>
                  <a:sysClr val="windowText" lastClr="000000"/>
                </a:solidFill>
              </a:rPr>
              <a:t>Number of </a:t>
            </a:r>
          </a:p>
          <a:p>
            <a:pPr algn="r"/>
            <a:r>
              <a:rPr lang="es-PE" sz="1100" b="1">
                <a:solidFill>
                  <a:sysClr val="windowText" lastClr="000000"/>
                </a:solidFill>
              </a:rPr>
              <a:t>jurisdictions</a:t>
            </a:r>
          </a:p>
        </xdr:txBody>
      </xdr:sp>
      <xdr:sp macro="" textlink="">
        <xdr:nvSpPr>
          <xdr:cNvPr id="5" name="CuadroTexto 4">
            <a:extLst>
              <a:ext uri="{FF2B5EF4-FFF2-40B4-BE49-F238E27FC236}">
                <a16:creationId xmlns:a16="http://schemas.microsoft.com/office/drawing/2014/main" id="{2DAE75FC-B835-FEED-6108-F19FC7AEFA40}"/>
              </a:ext>
            </a:extLst>
          </xdr:cNvPr>
          <xdr:cNvSpPr txBox="1"/>
        </xdr:nvSpPr>
        <xdr:spPr>
          <a:xfrm>
            <a:off x="8322237" y="3699843"/>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109</a:t>
            </a:r>
          </a:p>
        </xdr:txBody>
      </xdr:sp>
      <xdr:sp macro="" textlink="">
        <xdr:nvSpPr>
          <xdr:cNvPr id="6" name="CuadroTexto 5">
            <a:extLst>
              <a:ext uri="{FF2B5EF4-FFF2-40B4-BE49-F238E27FC236}">
                <a16:creationId xmlns:a16="http://schemas.microsoft.com/office/drawing/2014/main" id="{4F4A1A06-118F-6839-6F61-5C79F8D1925A}"/>
              </a:ext>
            </a:extLst>
          </xdr:cNvPr>
          <xdr:cNvSpPr txBox="1"/>
        </xdr:nvSpPr>
        <xdr:spPr>
          <a:xfrm>
            <a:off x="8673414" y="3696033"/>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104</a:t>
            </a:r>
          </a:p>
        </xdr:txBody>
      </xdr:sp>
      <xdr:sp macro="" textlink="">
        <xdr:nvSpPr>
          <xdr:cNvPr id="7" name="CuadroTexto 6">
            <a:extLst>
              <a:ext uri="{FF2B5EF4-FFF2-40B4-BE49-F238E27FC236}">
                <a16:creationId xmlns:a16="http://schemas.microsoft.com/office/drawing/2014/main" id="{BC257FF2-45FB-8974-60A4-ED05F12CFF6B}"/>
              </a:ext>
            </a:extLst>
          </xdr:cNvPr>
          <xdr:cNvSpPr txBox="1"/>
        </xdr:nvSpPr>
        <xdr:spPr>
          <a:xfrm>
            <a:off x="9050497" y="369984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91</a:t>
            </a:r>
          </a:p>
        </xdr:txBody>
      </xdr:sp>
      <xdr:sp macro="" textlink="">
        <xdr:nvSpPr>
          <xdr:cNvPr id="8" name="CuadroTexto 7">
            <a:extLst>
              <a:ext uri="{FF2B5EF4-FFF2-40B4-BE49-F238E27FC236}">
                <a16:creationId xmlns:a16="http://schemas.microsoft.com/office/drawing/2014/main" id="{D04AF309-D6E1-9A3C-116C-729B1AF514C8}"/>
              </a:ext>
            </a:extLst>
          </xdr:cNvPr>
          <xdr:cNvSpPr txBox="1"/>
        </xdr:nvSpPr>
        <xdr:spPr>
          <a:xfrm>
            <a:off x="9412246" y="369603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83</a:t>
            </a:r>
          </a:p>
        </xdr:txBody>
      </xdr:sp>
      <xdr:sp macro="" textlink="">
        <xdr:nvSpPr>
          <xdr:cNvPr id="9" name="CuadroTexto 8">
            <a:extLst>
              <a:ext uri="{FF2B5EF4-FFF2-40B4-BE49-F238E27FC236}">
                <a16:creationId xmlns:a16="http://schemas.microsoft.com/office/drawing/2014/main" id="{008C007D-B5E5-1F81-61DA-49F85BF8FC06}"/>
              </a:ext>
            </a:extLst>
          </xdr:cNvPr>
          <xdr:cNvSpPr txBox="1"/>
        </xdr:nvSpPr>
        <xdr:spPr>
          <a:xfrm>
            <a:off x="9728872" y="369603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76</a:t>
            </a:r>
          </a:p>
        </xdr:txBody>
      </xdr:sp>
      <xdr:sp macro="" textlink="">
        <xdr:nvSpPr>
          <xdr:cNvPr id="10" name="CuadroTexto 9">
            <a:extLst>
              <a:ext uri="{FF2B5EF4-FFF2-40B4-BE49-F238E27FC236}">
                <a16:creationId xmlns:a16="http://schemas.microsoft.com/office/drawing/2014/main" id="{C881FF7A-484A-F08B-7343-BF0D4FC85222}"/>
              </a:ext>
            </a:extLst>
          </xdr:cNvPr>
          <xdr:cNvSpPr txBox="1"/>
        </xdr:nvSpPr>
        <xdr:spPr>
          <a:xfrm>
            <a:off x="10060636" y="369603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77</a:t>
            </a:r>
          </a:p>
        </xdr:txBody>
      </xdr:sp>
      <xdr:sp macro="" textlink="">
        <xdr:nvSpPr>
          <xdr:cNvPr id="11" name="CuadroTexto 10">
            <a:extLst>
              <a:ext uri="{FF2B5EF4-FFF2-40B4-BE49-F238E27FC236}">
                <a16:creationId xmlns:a16="http://schemas.microsoft.com/office/drawing/2014/main" id="{4D35D0D9-08E9-5994-8AC6-A8CC89117DCF}"/>
              </a:ext>
            </a:extLst>
          </xdr:cNvPr>
          <xdr:cNvSpPr txBox="1"/>
        </xdr:nvSpPr>
        <xdr:spPr>
          <a:xfrm>
            <a:off x="10410973" y="369603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84</a:t>
            </a:r>
          </a:p>
        </xdr:txBody>
      </xdr:sp>
      <xdr:sp macro="" textlink="">
        <xdr:nvSpPr>
          <xdr:cNvPr id="12" name="CuadroTexto 11">
            <a:extLst>
              <a:ext uri="{FF2B5EF4-FFF2-40B4-BE49-F238E27FC236}">
                <a16:creationId xmlns:a16="http://schemas.microsoft.com/office/drawing/2014/main" id="{7CB72C63-C6B3-8F07-B268-9B759AE5A4F8}"/>
              </a:ext>
            </a:extLst>
          </xdr:cNvPr>
          <xdr:cNvSpPr txBox="1"/>
        </xdr:nvSpPr>
        <xdr:spPr>
          <a:xfrm>
            <a:off x="10765681" y="369984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62</a:t>
            </a:r>
          </a:p>
        </xdr:txBody>
      </xdr:sp>
      <xdr:sp macro="" textlink="">
        <xdr:nvSpPr>
          <xdr:cNvPr id="13" name="CuadroTexto 12">
            <a:extLst>
              <a:ext uri="{FF2B5EF4-FFF2-40B4-BE49-F238E27FC236}">
                <a16:creationId xmlns:a16="http://schemas.microsoft.com/office/drawing/2014/main" id="{8897E83B-1E10-CF3E-C61F-3E0605E6CB4C}"/>
              </a:ext>
            </a:extLst>
          </xdr:cNvPr>
          <xdr:cNvSpPr txBox="1"/>
        </xdr:nvSpPr>
        <xdr:spPr>
          <a:xfrm>
            <a:off x="11102683" y="369984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86</a:t>
            </a:r>
          </a:p>
        </xdr:txBody>
      </xdr:sp>
      <xdr:sp macro="" textlink="">
        <xdr:nvSpPr>
          <xdr:cNvPr id="14" name="CuadroTexto 13">
            <a:extLst>
              <a:ext uri="{FF2B5EF4-FFF2-40B4-BE49-F238E27FC236}">
                <a16:creationId xmlns:a16="http://schemas.microsoft.com/office/drawing/2014/main" id="{1D0050D5-7CC7-6AA5-6423-4C211F7B74D6}"/>
              </a:ext>
            </a:extLst>
          </xdr:cNvPr>
          <xdr:cNvSpPr txBox="1"/>
        </xdr:nvSpPr>
        <xdr:spPr>
          <a:xfrm>
            <a:off x="11466916" y="369603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82</a:t>
            </a:r>
          </a:p>
        </xdr:txBody>
      </xdr:sp>
      <xdr:sp macro="" textlink="">
        <xdr:nvSpPr>
          <xdr:cNvPr id="15" name="CuadroTexto 14">
            <a:extLst>
              <a:ext uri="{FF2B5EF4-FFF2-40B4-BE49-F238E27FC236}">
                <a16:creationId xmlns:a16="http://schemas.microsoft.com/office/drawing/2014/main" id="{B75A1E6C-500D-7288-AC37-1D7524A5B330}"/>
              </a:ext>
            </a:extLst>
          </xdr:cNvPr>
          <xdr:cNvSpPr txBox="1"/>
        </xdr:nvSpPr>
        <xdr:spPr>
          <a:xfrm>
            <a:off x="11807627" y="3699843"/>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b="1">
                <a:solidFill>
                  <a:sysClr val="windowText" lastClr="000000"/>
                </a:solidFill>
              </a:rPr>
              <a:t>68</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42172</xdr:colOff>
      <xdr:row>3</xdr:row>
      <xdr:rowOff>5121</xdr:rowOff>
    </xdr:from>
    <xdr:to>
      <xdr:col>9</xdr:col>
      <xdr:colOff>704022</xdr:colOff>
      <xdr:row>18</xdr:row>
      <xdr:rowOff>19726</xdr:rowOff>
    </xdr:to>
    <xdr:graphicFrame macro="">
      <xdr:nvGraphicFramePr>
        <xdr:cNvPr id="2" name="Gráfico 1">
          <a:extLst>
            <a:ext uri="{FF2B5EF4-FFF2-40B4-BE49-F238E27FC236}">
              <a16:creationId xmlns:a16="http://schemas.microsoft.com/office/drawing/2014/main" id="{D8557488-FF73-4122-8028-124A2FC07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0.33496</cdr:x>
      <cdr:y>0.20556</cdr:y>
    </cdr:from>
    <cdr:to>
      <cdr:x>0.59436</cdr:x>
      <cdr:y>0.38229</cdr:y>
    </cdr:to>
    <cdr:sp macro="" textlink="">
      <cdr:nvSpPr>
        <cdr:cNvPr id="2" name="CuadroTexto 1">
          <a:extLst xmlns:a="http://schemas.openxmlformats.org/drawingml/2006/main">
            <a:ext uri="{FF2B5EF4-FFF2-40B4-BE49-F238E27FC236}">
              <a16:creationId xmlns:a16="http://schemas.microsoft.com/office/drawing/2014/main" id="{F4CCD3A2-8E84-EE24-F365-D68C1149CB36}"/>
            </a:ext>
          </a:extLst>
        </cdr:cNvPr>
        <cdr:cNvSpPr txBox="1"/>
      </cdr:nvSpPr>
      <cdr:spPr>
        <a:xfrm xmlns:a="http://schemas.openxmlformats.org/drawingml/2006/main">
          <a:off x="1576220" y="563674"/>
          <a:ext cx="1220637" cy="4846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s-PE" sz="1100" b="1" kern="1200">
              <a:solidFill>
                <a:schemeClr val="accent4"/>
              </a:solidFill>
              <a:latin typeface="+mn-lt"/>
            </a:rPr>
            <a:t>Gold of legal origin</a:t>
          </a:r>
        </a:p>
      </cdr:txBody>
    </cdr:sp>
  </cdr:relSizeAnchor>
  <cdr:relSizeAnchor xmlns:cdr="http://schemas.openxmlformats.org/drawingml/2006/chartDrawing">
    <cdr:from>
      <cdr:x>0.37871</cdr:x>
      <cdr:y>0.67857</cdr:y>
    </cdr:from>
    <cdr:to>
      <cdr:x>0.62421</cdr:x>
      <cdr:y>0.79378</cdr:y>
    </cdr:to>
    <cdr:sp macro="" textlink="">
      <cdr:nvSpPr>
        <cdr:cNvPr id="3" name="CuadroTexto 1">
          <a:extLst xmlns:a="http://schemas.openxmlformats.org/drawingml/2006/main">
            <a:ext uri="{FF2B5EF4-FFF2-40B4-BE49-F238E27FC236}">
              <a16:creationId xmlns:a16="http://schemas.microsoft.com/office/drawing/2014/main" id="{87F6CDEA-E7E9-8888-1F95-5A03BC073A86}"/>
            </a:ext>
          </a:extLst>
        </cdr:cNvPr>
        <cdr:cNvSpPr txBox="1"/>
      </cdr:nvSpPr>
      <cdr:spPr>
        <a:xfrm xmlns:a="http://schemas.openxmlformats.org/drawingml/2006/main">
          <a:off x="2217936" y="1884648"/>
          <a:ext cx="1437810" cy="3199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s-PE" sz="1100" b="1" kern="1200">
              <a:solidFill>
                <a:schemeClr val="accent3"/>
              </a:solidFill>
              <a:latin typeface="+mn-lt"/>
            </a:rPr>
            <a:t>Gold of illegal origin</a:t>
          </a:r>
        </a:p>
      </cdr:txBody>
    </cdr:sp>
  </cdr:relSizeAnchor>
</c:userShapes>
</file>

<file path=xl/theme/theme1.xml><?xml version="1.0" encoding="utf-8"?>
<a:theme xmlns:a="http://schemas.openxmlformats.org/drawingml/2006/main" name="Tema de Office">
  <a:themeElements>
    <a:clrScheme name="IPE">
      <a:dk1>
        <a:srgbClr val="7F7F7F"/>
      </a:dk1>
      <a:lt1>
        <a:srgbClr val="FFFFFF"/>
      </a:lt1>
      <a:dk2>
        <a:srgbClr val="44546A"/>
      </a:dk2>
      <a:lt2>
        <a:srgbClr val="CACCD2"/>
      </a:lt2>
      <a:accent1>
        <a:srgbClr val="F4C700"/>
      </a:accent1>
      <a:accent2>
        <a:srgbClr val="4B9AD5"/>
      </a:accent2>
      <a:accent3>
        <a:srgbClr val="E44132"/>
      </a:accent3>
      <a:accent4>
        <a:srgbClr val="415063"/>
      </a:accent4>
      <a:accent5>
        <a:srgbClr val="39B294"/>
      </a:accent5>
      <a:accent6>
        <a:srgbClr val="C53720"/>
      </a:accent6>
      <a:hlink>
        <a:srgbClr val="E47D08"/>
      </a:hlink>
      <a:folHlink>
        <a:srgbClr val="59B36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D04F-CB39-4E72-8E6C-144179F510BD}">
  <dimension ref="A1:H800"/>
  <sheetViews>
    <sheetView zoomScale="85" zoomScaleNormal="85" workbookViewId="0">
      <selection activeCell="F27" sqref="F27"/>
    </sheetView>
  </sheetViews>
  <sheetFormatPr baseColWidth="10" defaultColWidth="11.5" defaultRowHeight="15"/>
  <cols>
    <col min="1" max="3" width="11.5" style="1"/>
    <col min="4" max="16384" width="11.5" style="10"/>
  </cols>
  <sheetData>
    <row r="1" spans="1:8">
      <c r="C1" s="1" t="s">
        <v>28</v>
      </c>
    </row>
    <row r="2" spans="1:8">
      <c r="C2" s="1" t="s">
        <v>827</v>
      </c>
    </row>
    <row r="3" spans="1:8">
      <c r="A3" s="1">
        <v>1960</v>
      </c>
      <c r="B3" s="1" t="s">
        <v>29</v>
      </c>
      <c r="C3" s="1">
        <v>0.3243189302464824</v>
      </c>
    </row>
    <row r="4" spans="1:8">
      <c r="A4" s="1">
        <v>1960</v>
      </c>
      <c r="B4" s="1" t="s">
        <v>30</v>
      </c>
      <c r="C4" s="1">
        <v>0.33021563806914572</v>
      </c>
      <c r="H4" s="6" t="s">
        <v>833</v>
      </c>
    </row>
    <row r="5" spans="1:8">
      <c r="A5" s="1">
        <v>1960</v>
      </c>
      <c r="B5" s="1" t="s">
        <v>31</v>
      </c>
      <c r="C5" s="1">
        <v>0.31071114296341323</v>
      </c>
      <c r="H5" s="9" t="s">
        <v>829</v>
      </c>
    </row>
    <row r="6" spans="1:8">
      <c r="A6" s="1">
        <v>1960</v>
      </c>
      <c r="B6" s="1" t="s">
        <v>32</v>
      </c>
      <c r="C6" s="1">
        <v>0.32794767352196752</v>
      </c>
    </row>
    <row r="7" spans="1:8">
      <c r="A7" s="1">
        <v>1960</v>
      </c>
      <c r="B7" s="1" t="s">
        <v>33</v>
      </c>
      <c r="C7" s="1">
        <v>0.31071114296341323</v>
      </c>
    </row>
    <row r="8" spans="1:8">
      <c r="A8" s="1">
        <v>1960</v>
      </c>
      <c r="B8" s="1" t="s">
        <v>34</v>
      </c>
      <c r="C8" s="1">
        <v>0.31388629332946266</v>
      </c>
    </row>
    <row r="9" spans="1:8">
      <c r="A9" s="1">
        <v>1960</v>
      </c>
      <c r="B9" s="1" t="s">
        <v>35</v>
      </c>
      <c r="C9" s="1">
        <v>0.31842222242381907</v>
      </c>
    </row>
    <row r="10" spans="1:8">
      <c r="A10" s="1">
        <v>1960</v>
      </c>
      <c r="B10" s="1" t="s">
        <v>36</v>
      </c>
      <c r="C10" s="1">
        <v>0.30662880677849247</v>
      </c>
    </row>
    <row r="11" spans="1:8">
      <c r="A11" s="1">
        <v>1960</v>
      </c>
      <c r="B11" s="1" t="s">
        <v>37</v>
      </c>
      <c r="C11" s="1">
        <v>0.29347461240485889</v>
      </c>
    </row>
    <row r="12" spans="1:8">
      <c r="A12" s="1">
        <v>1960</v>
      </c>
      <c r="B12" s="1" t="s">
        <v>38</v>
      </c>
      <c r="C12" s="1">
        <v>0.27805245348404717</v>
      </c>
    </row>
    <row r="13" spans="1:8">
      <c r="A13" s="1">
        <v>1960</v>
      </c>
      <c r="B13" s="1" t="s">
        <v>39</v>
      </c>
      <c r="C13" s="1">
        <v>0.29120664785768069</v>
      </c>
    </row>
    <row r="14" spans="1:8">
      <c r="A14" s="1">
        <v>1960</v>
      </c>
      <c r="B14" s="1" t="s">
        <v>40</v>
      </c>
      <c r="C14" s="1">
        <v>0.28893868331050249</v>
      </c>
    </row>
    <row r="15" spans="1:8">
      <c r="A15" s="1">
        <v>1961</v>
      </c>
      <c r="B15" s="1" t="s">
        <v>41</v>
      </c>
      <c r="C15" s="1">
        <v>0.27533089602743333</v>
      </c>
    </row>
    <row r="16" spans="1:8">
      <c r="A16" s="1">
        <v>1961</v>
      </c>
      <c r="B16" s="1" t="s">
        <v>42</v>
      </c>
      <c r="C16" s="1">
        <v>0.27986682512178973</v>
      </c>
    </row>
    <row r="17" spans="1:8">
      <c r="A17" s="1">
        <v>1961</v>
      </c>
      <c r="B17" s="1" t="s">
        <v>43</v>
      </c>
      <c r="C17" s="1">
        <v>0.28168119675953229</v>
      </c>
    </row>
    <row r="18" spans="1:8">
      <c r="A18" s="1">
        <v>1961</v>
      </c>
      <c r="B18" s="1" t="s">
        <v>44</v>
      </c>
      <c r="C18" s="1">
        <v>0.28667071876332428</v>
      </c>
    </row>
    <row r="19" spans="1:8">
      <c r="A19" s="1">
        <v>1961</v>
      </c>
      <c r="B19" s="1" t="s">
        <v>45</v>
      </c>
      <c r="C19" s="1">
        <v>0.30300006350300734</v>
      </c>
    </row>
    <row r="20" spans="1:8">
      <c r="A20" s="1">
        <v>1961</v>
      </c>
      <c r="B20" s="1" t="s">
        <v>46</v>
      </c>
      <c r="C20" s="1">
        <v>0.2957425769520371</v>
      </c>
    </row>
    <row r="21" spans="1:8">
      <c r="A21" s="1">
        <v>1961</v>
      </c>
      <c r="B21" s="1" t="s">
        <v>47</v>
      </c>
      <c r="C21" s="1">
        <v>0.28712431167275992</v>
      </c>
      <c r="H21" s="11" t="s">
        <v>841</v>
      </c>
    </row>
    <row r="22" spans="1:8">
      <c r="A22" s="1">
        <v>1961</v>
      </c>
      <c r="B22" s="1" t="s">
        <v>48</v>
      </c>
      <c r="C22" s="1">
        <v>0.28848509040106685</v>
      </c>
      <c r="H22" s="11" t="s">
        <v>830</v>
      </c>
    </row>
    <row r="23" spans="1:8">
      <c r="A23" s="1">
        <v>1961</v>
      </c>
      <c r="B23" s="1" t="s">
        <v>49</v>
      </c>
      <c r="C23" s="1">
        <v>0.28712431167275992</v>
      </c>
    </row>
    <row r="24" spans="1:8">
      <c r="A24" s="1">
        <v>1961</v>
      </c>
      <c r="B24" s="1" t="s">
        <v>50</v>
      </c>
      <c r="C24" s="1">
        <v>0.285763532944453</v>
      </c>
    </row>
    <row r="25" spans="1:8">
      <c r="A25" s="1">
        <v>1961</v>
      </c>
      <c r="B25" s="1" t="s">
        <v>51</v>
      </c>
      <c r="C25" s="1">
        <v>0.28667071876332428</v>
      </c>
    </row>
    <row r="26" spans="1:8">
      <c r="A26" s="1">
        <v>1961</v>
      </c>
      <c r="B26" s="1" t="s">
        <v>52</v>
      </c>
      <c r="C26" s="1">
        <v>0.28803149749163121</v>
      </c>
    </row>
    <row r="27" spans="1:8">
      <c r="A27" s="1">
        <v>1962</v>
      </c>
      <c r="B27" s="1" t="s">
        <v>53</v>
      </c>
      <c r="C27" s="1">
        <v>0.28803149749163121</v>
      </c>
    </row>
    <row r="28" spans="1:8">
      <c r="A28" s="1">
        <v>1962</v>
      </c>
      <c r="B28" s="1" t="s">
        <v>54</v>
      </c>
      <c r="C28" s="1">
        <v>0.29392820531429453</v>
      </c>
    </row>
    <row r="29" spans="1:8">
      <c r="A29" s="1">
        <v>1962</v>
      </c>
      <c r="B29" s="1" t="s">
        <v>55</v>
      </c>
      <c r="C29" s="1">
        <v>0.29392820531429453</v>
      </c>
    </row>
    <row r="30" spans="1:8">
      <c r="A30" s="1">
        <v>1962</v>
      </c>
      <c r="B30" s="1" t="s">
        <v>56</v>
      </c>
      <c r="C30" s="1">
        <v>0.29302101949542325</v>
      </c>
    </row>
    <row r="31" spans="1:8">
      <c r="A31" s="1">
        <v>1962</v>
      </c>
      <c r="B31" s="1" t="s">
        <v>57</v>
      </c>
      <c r="C31" s="1">
        <v>0.29302101949542325</v>
      </c>
    </row>
    <row r="32" spans="1:8">
      <c r="A32" s="1">
        <v>1962</v>
      </c>
      <c r="B32" s="1" t="s">
        <v>58</v>
      </c>
      <c r="C32" s="1">
        <v>0.29302101949542325</v>
      </c>
    </row>
    <row r="33" spans="1:3">
      <c r="A33" s="1">
        <v>1962</v>
      </c>
      <c r="B33" s="1" t="s">
        <v>59</v>
      </c>
      <c r="C33" s="1">
        <v>0.29302101949542325</v>
      </c>
    </row>
    <row r="34" spans="1:3">
      <c r="A34" s="1">
        <v>1962</v>
      </c>
      <c r="B34" s="1" t="s">
        <v>60</v>
      </c>
      <c r="C34" s="1">
        <v>0.29302101949542325</v>
      </c>
    </row>
    <row r="35" spans="1:3">
      <c r="A35" s="1">
        <v>1962</v>
      </c>
      <c r="B35" s="1" t="s">
        <v>61</v>
      </c>
      <c r="C35" s="1">
        <v>0.29302101949542325</v>
      </c>
    </row>
    <row r="36" spans="1:3">
      <c r="A36" s="1">
        <v>1962</v>
      </c>
      <c r="B36" s="1" t="s">
        <v>62</v>
      </c>
      <c r="C36" s="1">
        <v>0.29302101949542325</v>
      </c>
    </row>
    <row r="37" spans="1:3">
      <c r="A37" s="1">
        <v>1962</v>
      </c>
      <c r="B37" s="1" t="s">
        <v>63</v>
      </c>
      <c r="C37" s="1">
        <v>0.29302101949542325</v>
      </c>
    </row>
    <row r="38" spans="1:3">
      <c r="A38" s="1">
        <v>1962</v>
      </c>
      <c r="B38" s="1" t="s">
        <v>64</v>
      </c>
      <c r="C38" s="1">
        <v>0.29302101949542325</v>
      </c>
    </row>
    <row r="39" spans="1:3">
      <c r="A39" s="1">
        <v>1963</v>
      </c>
      <c r="B39" s="1" t="s">
        <v>65</v>
      </c>
      <c r="C39" s="1">
        <v>0.29302101949542325</v>
      </c>
    </row>
    <row r="40" spans="1:3">
      <c r="A40" s="1">
        <v>1963</v>
      </c>
      <c r="B40" s="1" t="s">
        <v>66</v>
      </c>
      <c r="C40" s="1">
        <v>0.29302101949542325</v>
      </c>
    </row>
    <row r="41" spans="1:3">
      <c r="A41" s="1">
        <v>1963</v>
      </c>
      <c r="B41" s="1" t="s">
        <v>67</v>
      </c>
      <c r="C41" s="1">
        <v>0.29302101949542325</v>
      </c>
    </row>
    <row r="42" spans="1:3">
      <c r="A42" s="1">
        <v>1963</v>
      </c>
      <c r="B42" s="1" t="s">
        <v>68</v>
      </c>
      <c r="C42" s="1">
        <v>0.29302101949542325</v>
      </c>
    </row>
    <row r="43" spans="1:3">
      <c r="A43" s="1">
        <v>1963</v>
      </c>
      <c r="B43" s="1" t="s">
        <v>69</v>
      </c>
      <c r="C43" s="1">
        <v>0.29302101949542325</v>
      </c>
    </row>
    <row r="44" spans="1:3">
      <c r="A44" s="1">
        <v>1963</v>
      </c>
      <c r="B44" s="1" t="s">
        <v>70</v>
      </c>
      <c r="C44" s="1">
        <v>0.29302101949542325</v>
      </c>
    </row>
    <row r="45" spans="1:3">
      <c r="A45" s="1">
        <v>1963</v>
      </c>
      <c r="B45" s="1" t="s">
        <v>71</v>
      </c>
      <c r="C45" s="1">
        <v>0.29302101949542325</v>
      </c>
    </row>
    <row r="46" spans="1:3">
      <c r="A46" s="1">
        <v>1963</v>
      </c>
      <c r="B46" s="1" t="s">
        <v>72</v>
      </c>
      <c r="C46" s="1">
        <v>0.29302101949542325</v>
      </c>
    </row>
    <row r="47" spans="1:3">
      <c r="A47" s="1">
        <v>1963</v>
      </c>
      <c r="B47" s="1" t="s">
        <v>73</v>
      </c>
      <c r="C47" s="1">
        <v>0.29302101949542325</v>
      </c>
    </row>
    <row r="48" spans="1:3">
      <c r="A48" s="1">
        <v>1963</v>
      </c>
      <c r="B48" s="1" t="s">
        <v>74</v>
      </c>
      <c r="C48" s="1">
        <v>0.29302101949542325</v>
      </c>
    </row>
    <row r="49" spans="1:3">
      <c r="A49" s="1">
        <v>1963</v>
      </c>
      <c r="B49" s="1" t="s">
        <v>75</v>
      </c>
      <c r="C49" s="1">
        <v>0.29302101949542325</v>
      </c>
    </row>
    <row r="50" spans="1:3">
      <c r="A50" s="1">
        <v>1963</v>
      </c>
      <c r="B50" s="1" t="s">
        <v>76</v>
      </c>
      <c r="C50" s="1">
        <v>0.29483539113316581</v>
      </c>
    </row>
    <row r="51" spans="1:3">
      <c r="A51" s="1">
        <v>1964</v>
      </c>
      <c r="B51" s="1" t="s">
        <v>77</v>
      </c>
      <c r="C51" s="1">
        <v>0.29755694858977966</v>
      </c>
    </row>
    <row r="52" spans="1:3">
      <c r="A52" s="1">
        <v>1964</v>
      </c>
      <c r="B52" s="1" t="s">
        <v>78</v>
      </c>
      <c r="C52" s="1">
        <v>0.31479347914833394</v>
      </c>
    </row>
    <row r="53" spans="1:3">
      <c r="A53" s="1">
        <v>1964</v>
      </c>
      <c r="B53" s="1" t="s">
        <v>79</v>
      </c>
      <c r="C53" s="1">
        <v>0.33792671752955161</v>
      </c>
    </row>
    <row r="54" spans="1:3">
      <c r="A54" s="1">
        <v>1964</v>
      </c>
      <c r="B54" s="1" t="s">
        <v>80</v>
      </c>
      <c r="C54" s="1">
        <v>0.39099708793352145</v>
      </c>
    </row>
    <row r="55" spans="1:3">
      <c r="A55" s="1">
        <v>1964</v>
      </c>
      <c r="B55" s="1" t="s">
        <v>81</v>
      </c>
      <c r="C55" s="1">
        <v>0.37557492901270967</v>
      </c>
    </row>
    <row r="56" spans="1:3">
      <c r="A56" s="1">
        <v>1964</v>
      </c>
      <c r="B56" s="1" t="s">
        <v>82</v>
      </c>
      <c r="C56" s="1">
        <v>0.36650307082399691</v>
      </c>
    </row>
    <row r="57" spans="1:3">
      <c r="A57" s="1">
        <v>1964</v>
      </c>
      <c r="B57" s="1" t="s">
        <v>83</v>
      </c>
      <c r="C57" s="1">
        <v>0.38782193756747196</v>
      </c>
    </row>
    <row r="58" spans="1:3">
      <c r="A58" s="1">
        <v>1964</v>
      </c>
      <c r="B58" s="1" t="s">
        <v>84</v>
      </c>
      <c r="C58" s="1">
        <v>0.45313931652620409</v>
      </c>
    </row>
    <row r="59" spans="1:3">
      <c r="A59" s="1">
        <v>1964</v>
      </c>
      <c r="B59" s="1" t="s">
        <v>85</v>
      </c>
      <c r="C59" s="1">
        <v>0.52707496076421334</v>
      </c>
    </row>
    <row r="60" spans="1:3">
      <c r="A60" s="1">
        <v>1964</v>
      </c>
      <c r="B60" s="1" t="s">
        <v>86</v>
      </c>
      <c r="C60" s="1">
        <v>0.61597917101359878</v>
      </c>
    </row>
    <row r="61" spans="1:3">
      <c r="A61" s="1">
        <v>1964</v>
      </c>
      <c r="B61" s="1" t="s">
        <v>87</v>
      </c>
      <c r="C61" s="1">
        <v>0.63503007320989557</v>
      </c>
    </row>
    <row r="62" spans="1:3">
      <c r="A62" s="1">
        <v>1964</v>
      </c>
      <c r="B62" s="1" t="s">
        <v>88</v>
      </c>
      <c r="C62" s="1">
        <v>0.57560940207382683</v>
      </c>
    </row>
    <row r="63" spans="1:3">
      <c r="A63" s="1">
        <v>1965</v>
      </c>
      <c r="B63" s="1" t="s">
        <v>89</v>
      </c>
      <c r="C63" s="1">
        <v>0.45404650234507538</v>
      </c>
    </row>
    <row r="64" spans="1:3">
      <c r="A64" s="1">
        <v>1965</v>
      </c>
      <c r="B64" s="1" t="s">
        <v>90</v>
      </c>
      <c r="C64" s="1">
        <v>0.53523963313405487</v>
      </c>
    </row>
    <row r="65" spans="1:3">
      <c r="A65" s="1">
        <v>1965</v>
      </c>
      <c r="B65" s="1" t="s">
        <v>91</v>
      </c>
      <c r="C65" s="1">
        <v>0.56109442897188633</v>
      </c>
    </row>
    <row r="66" spans="1:3">
      <c r="A66" s="1">
        <v>1965</v>
      </c>
      <c r="B66" s="1" t="s">
        <v>92</v>
      </c>
      <c r="C66" s="1">
        <v>0.61144324191924238</v>
      </c>
    </row>
    <row r="67" spans="1:3">
      <c r="A67" s="1">
        <v>1965</v>
      </c>
      <c r="B67" s="1" t="s">
        <v>93</v>
      </c>
      <c r="C67" s="1">
        <v>0.62550462211174718</v>
      </c>
    </row>
    <row r="68" spans="1:3">
      <c r="A68" s="1">
        <v>1965</v>
      </c>
      <c r="B68" s="1" t="s">
        <v>94</v>
      </c>
      <c r="C68" s="1">
        <v>0.59375311845125245</v>
      </c>
    </row>
    <row r="69" spans="1:3">
      <c r="A69" s="1">
        <v>1965</v>
      </c>
      <c r="B69" s="1" t="s">
        <v>95</v>
      </c>
      <c r="C69" s="1">
        <v>0.5143743593000154</v>
      </c>
    </row>
    <row r="70" spans="1:3">
      <c r="A70" s="1">
        <v>1965</v>
      </c>
      <c r="B70" s="1" t="s">
        <v>96</v>
      </c>
      <c r="C70" s="1">
        <v>0.54884742041712409</v>
      </c>
    </row>
    <row r="71" spans="1:3">
      <c r="A71" s="1">
        <v>1965</v>
      </c>
      <c r="B71" s="1" t="s">
        <v>97</v>
      </c>
      <c r="C71" s="1">
        <v>0.60237138373052956</v>
      </c>
    </row>
    <row r="72" spans="1:3">
      <c r="A72" s="1">
        <v>1965</v>
      </c>
      <c r="B72" s="1" t="s">
        <v>98</v>
      </c>
      <c r="C72" s="1">
        <v>0.63593725902876685</v>
      </c>
    </row>
    <row r="73" spans="1:3">
      <c r="A73" s="1">
        <v>1965</v>
      </c>
      <c r="B73" s="1" t="s">
        <v>99</v>
      </c>
      <c r="C73" s="1">
        <v>0.66632798396095472</v>
      </c>
    </row>
    <row r="74" spans="1:3">
      <c r="A74" s="1">
        <v>1965</v>
      </c>
      <c r="B74" s="1" t="s">
        <v>100</v>
      </c>
      <c r="C74" s="1">
        <v>0.68855403652330105</v>
      </c>
    </row>
    <row r="75" spans="1:3">
      <c r="A75" s="1">
        <v>1966</v>
      </c>
      <c r="B75" s="1" t="s">
        <v>101</v>
      </c>
      <c r="C75" s="1">
        <v>0.76158249494243913</v>
      </c>
    </row>
    <row r="76" spans="1:3">
      <c r="A76" s="1">
        <v>1966</v>
      </c>
      <c r="B76" s="1" t="s">
        <v>102</v>
      </c>
      <c r="C76" s="1">
        <v>0.85003311228238887</v>
      </c>
    </row>
    <row r="77" spans="1:3">
      <c r="A77" s="1">
        <v>1966</v>
      </c>
      <c r="B77" s="1" t="s">
        <v>103</v>
      </c>
      <c r="C77" s="1">
        <v>0.85048670519182445</v>
      </c>
    </row>
    <row r="78" spans="1:3">
      <c r="A78" s="1">
        <v>1966</v>
      </c>
      <c r="B78" s="1" t="s">
        <v>104</v>
      </c>
      <c r="C78" s="1">
        <v>0.86500167829376495</v>
      </c>
    </row>
    <row r="79" spans="1:3">
      <c r="A79" s="1">
        <v>1966</v>
      </c>
      <c r="B79" s="1" t="s">
        <v>105</v>
      </c>
      <c r="C79" s="1">
        <v>0.75477860130090446</v>
      </c>
    </row>
    <row r="80" spans="1:3">
      <c r="A80" s="1">
        <v>1966</v>
      </c>
      <c r="B80" s="1" t="s">
        <v>106</v>
      </c>
      <c r="C80" s="1">
        <v>0.76929357440284496</v>
      </c>
    </row>
    <row r="81" spans="1:3">
      <c r="A81" s="1">
        <v>1966</v>
      </c>
      <c r="B81" s="1" t="s">
        <v>107</v>
      </c>
      <c r="C81" s="1">
        <v>0.71123368199508308</v>
      </c>
    </row>
    <row r="82" spans="1:3">
      <c r="A82" s="1">
        <v>1966</v>
      </c>
      <c r="B82" s="1" t="s">
        <v>108</v>
      </c>
      <c r="C82" s="1">
        <v>0.54204352677558942</v>
      </c>
    </row>
    <row r="83" spans="1:3">
      <c r="A83" s="1">
        <v>1966</v>
      </c>
      <c r="B83" s="1" t="s">
        <v>109</v>
      </c>
      <c r="C83" s="1">
        <v>0.51165280184340156</v>
      </c>
    </row>
    <row r="84" spans="1:3">
      <c r="A84" s="1">
        <v>1966</v>
      </c>
      <c r="B84" s="1" t="s">
        <v>110</v>
      </c>
      <c r="C84" s="1">
        <v>0.57833095953044067</v>
      </c>
    </row>
    <row r="85" spans="1:3">
      <c r="A85" s="1">
        <v>1966</v>
      </c>
      <c r="B85" s="1" t="s">
        <v>111</v>
      </c>
      <c r="C85" s="1">
        <v>0.59057796808520291</v>
      </c>
    </row>
    <row r="86" spans="1:3">
      <c r="A86" s="1">
        <v>1966</v>
      </c>
      <c r="B86" s="1" t="s">
        <v>112</v>
      </c>
      <c r="C86" s="1">
        <v>0.55111538496430224</v>
      </c>
    </row>
    <row r="87" spans="1:3">
      <c r="A87" s="1">
        <v>1967</v>
      </c>
      <c r="B87" s="1" t="s">
        <v>113</v>
      </c>
      <c r="C87" s="1">
        <v>0.56426957933793587</v>
      </c>
    </row>
    <row r="88" spans="1:3">
      <c r="A88" s="1">
        <v>1967</v>
      </c>
      <c r="B88" s="1" t="s">
        <v>114</v>
      </c>
      <c r="C88" s="1">
        <v>0.55338334951148049</v>
      </c>
    </row>
    <row r="89" spans="1:3">
      <c r="A89" s="1">
        <v>1967</v>
      </c>
      <c r="B89" s="1" t="s">
        <v>115</v>
      </c>
      <c r="C89" s="1">
        <v>0.4980450145603324</v>
      </c>
    </row>
    <row r="90" spans="1:3">
      <c r="A90" s="1">
        <v>1967</v>
      </c>
      <c r="B90" s="1" t="s">
        <v>116</v>
      </c>
      <c r="C90" s="1">
        <v>0.45132494488846153</v>
      </c>
    </row>
    <row r="91" spans="1:3">
      <c r="A91" s="1">
        <v>1967</v>
      </c>
      <c r="B91" s="1" t="s">
        <v>117</v>
      </c>
      <c r="C91" s="1">
        <v>0.46992225417532274</v>
      </c>
    </row>
    <row r="92" spans="1:3">
      <c r="A92" s="1">
        <v>1967</v>
      </c>
      <c r="B92" s="1" t="s">
        <v>118</v>
      </c>
      <c r="C92" s="1">
        <v>0.46039680307717434</v>
      </c>
    </row>
    <row r="93" spans="1:3">
      <c r="A93" s="1">
        <v>1967</v>
      </c>
      <c r="B93" s="1" t="s">
        <v>119</v>
      </c>
      <c r="C93" s="1">
        <v>0.45223213070733281</v>
      </c>
    </row>
    <row r="94" spans="1:3">
      <c r="A94" s="1">
        <v>1967</v>
      </c>
      <c r="B94" s="1" t="s">
        <v>120</v>
      </c>
      <c r="C94" s="1">
        <v>0.47400459036024351</v>
      </c>
    </row>
    <row r="95" spans="1:3">
      <c r="A95" s="1">
        <v>1967</v>
      </c>
      <c r="B95" s="1" t="s">
        <v>121</v>
      </c>
      <c r="C95" s="1">
        <v>0.48080848400177811</v>
      </c>
    </row>
    <row r="96" spans="1:3">
      <c r="A96" s="1">
        <v>1967</v>
      </c>
      <c r="B96" s="1" t="s">
        <v>122</v>
      </c>
      <c r="C96" s="1">
        <v>0.51618873093775797</v>
      </c>
    </row>
    <row r="97" spans="1:3">
      <c r="A97" s="1">
        <v>1967</v>
      </c>
      <c r="B97" s="1" t="s">
        <v>123</v>
      </c>
      <c r="C97" s="1">
        <v>0.65498816122506376</v>
      </c>
    </row>
    <row r="98" spans="1:3">
      <c r="A98" s="1">
        <v>1967</v>
      </c>
      <c r="B98" s="1" t="s">
        <v>124</v>
      </c>
      <c r="C98" s="1">
        <v>0.600557012092787</v>
      </c>
    </row>
    <row r="99" spans="1:3">
      <c r="A99" s="1">
        <v>1968</v>
      </c>
      <c r="B99" s="1" t="s">
        <v>125</v>
      </c>
      <c r="C99" s="1">
        <v>0.63911240939481639</v>
      </c>
    </row>
    <row r="100" spans="1:3">
      <c r="A100" s="1">
        <v>1968</v>
      </c>
      <c r="B100" s="1" t="s">
        <v>126</v>
      </c>
      <c r="C100" s="1">
        <v>0.78017980422930033</v>
      </c>
    </row>
    <row r="101" spans="1:3">
      <c r="A101" s="1">
        <v>1968</v>
      </c>
      <c r="B101" s="1" t="s">
        <v>127</v>
      </c>
      <c r="C101" s="1">
        <v>0.77156153895002322</v>
      </c>
    </row>
    <row r="102" spans="1:3">
      <c r="A102" s="1">
        <v>1968</v>
      </c>
      <c r="B102" s="1" t="s">
        <v>128</v>
      </c>
      <c r="C102" s="1">
        <v>0.56925910134172786</v>
      </c>
    </row>
    <row r="103" spans="1:3">
      <c r="A103" s="1">
        <v>1968</v>
      </c>
      <c r="B103" s="1" t="s">
        <v>129</v>
      </c>
      <c r="C103" s="1">
        <v>0.49759142165089676</v>
      </c>
    </row>
    <row r="104" spans="1:3">
      <c r="A104" s="1">
        <v>1968</v>
      </c>
      <c r="B104" s="1" t="s">
        <v>130</v>
      </c>
      <c r="C104" s="1">
        <v>0.51573513802832238</v>
      </c>
    </row>
    <row r="105" spans="1:3">
      <c r="A105" s="1">
        <v>1968</v>
      </c>
      <c r="B105" s="1" t="s">
        <v>131</v>
      </c>
      <c r="C105" s="1">
        <v>0.47808692654516427</v>
      </c>
    </row>
    <row r="106" spans="1:3">
      <c r="A106" s="1">
        <v>1968</v>
      </c>
      <c r="B106" s="1" t="s">
        <v>132</v>
      </c>
      <c r="C106" s="1">
        <v>0.47899411236403555</v>
      </c>
    </row>
    <row r="107" spans="1:3">
      <c r="A107" s="1">
        <v>1968</v>
      </c>
      <c r="B107" s="1" t="s">
        <v>133</v>
      </c>
      <c r="C107" s="1">
        <v>0.50348812947356014</v>
      </c>
    </row>
    <row r="108" spans="1:3">
      <c r="A108" s="1">
        <v>1968</v>
      </c>
      <c r="B108" s="1" t="s">
        <v>134</v>
      </c>
      <c r="C108" s="1">
        <v>0.48988034219049092</v>
      </c>
    </row>
    <row r="109" spans="1:3">
      <c r="A109" s="1">
        <v>1968</v>
      </c>
      <c r="B109" s="1" t="s">
        <v>135</v>
      </c>
      <c r="C109" s="1">
        <v>0.49895220037920368</v>
      </c>
    </row>
    <row r="110" spans="1:3">
      <c r="A110" s="1">
        <v>1968</v>
      </c>
      <c r="B110" s="1" t="s">
        <v>136</v>
      </c>
      <c r="C110" s="1">
        <v>0.53750759768123313</v>
      </c>
    </row>
    <row r="111" spans="1:3">
      <c r="A111" s="1">
        <v>1969</v>
      </c>
      <c r="B111" s="1" t="s">
        <v>137</v>
      </c>
      <c r="C111" s="1">
        <v>0.56971269425116344</v>
      </c>
    </row>
    <row r="112" spans="1:3">
      <c r="A112" s="1">
        <v>1969</v>
      </c>
      <c r="B112" s="1" t="s">
        <v>138</v>
      </c>
      <c r="C112" s="1">
        <v>0.58286688862479707</v>
      </c>
    </row>
    <row r="113" spans="1:3">
      <c r="A113" s="1">
        <v>1969</v>
      </c>
      <c r="B113" s="1" t="s">
        <v>139</v>
      </c>
      <c r="C113" s="1">
        <v>0.57969173825874754</v>
      </c>
    </row>
    <row r="114" spans="1:3">
      <c r="A114" s="1">
        <v>1969</v>
      </c>
      <c r="B114" s="1" t="s">
        <v>140</v>
      </c>
      <c r="C114" s="1">
        <v>0.62958695829666789</v>
      </c>
    </row>
    <row r="115" spans="1:3">
      <c r="A115" s="1">
        <v>1969</v>
      </c>
      <c r="B115" s="1" t="s">
        <v>141</v>
      </c>
      <c r="C115" s="1">
        <v>0.63140132993441045</v>
      </c>
    </row>
    <row r="116" spans="1:3">
      <c r="A116" s="1">
        <v>1969</v>
      </c>
      <c r="B116" s="1" t="s">
        <v>142</v>
      </c>
      <c r="C116" s="1">
        <v>0.67267828469305369</v>
      </c>
    </row>
    <row r="117" spans="1:3">
      <c r="A117" s="1">
        <v>1969</v>
      </c>
      <c r="B117" s="1" t="s">
        <v>143</v>
      </c>
      <c r="C117" s="1">
        <v>0.65952409031942016</v>
      </c>
    </row>
    <row r="118" spans="1:3">
      <c r="A118" s="1">
        <v>1969</v>
      </c>
      <c r="B118" s="1" t="s">
        <v>144</v>
      </c>
      <c r="C118" s="1">
        <v>0.728923805463073</v>
      </c>
    </row>
    <row r="119" spans="1:3">
      <c r="A119" s="1">
        <v>1969</v>
      </c>
      <c r="B119" s="1" t="s">
        <v>145</v>
      </c>
      <c r="C119" s="1">
        <v>0.71622320399887518</v>
      </c>
    </row>
    <row r="120" spans="1:3">
      <c r="A120" s="1">
        <v>1969</v>
      </c>
      <c r="B120" s="1" t="s">
        <v>146</v>
      </c>
      <c r="C120" s="1">
        <v>0.70488338126298411</v>
      </c>
    </row>
    <row r="121" spans="1:3">
      <c r="A121" s="1">
        <v>1969</v>
      </c>
      <c r="B121" s="1" t="s">
        <v>147</v>
      </c>
      <c r="C121" s="1">
        <v>0.73981003528952838</v>
      </c>
    </row>
    <row r="122" spans="1:3">
      <c r="A122" s="1">
        <v>1969</v>
      </c>
      <c r="B122" s="1" t="s">
        <v>148</v>
      </c>
      <c r="C122" s="1">
        <v>0.77110794604058752</v>
      </c>
    </row>
    <row r="123" spans="1:3">
      <c r="A123" s="1">
        <v>1970</v>
      </c>
      <c r="B123" s="1" t="s">
        <v>149</v>
      </c>
      <c r="C123" s="1">
        <v>0.73754207074235023</v>
      </c>
    </row>
    <row r="124" spans="1:3">
      <c r="A124" s="1">
        <v>1970</v>
      </c>
      <c r="B124" s="1" t="s">
        <v>150</v>
      </c>
      <c r="C124" s="1">
        <v>0.75160345093485503</v>
      </c>
    </row>
    <row r="125" spans="1:3">
      <c r="A125" s="1">
        <v>1970</v>
      </c>
      <c r="B125" s="1" t="s">
        <v>151</v>
      </c>
      <c r="C125" s="1">
        <v>0.79560196315011211</v>
      </c>
    </row>
    <row r="126" spans="1:3">
      <c r="A126" s="1">
        <v>1970</v>
      </c>
      <c r="B126" s="1" t="s">
        <v>152</v>
      </c>
      <c r="C126" s="1">
        <v>0.79015884823688443</v>
      </c>
    </row>
    <row r="127" spans="1:3">
      <c r="A127" s="1">
        <v>1970</v>
      </c>
      <c r="B127" s="1" t="s">
        <v>153</v>
      </c>
      <c r="C127" s="1">
        <v>0.72484146927815229</v>
      </c>
    </row>
    <row r="128" spans="1:3">
      <c r="A128" s="1">
        <v>1970</v>
      </c>
      <c r="B128" s="1" t="s">
        <v>154</v>
      </c>
      <c r="C128" s="1">
        <v>0.66133846195716273</v>
      </c>
    </row>
    <row r="129" spans="1:3">
      <c r="A129" s="1">
        <v>1970</v>
      </c>
      <c r="B129" s="1" t="s">
        <v>155</v>
      </c>
      <c r="C129" s="1">
        <v>0.62006150719851949</v>
      </c>
    </row>
    <row r="130" spans="1:3">
      <c r="A130" s="1">
        <v>1970</v>
      </c>
      <c r="B130" s="1" t="s">
        <v>156</v>
      </c>
      <c r="C130" s="1">
        <v>0.57470221625495554</v>
      </c>
    </row>
    <row r="131" spans="1:3">
      <c r="A131" s="1">
        <v>1970</v>
      </c>
      <c r="B131" s="1" t="s">
        <v>157</v>
      </c>
      <c r="C131" s="1">
        <v>0.56563035806624273</v>
      </c>
    </row>
    <row r="132" spans="1:3">
      <c r="A132" s="1">
        <v>1970</v>
      </c>
      <c r="B132" s="1" t="s">
        <v>158</v>
      </c>
      <c r="C132" s="1">
        <v>0.51800310257550053</v>
      </c>
    </row>
    <row r="133" spans="1:3">
      <c r="A133" s="1">
        <v>1970</v>
      </c>
      <c r="B133" s="1" t="s">
        <v>159</v>
      </c>
      <c r="C133" s="1">
        <v>0.49214830673766913</v>
      </c>
    </row>
    <row r="134" spans="1:3">
      <c r="A134" s="1">
        <v>1970</v>
      </c>
      <c r="B134" s="1" t="s">
        <v>160</v>
      </c>
      <c r="C134" s="1">
        <v>0.47445818326967915</v>
      </c>
    </row>
    <row r="135" spans="1:3">
      <c r="A135" s="1">
        <v>1971</v>
      </c>
      <c r="B135" s="1" t="s">
        <v>161</v>
      </c>
      <c r="C135" s="1">
        <v>0.45812883852999614</v>
      </c>
    </row>
    <row r="136" spans="1:3">
      <c r="A136" s="1">
        <v>1971</v>
      </c>
      <c r="B136" s="1" t="s">
        <v>162</v>
      </c>
      <c r="C136" s="1">
        <v>0.46266476762435255</v>
      </c>
    </row>
    <row r="137" spans="1:3">
      <c r="A137" s="1">
        <v>1971</v>
      </c>
      <c r="B137" s="1" t="s">
        <v>163</v>
      </c>
      <c r="C137" s="1">
        <v>0.51891028839437181</v>
      </c>
    </row>
    <row r="138" spans="1:3">
      <c r="A138" s="1">
        <v>1971</v>
      </c>
      <c r="B138" s="1" t="s">
        <v>164</v>
      </c>
      <c r="C138" s="1">
        <v>0.56789832261342088</v>
      </c>
    </row>
    <row r="139" spans="1:3">
      <c r="A139" s="1">
        <v>1971</v>
      </c>
      <c r="B139" s="1" t="s">
        <v>165</v>
      </c>
      <c r="C139" s="1">
        <v>0.5053025011113027</v>
      </c>
    </row>
    <row r="140" spans="1:3">
      <c r="A140" s="1">
        <v>1971</v>
      </c>
      <c r="B140" s="1" t="s">
        <v>166</v>
      </c>
      <c r="C140" s="1">
        <v>0.48715878473387708</v>
      </c>
    </row>
    <row r="141" spans="1:3">
      <c r="A141" s="1">
        <v>1971</v>
      </c>
      <c r="B141" s="1" t="s">
        <v>167</v>
      </c>
      <c r="C141" s="1">
        <v>0.50575609402073829</v>
      </c>
    </row>
    <row r="142" spans="1:3">
      <c r="A142" s="1">
        <v>1971</v>
      </c>
      <c r="B142" s="1" t="s">
        <v>168</v>
      </c>
      <c r="C142" s="1">
        <v>0.4980450145603324</v>
      </c>
    </row>
    <row r="143" spans="1:3">
      <c r="A143" s="1">
        <v>1971</v>
      </c>
      <c r="B143" s="1" t="s">
        <v>169</v>
      </c>
      <c r="C143" s="1">
        <v>0.47899411236403555</v>
      </c>
    </row>
    <row r="144" spans="1:3">
      <c r="A144" s="1">
        <v>1971</v>
      </c>
      <c r="B144" s="1" t="s">
        <v>170</v>
      </c>
      <c r="C144" s="1">
        <v>0.47219021872250094</v>
      </c>
    </row>
    <row r="145" spans="1:3">
      <c r="A145" s="1">
        <v>1971</v>
      </c>
      <c r="B145" s="1" t="s">
        <v>171</v>
      </c>
      <c r="C145" s="1">
        <v>0.4599432101677387</v>
      </c>
    </row>
    <row r="146" spans="1:3">
      <c r="A146" s="1">
        <v>1971</v>
      </c>
      <c r="B146" s="1" t="s">
        <v>172</v>
      </c>
      <c r="C146" s="1">
        <v>0.47082943999419402</v>
      </c>
    </row>
    <row r="147" spans="1:3">
      <c r="A147" s="1">
        <v>1972</v>
      </c>
      <c r="B147" s="1" t="s">
        <v>173</v>
      </c>
      <c r="C147" s="1">
        <v>0.48897315637161964</v>
      </c>
    </row>
    <row r="148" spans="1:3">
      <c r="A148" s="1">
        <v>1972</v>
      </c>
      <c r="B148" s="1" t="s">
        <v>174</v>
      </c>
      <c r="C148" s="1">
        <v>0.50439531529243142</v>
      </c>
    </row>
    <row r="149" spans="1:3">
      <c r="A149" s="1">
        <v>1972</v>
      </c>
      <c r="B149" s="1" t="s">
        <v>175</v>
      </c>
      <c r="C149" s="1">
        <v>0.50258094365468886</v>
      </c>
    </row>
    <row r="150" spans="1:3">
      <c r="A150" s="1">
        <v>1972</v>
      </c>
      <c r="B150" s="1" t="s">
        <v>176</v>
      </c>
      <c r="C150" s="1">
        <v>0.51392076639057982</v>
      </c>
    </row>
    <row r="151" spans="1:3">
      <c r="A151" s="1">
        <v>1972</v>
      </c>
      <c r="B151" s="1" t="s">
        <v>177</v>
      </c>
      <c r="C151" s="1">
        <v>0.50167375783581758</v>
      </c>
    </row>
    <row r="152" spans="1:3">
      <c r="A152" s="1">
        <v>1972</v>
      </c>
      <c r="B152" s="1" t="s">
        <v>178</v>
      </c>
      <c r="C152" s="1">
        <v>0.48216926273008504</v>
      </c>
    </row>
    <row r="153" spans="1:3">
      <c r="A153" s="1">
        <v>1972</v>
      </c>
      <c r="B153" s="1" t="s">
        <v>179</v>
      </c>
      <c r="C153" s="1">
        <v>0.4694686612658871</v>
      </c>
    </row>
    <row r="154" spans="1:3">
      <c r="A154" s="1">
        <v>1972</v>
      </c>
      <c r="B154" s="1" t="s">
        <v>180</v>
      </c>
      <c r="C154" s="1">
        <v>0.47491177617911479</v>
      </c>
    </row>
    <row r="155" spans="1:3">
      <c r="A155" s="1">
        <v>1972</v>
      </c>
      <c r="B155" s="1" t="s">
        <v>181</v>
      </c>
      <c r="C155" s="1">
        <v>0.48126207691121375</v>
      </c>
    </row>
    <row r="156" spans="1:3">
      <c r="A156" s="1">
        <v>1972</v>
      </c>
      <c r="B156" s="1" t="s">
        <v>182</v>
      </c>
      <c r="C156" s="1">
        <v>0.41639829086191726</v>
      </c>
    </row>
    <row r="157" spans="1:3">
      <c r="A157" s="1">
        <v>1972</v>
      </c>
      <c r="B157" s="1" t="s">
        <v>183</v>
      </c>
      <c r="C157" s="1">
        <v>0.45676805980168922</v>
      </c>
    </row>
    <row r="158" spans="1:3">
      <c r="A158" s="1">
        <v>1972</v>
      </c>
      <c r="B158" s="1" t="s">
        <v>184</v>
      </c>
      <c r="C158" s="1">
        <v>0.46447913926209505</v>
      </c>
    </row>
    <row r="159" spans="1:3">
      <c r="A159" s="1">
        <v>1973</v>
      </c>
      <c r="B159" s="1" t="s">
        <v>185</v>
      </c>
      <c r="C159" s="1">
        <v>0.50757046565848085</v>
      </c>
    </row>
    <row r="160" spans="1:3">
      <c r="A160" s="1">
        <v>1973</v>
      </c>
      <c r="B160" s="1" t="s">
        <v>186</v>
      </c>
      <c r="C160" s="1">
        <v>0.56426957933793587</v>
      </c>
    </row>
    <row r="161" spans="1:3">
      <c r="A161" s="1">
        <v>1973</v>
      </c>
      <c r="B161" s="1" t="s">
        <v>187</v>
      </c>
      <c r="C161" s="1">
        <v>0.68492529324781604</v>
      </c>
    </row>
    <row r="162" spans="1:3">
      <c r="A162" s="1">
        <v>1973</v>
      </c>
      <c r="B162" s="1" t="s">
        <v>188</v>
      </c>
      <c r="C162" s="1">
        <v>0.72030554018379589</v>
      </c>
    </row>
    <row r="163" spans="1:3">
      <c r="A163" s="1">
        <v>1973</v>
      </c>
      <c r="B163" s="1" t="s">
        <v>189</v>
      </c>
      <c r="C163" s="1">
        <v>0.70397619544411283</v>
      </c>
    </row>
    <row r="164" spans="1:3">
      <c r="A164" s="1">
        <v>1973</v>
      </c>
      <c r="B164" s="1" t="s">
        <v>190</v>
      </c>
      <c r="C164" s="1">
        <v>0.79333399860293385</v>
      </c>
    </row>
    <row r="165" spans="1:3">
      <c r="A165" s="1">
        <v>1973</v>
      </c>
      <c r="B165" s="1" t="s">
        <v>191</v>
      </c>
      <c r="C165" s="1">
        <v>0.91671126996942787</v>
      </c>
    </row>
    <row r="166" spans="1:3">
      <c r="A166" s="1">
        <v>1973</v>
      </c>
      <c r="B166" s="1" t="s">
        <v>192</v>
      </c>
      <c r="C166" s="1">
        <v>0.96297774673186309</v>
      </c>
    </row>
    <row r="167" spans="1:3">
      <c r="A167" s="1">
        <v>1973</v>
      </c>
      <c r="B167" s="1" t="s">
        <v>193</v>
      </c>
      <c r="C167" s="1">
        <v>0.87815587266739847</v>
      </c>
    </row>
    <row r="168" spans="1:3">
      <c r="A168" s="1">
        <v>1973</v>
      </c>
      <c r="B168" s="1" t="s">
        <v>194</v>
      </c>
      <c r="C168" s="1">
        <v>0.93666935798459605</v>
      </c>
    </row>
    <row r="169" spans="1:3">
      <c r="A169" s="1">
        <v>1973</v>
      </c>
      <c r="B169" s="1" t="s">
        <v>195</v>
      </c>
      <c r="C169" s="1">
        <v>1.0310166831472092</v>
      </c>
    </row>
    <row r="170" spans="1:3">
      <c r="A170" s="1">
        <v>1973</v>
      </c>
      <c r="B170" s="1" t="s">
        <v>196</v>
      </c>
      <c r="C170" s="1">
        <v>1.0178624887735754</v>
      </c>
    </row>
    <row r="171" spans="1:3">
      <c r="A171" s="1">
        <v>1974</v>
      </c>
      <c r="B171" s="1" t="s">
        <v>197</v>
      </c>
      <c r="C171" s="1">
        <v>0.92170079197321997</v>
      </c>
    </row>
    <row r="172" spans="1:3">
      <c r="A172" s="1">
        <v>1974</v>
      </c>
      <c r="B172" s="1" t="s">
        <v>198</v>
      </c>
      <c r="C172" s="1">
        <v>1.0396349484264862</v>
      </c>
    </row>
    <row r="173" spans="1:3">
      <c r="A173" s="1">
        <v>1974</v>
      </c>
      <c r="B173" s="1" t="s">
        <v>199</v>
      </c>
      <c r="C173" s="1">
        <v>1.2442053505819597</v>
      </c>
    </row>
    <row r="174" spans="1:3">
      <c r="A174" s="1">
        <v>1974</v>
      </c>
      <c r="B174" s="1" t="s">
        <v>200</v>
      </c>
      <c r="C174" s="1">
        <v>1.3752937014088595</v>
      </c>
    </row>
    <row r="175" spans="1:3">
      <c r="A175" s="1">
        <v>1974</v>
      </c>
      <c r="B175" s="1" t="s">
        <v>201</v>
      </c>
      <c r="C175" s="1">
        <v>1.3045332075368998</v>
      </c>
    </row>
    <row r="176" spans="1:3">
      <c r="A176" s="1">
        <v>1974</v>
      </c>
      <c r="B176" s="1" t="s">
        <v>202</v>
      </c>
      <c r="C176" s="1">
        <v>1.106766699022961</v>
      </c>
    </row>
    <row r="177" spans="1:3">
      <c r="A177" s="1">
        <v>1974</v>
      </c>
      <c r="B177" s="1" t="s">
        <v>203</v>
      </c>
      <c r="C177" s="1">
        <v>0.87044479320699264</v>
      </c>
    </row>
    <row r="178" spans="1:3">
      <c r="A178" s="1">
        <v>1974</v>
      </c>
      <c r="B178" s="1" t="s">
        <v>204</v>
      </c>
      <c r="C178" s="1">
        <v>0.81782801571245844</v>
      </c>
    </row>
    <row r="179" spans="1:3">
      <c r="A179" s="1">
        <v>1974</v>
      </c>
      <c r="B179" s="1" t="s">
        <v>205</v>
      </c>
      <c r="C179" s="1">
        <v>0.66269924068546959</v>
      </c>
    </row>
    <row r="180" spans="1:3">
      <c r="A180" s="1">
        <v>1974</v>
      </c>
      <c r="B180" s="1" t="s">
        <v>206</v>
      </c>
      <c r="C180" s="1">
        <v>0.63457648030045999</v>
      </c>
    </row>
    <row r="181" spans="1:3">
      <c r="A181" s="1">
        <v>1974</v>
      </c>
      <c r="B181" s="1" t="s">
        <v>207</v>
      </c>
      <c r="C181" s="1">
        <v>0.64274115267030152</v>
      </c>
    </row>
    <row r="182" spans="1:3">
      <c r="A182" s="1">
        <v>1974</v>
      </c>
      <c r="B182" s="1" t="s">
        <v>208</v>
      </c>
      <c r="C182" s="1">
        <v>0.58468126026253964</v>
      </c>
    </row>
    <row r="183" spans="1:3">
      <c r="A183" s="1">
        <v>1975</v>
      </c>
      <c r="B183" s="1" t="s">
        <v>209</v>
      </c>
      <c r="C183" s="1">
        <v>0.54930101332655967</v>
      </c>
    </row>
    <row r="184" spans="1:3">
      <c r="A184" s="1">
        <v>1975</v>
      </c>
      <c r="B184" s="1" t="s">
        <v>210</v>
      </c>
      <c r="C184" s="1">
        <v>0.57470221625495554</v>
      </c>
    </row>
    <row r="185" spans="1:3">
      <c r="A185" s="1">
        <v>1975</v>
      </c>
      <c r="B185" s="1" t="s">
        <v>211</v>
      </c>
      <c r="C185" s="1">
        <v>0.60962887028149981</v>
      </c>
    </row>
    <row r="186" spans="1:3">
      <c r="A186" s="1">
        <v>1975</v>
      </c>
      <c r="B186" s="1" t="s">
        <v>212</v>
      </c>
      <c r="C186" s="1">
        <v>0.60282497663996515</v>
      </c>
    </row>
    <row r="187" spans="1:3">
      <c r="A187" s="1">
        <v>1975</v>
      </c>
      <c r="B187" s="1" t="s">
        <v>213</v>
      </c>
      <c r="C187" s="1">
        <v>0.56880550843229216</v>
      </c>
    </row>
    <row r="188" spans="1:3">
      <c r="A188" s="1">
        <v>1975</v>
      </c>
      <c r="B188" s="1" t="s">
        <v>214</v>
      </c>
      <c r="C188" s="1">
        <v>0.54113634095671814</v>
      </c>
    </row>
    <row r="189" spans="1:3">
      <c r="A189" s="1">
        <v>1975</v>
      </c>
      <c r="B189" s="1" t="s">
        <v>215</v>
      </c>
      <c r="C189" s="1">
        <v>0.55429053533035177</v>
      </c>
    </row>
    <row r="190" spans="1:3">
      <c r="A190" s="1">
        <v>1975</v>
      </c>
      <c r="B190" s="1" t="s">
        <v>216</v>
      </c>
      <c r="C190" s="1">
        <v>0.57923814534931195</v>
      </c>
    </row>
    <row r="191" spans="1:3">
      <c r="A191" s="1">
        <v>1975</v>
      </c>
      <c r="B191" s="1" t="s">
        <v>217</v>
      </c>
      <c r="C191" s="1">
        <v>0.54884742041712409</v>
      </c>
    </row>
    <row r="192" spans="1:3">
      <c r="A192" s="1">
        <v>1975</v>
      </c>
      <c r="B192" s="1" t="s">
        <v>218</v>
      </c>
      <c r="C192" s="1">
        <v>0.53478604022461929</v>
      </c>
    </row>
    <row r="193" spans="1:3">
      <c r="A193" s="1">
        <v>1975</v>
      </c>
      <c r="B193" s="1" t="s">
        <v>219</v>
      </c>
      <c r="C193" s="1">
        <v>0.53523963313405487</v>
      </c>
    </row>
    <row r="194" spans="1:3">
      <c r="A194" s="1">
        <v>1975</v>
      </c>
      <c r="B194" s="1" t="s">
        <v>220</v>
      </c>
      <c r="C194" s="1">
        <v>0.52208543876042135</v>
      </c>
    </row>
    <row r="195" spans="1:3">
      <c r="A195" s="1">
        <v>1976</v>
      </c>
      <c r="B195" s="1" t="s">
        <v>221</v>
      </c>
      <c r="C195" s="1">
        <v>0.54113634095671814</v>
      </c>
    </row>
    <row r="196" spans="1:3">
      <c r="A196" s="1">
        <v>1976</v>
      </c>
      <c r="B196" s="1" t="s">
        <v>222</v>
      </c>
      <c r="C196" s="1">
        <v>0.5529297566020448</v>
      </c>
    </row>
    <row r="197" spans="1:3">
      <c r="A197" s="1">
        <v>1976</v>
      </c>
      <c r="B197" s="1" t="s">
        <v>223</v>
      </c>
      <c r="C197" s="1">
        <v>0.60282497663996515</v>
      </c>
    </row>
    <row r="198" spans="1:3">
      <c r="A198" s="1">
        <v>1976</v>
      </c>
      <c r="B198" s="1" t="s">
        <v>224</v>
      </c>
      <c r="C198" s="1">
        <v>0.68492529324781604</v>
      </c>
    </row>
    <row r="199" spans="1:3">
      <c r="A199" s="1">
        <v>1976</v>
      </c>
      <c r="B199" s="1" t="s">
        <v>225</v>
      </c>
      <c r="C199" s="1">
        <v>0.68583247906668732</v>
      </c>
    </row>
    <row r="200" spans="1:3">
      <c r="A200" s="1">
        <v>1976</v>
      </c>
      <c r="B200" s="1" t="s">
        <v>226</v>
      </c>
      <c r="C200" s="1">
        <v>0.70306900962524155</v>
      </c>
    </row>
    <row r="201" spans="1:3">
      <c r="A201" s="1">
        <v>1976</v>
      </c>
      <c r="B201" s="1" t="s">
        <v>227</v>
      </c>
      <c r="C201" s="1">
        <v>0.74706752184049863</v>
      </c>
    </row>
    <row r="202" spans="1:3">
      <c r="A202" s="1">
        <v>1976</v>
      </c>
      <c r="B202" s="1" t="s">
        <v>228</v>
      </c>
      <c r="C202" s="1">
        <v>0.69807948762144956</v>
      </c>
    </row>
    <row r="203" spans="1:3">
      <c r="A203" s="1">
        <v>1976</v>
      </c>
      <c r="B203" s="1" t="s">
        <v>229</v>
      </c>
      <c r="C203" s="1">
        <v>0.66179205486659831</v>
      </c>
    </row>
    <row r="204" spans="1:3">
      <c r="A204" s="1">
        <v>1976</v>
      </c>
      <c r="B204" s="1" t="s">
        <v>230</v>
      </c>
      <c r="C204" s="1">
        <v>0.58286688862479707</v>
      </c>
    </row>
    <row r="205" spans="1:3">
      <c r="A205" s="1">
        <v>1976</v>
      </c>
      <c r="B205" s="1" t="s">
        <v>231</v>
      </c>
      <c r="C205" s="1">
        <v>0.58014533116818323</v>
      </c>
    </row>
    <row r="206" spans="1:3">
      <c r="A206" s="1">
        <v>1976</v>
      </c>
      <c r="B206" s="1" t="s">
        <v>232</v>
      </c>
      <c r="C206" s="1">
        <v>0.58377407444366836</v>
      </c>
    </row>
    <row r="207" spans="1:3">
      <c r="A207" s="1">
        <v>1977</v>
      </c>
      <c r="B207" s="1" t="s">
        <v>233</v>
      </c>
      <c r="C207" s="1">
        <v>0.63321570157215301</v>
      </c>
    </row>
    <row r="208" spans="1:3">
      <c r="A208" s="1">
        <v>1977</v>
      </c>
      <c r="B208" s="1" t="s">
        <v>234</v>
      </c>
      <c r="C208" s="1">
        <v>0.64682348885522223</v>
      </c>
    </row>
    <row r="209" spans="1:3">
      <c r="A209" s="1">
        <v>1977</v>
      </c>
      <c r="B209" s="1" t="s">
        <v>235</v>
      </c>
      <c r="C209" s="1">
        <v>0.68719325779499418</v>
      </c>
    </row>
    <row r="210" spans="1:3">
      <c r="A210" s="1">
        <v>1977</v>
      </c>
      <c r="B210" s="1" t="s">
        <v>236</v>
      </c>
      <c r="C210" s="1">
        <v>0.64818426758352921</v>
      </c>
    </row>
    <row r="211" spans="1:3">
      <c r="A211" s="1">
        <v>1977</v>
      </c>
      <c r="B211" s="1" t="s">
        <v>237</v>
      </c>
      <c r="C211" s="1">
        <v>0.62187587883626205</v>
      </c>
    </row>
    <row r="212" spans="1:3">
      <c r="A212" s="1">
        <v>1977</v>
      </c>
      <c r="B212" s="1" t="s">
        <v>238</v>
      </c>
      <c r="C212" s="1">
        <v>0.59511389717955931</v>
      </c>
    </row>
    <row r="213" spans="1:3">
      <c r="A213" s="1">
        <v>1977</v>
      </c>
      <c r="B213" s="1" t="s">
        <v>239</v>
      </c>
      <c r="C213" s="1">
        <v>0.56608395097567843</v>
      </c>
    </row>
    <row r="214" spans="1:3">
      <c r="A214" s="1">
        <v>1977</v>
      </c>
      <c r="B214" s="1" t="s">
        <v>240</v>
      </c>
      <c r="C214" s="1">
        <v>0.52616777494534206</v>
      </c>
    </row>
    <row r="215" spans="1:3">
      <c r="A215" s="1">
        <v>1977</v>
      </c>
      <c r="B215" s="1" t="s">
        <v>241</v>
      </c>
      <c r="C215" s="1">
        <v>0.54204352677558942</v>
      </c>
    </row>
    <row r="216" spans="1:3">
      <c r="A216" s="1">
        <v>1977</v>
      </c>
      <c r="B216" s="1" t="s">
        <v>242</v>
      </c>
      <c r="C216" s="1">
        <v>0.54884742041712409</v>
      </c>
    </row>
    <row r="217" spans="1:3">
      <c r="A217" s="1">
        <v>1977</v>
      </c>
      <c r="B217" s="1" t="s">
        <v>243</v>
      </c>
      <c r="C217" s="1">
        <v>0.53614681895292615</v>
      </c>
    </row>
    <row r="218" spans="1:3">
      <c r="A218" s="1">
        <v>1977</v>
      </c>
      <c r="B218" s="1" t="s">
        <v>244</v>
      </c>
      <c r="C218" s="1">
        <v>0.5719806587983417</v>
      </c>
    </row>
    <row r="219" spans="1:3">
      <c r="A219" s="1">
        <v>1978</v>
      </c>
      <c r="B219" s="1" t="s">
        <v>245</v>
      </c>
      <c r="C219" s="1">
        <v>0.5719806587983417</v>
      </c>
    </row>
    <row r="220" spans="1:3">
      <c r="A220" s="1">
        <v>1978</v>
      </c>
      <c r="B220" s="1" t="s">
        <v>246</v>
      </c>
      <c r="C220" s="1">
        <v>0.55202257078317352</v>
      </c>
    </row>
    <row r="221" spans="1:3">
      <c r="A221" s="1">
        <v>1978</v>
      </c>
      <c r="B221" s="1" t="s">
        <v>247</v>
      </c>
      <c r="C221" s="1">
        <v>0.56880550843229216</v>
      </c>
    </row>
    <row r="222" spans="1:3">
      <c r="A222" s="1">
        <v>1978</v>
      </c>
      <c r="B222" s="1" t="s">
        <v>248</v>
      </c>
      <c r="C222" s="1">
        <v>0.58286688862479707</v>
      </c>
    </row>
    <row r="223" spans="1:3">
      <c r="A223" s="1">
        <v>1978</v>
      </c>
      <c r="B223" s="1" t="s">
        <v>249</v>
      </c>
      <c r="C223" s="1">
        <v>0.59103156099463861</v>
      </c>
    </row>
    <row r="224" spans="1:3">
      <c r="A224" s="1">
        <v>1978</v>
      </c>
      <c r="B224" s="1" t="s">
        <v>250</v>
      </c>
      <c r="C224" s="1">
        <v>0.60463934827770771</v>
      </c>
    </row>
    <row r="225" spans="1:3">
      <c r="A225" s="1">
        <v>1978</v>
      </c>
      <c r="B225" s="1" t="s">
        <v>251</v>
      </c>
      <c r="C225" s="1">
        <v>0.60645371991545027</v>
      </c>
    </row>
    <row r="226" spans="1:3">
      <c r="A226" s="1">
        <v>1978</v>
      </c>
      <c r="B226" s="1" t="s">
        <v>252</v>
      </c>
      <c r="C226" s="1">
        <v>0.64682348885522223</v>
      </c>
    </row>
    <row r="227" spans="1:3">
      <c r="A227" s="1">
        <v>1978</v>
      </c>
      <c r="B227" s="1" t="s">
        <v>253</v>
      </c>
      <c r="C227" s="1">
        <v>0.65408097540619248</v>
      </c>
    </row>
    <row r="228" spans="1:3">
      <c r="A228" s="1">
        <v>1978</v>
      </c>
      <c r="B228" s="1" t="s">
        <v>254</v>
      </c>
      <c r="C228" s="1">
        <v>0.68311092161007347</v>
      </c>
    </row>
    <row r="229" spans="1:3">
      <c r="A229" s="1">
        <v>1978</v>
      </c>
      <c r="B229" s="1" t="s">
        <v>255</v>
      </c>
      <c r="C229" s="1">
        <v>0.6717710988741824</v>
      </c>
    </row>
    <row r="230" spans="1:3">
      <c r="A230" s="1">
        <v>1978</v>
      </c>
      <c r="B230" s="1" t="s">
        <v>256</v>
      </c>
      <c r="C230" s="1">
        <v>0.69535793016483571</v>
      </c>
    </row>
    <row r="231" spans="1:3">
      <c r="A231" s="1">
        <v>1979</v>
      </c>
      <c r="B231" s="1" t="s">
        <v>257</v>
      </c>
      <c r="C231" s="1">
        <v>0.75251063675372631</v>
      </c>
    </row>
    <row r="232" spans="1:3">
      <c r="A232" s="1">
        <v>1979</v>
      </c>
      <c r="B232" s="1" t="s">
        <v>258</v>
      </c>
      <c r="C232" s="1">
        <v>0.8817846159428836</v>
      </c>
    </row>
    <row r="233" spans="1:3">
      <c r="A233" s="1">
        <v>1979</v>
      </c>
      <c r="B233" s="1" t="s">
        <v>259</v>
      </c>
      <c r="C233" s="1">
        <v>0.92986546434306139</v>
      </c>
    </row>
    <row r="234" spans="1:3">
      <c r="A234" s="1">
        <v>1979</v>
      </c>
      <c r="B234" s="1" t="s">
        <v>260</v>
      </c>
      <c r="C234" s="1">
        <v>0.95254510981484342</v>
      </c>
    </row>
    <row r="235" spans="1:3">
      <c r="A235" s="1">
        <v>1979</v>
      </c>
      <c r="B235" s="1" t="s">
        <v>261</v>
      </c>
      <c r="C235" s="1">
        <v>0.87361994357304207</v>
      </c>
    </row>
    <row r="236" spans="1:3">
      <c r="A236" s="1">
        <v>1979</v>
      </c>
      <c r="B236" s="1" t="s">
        <v>262</v>
      </c>
      <c r="C236" s="1">
        <v>0.85184748392013143</v>
      </c>
    </row>
    <row r="237" spans="1:3">
      <c r="A237" s="1">
        <v>1979</v>
      </c>
      <c r="B237" s="1" t="s">
        <v>263</v>
      </c>
      <c r="C237" s="1">
        <v>0.82281753771625044</v>
      </c>
    </row>
    <row r="238" spans="1:3">
      <c r="A238" s="1">
        <v>1979</v>
      </c>
      <c r="B238" s="1" t="s">
        <v>264</v>
      </c>
      <c r="C238" s="1">
        <v>0.8962995890448241</v>
      </c>
    </row>
    <row r="239" spans="1:3">
      <c r="A239" s="1">
        <v>1979</v>
      </c>
      <c r="B239" s="1" t="s">
        <v>265</v>
      </c>
      <c r="C239" s="1">
        <v>0.95073073817710085</v>
      </c>
    </row>
    <row r="240" spans="1:3">
      <c r="A240" s="1">
        <v>1979</v>
      </c>
      <c r="B240" s="1" t="s">
        <v>266</v>
      </c>
      <c r="C240" s="1">
        <v>0.94165887998838804</v>
      </c>
    </row>
    <row r="241" spans="1:3">
      <c r="A241" s="1">
        <v>1979</v>
      </c>
      <c r="B241" s="1" t="s">
        <v>267</v>
      </c>
      <c r="C241" s="1">
        <v>0.94800918072048701</v>
      </c>
    </row>
    <row r="242" spans="1:3">
      <c r="A242" s="1">
        <v>1979</v>
      </c>
      <c r="B242" s="1" t="s">
        <v>268</v>
      </c>
      <c r="C242" s="1">
        <v>1.0042547014905063</v>
      </c>
    </row>
    <row r="243" spans="1:3">
      <c r="A243" s="1">
        <v>1980</v>
      </c>
      <c r="B243" s="1" t="s">
        <v>269</v>
      </c>
      <c r="C243" s="1">
        <v>1.1797951574420988</v>
      </c>
    </row>
    <row r="244" spans="1:3">
      <c r="A244" s="1">
        <v>1980</v>
      </c>
      <c r="B244" s="1" t="s">
        <v>270</v>
      </c>
      <c r="C244" s="1">
        <v>1.3235841097331966</v>
      </c>
    </row>
    <row r="245" spans="1:3">
      <c r="A245" s="1">
        <v>1980</v>
      </c>
      <c r="B245" s="1" t="s">
        <v>271</v>
      </c>
      <c r="C245" s="1">
        <v>1.0459852491585853</v>
      </c>
    </row>
    <row r="246" spans="1:3">
      <c r="A246" s="1">
        <v>1980</v>
      </c>
      <c r="B246" s="1" t="s">
        <v>272</v>
      </c>
      <c r="C246" s="1">
        <v>0.9389373225317742</v>
      </c>
    </row>
    <row r="247" spans="1:3">
      <c r="A247" s="1">
        <v>1980</v>
      </c>
      <c r="B247" s="1" t="s">
        <v>273</v>
      </c>
      <c r="C247" s="1">
        <v>0.92396875652039812</v>
      </c>
    </row>
    <row r="248" spans="1:3">
      <c r="A248" s="1">
        <v>1980</v>
      </c>
      <c r="B248" s="1" t="s">
        <v>274</v>
      </c>
      <c r="C248" s="1">
        <v>0.90990737632789331</v>
      </c>
    </row>
    <row r="249" spans="1:3">
      <c r="A249" s="1">
        <v>1980</v>
      </c>
      <c r="B249" s="1" t="s">
        <v>275</v>
      </c>
      <c r="C249" s="1">
        <v>0.98701817093195199</v>
      </c>
    </row>
    <row r="250" spans="1:3">
      <c r="A250" s="1">
        <v>1980</v>
      </c>
      <c r="B250" s="1" t="s">
        <v>276</v>
      </c>
      <c r="C250" s="1">
        <v>0.94438043744500189</v>
      </c>
    </row>
    <row r="251" spans="1:3">
      <c r="A251" s="1">
        <v>1980</v>
      </c>
      <c r="B251" s="1" t="s">
        <v>277</v>
      </c>
      <c r="C251" s="1">
        <v>0.93440139343741779</v>
      </c>
    </row>
    <row r="252" spans="1:3">
      <c r="A252" s="1">
        <v>1980</v>
      </c>
      <c r="B252" s="1" t="s">
        <v>278</v>
      </c>
      <c r="C252" s="1">
        <v>0.92532953524870509</v>
      </c>
    </row>
    <row r="253" spans="1:3">
      <c r="A253" s="1">
        <v>1980</v>
      </c>
      <c r="B253" s="1" t="s">
        <v>279</v>
      </c>
      <c r="C253" s="1">
        <v>0.91172174796563588</v>
      </c>
    </row>
    <row r="254" spans="1:3">
      <c r="A254" s="1">
        <v>1980</v>
      </c>
      <c r="B254" s="1" t="s">
        <v>280</v>
      </c>
      <c r="C254" s="1">
        <v>0.85230107682956702</v>
      </c>
    </row>
    <row r="255" spans="1:3">
      <c r="A255" s="1">
        <v>1981</v>
      </c>
      <c r="B255" s="1" t="s">
        <v>281</v>
      </c>
      <c r="C255" s="1">
        <v>0.84776514773521061</v>
      </c>
    </row>
    <row r="256" spans="1:3">
      <c r="A256" s="1">
        <v>1981</v>
      </c>
      <c r="B256" s="1" t="s">
        <v>282</v>
      </c>
      <c r="C256" s="1">
        <v>0.81692082989358716</v>
      </c>
    </row>
    <row r="257" spans="1:3">
      <c r="A257" s="1">
        <v>1981</v>
      </c>
      <c r="B257" s="1" t="s">
        <v>283</v>
      </c>
      <c r="C257" s="1">
        <v>0.824631909353993</v>
      </c>
    </row>
    <row r="258" spans="1:3">
      <c r="A258" s="1">
        <v>1981</v>
      </c>
      <c r="B258" s="1" t="s">
        <v>284</v>
      </c>
      <c r="C258" s="1">
        <v>0.82599268808229998</v>
      </c>
    </row>
    <row r="259" spans="1:3">
      <c r="A259" s="1">
        <v>1981</v>
      </c>
      <c r="B259" s="1" t="s">
        <v>285</v>
      </c>
      <c r="C259" s="1">
        <v>0.79015884823688443</v>
      </c>
    </row>
    <row r="260" spans="1:3">
      <c r="A260" s="1">
        <v>1981</v>
      </c>
      <c r="B260" s="1" t="s">
        <v>286</v>
      </c>
      <c r="C260" s="1">
        <v>0.77110794604058752</v>
      </c>
    </row>
    <row r="261" spans="1:3">
      <c r="A261" s="1">
        <v>1981</v>
      </c>
      <c r="B261" s="1" t="s">
        <v>287</v>
      </c>
      <c r="C261" s="1">
        <v>0.76294327367074599</v>
      </c>
    </row>
    <row r="262" spans="1:3">
      <c r="A262" s="1">
        <v>1981</v>
      </c>
      <c r="B262" s="1" t="s">
        <v>288</v>
      </c>
      <c r="C262" s="1">
        <v>0.8105705291614882</v>
      </c>
    </row>
    <row r="263" spans="1:3">
      <c r="A263" s="1">
        <v>1981</v>
      </c>
      <c r="B263" s="1" t="s">
        <v>289</v>
      </c>
      <c r="C263" s="1">
        <v>0.77564387513494393</v>
      </c>
    </row>
    <row r="264" spans="1:3">
      <c r="A264" s="1">
        <v>1981</v>
      </c>
      <c r="B264" s="1" t="s">
        <v>290</v>
      </c>
      <c r="C264" s="1">
        <v>0.75568578711977574</v>
      </c>
    </row>
    <row r="265" spans="1:3">
      <c r="A265" s="1">
        <v>1981</v>
      </c>
      <c r="B265" s="1" t="s">
        <v>291</v>
      </c>
      <c r="C265" s="1">
        <v>0.74888189347824119</v>
      </c>
    </row>
    <row r="266" spans="1:3">
      <c r="A266" s="1">
        <v>1981</v>
      </c>
      <c r="B266" s="1" t="s">
        <v>292</v>
      </c>
      <c r="C266" s="1">
        <v>0.75069626511598375</v>
      </c>
    </row>
    <row r="267" spans="1:3">
      <c r="A267" s="1">
        <v>1982</v>
      </c>
      <c r="B267" s="1" t="s">
        <v>293</v>
      </c>
      <c r="C267" s="1">
        <v>0.73073817710081557</v>
      </c>
    </row>
    <row r="268" spans="1:3">
      <c r="A268" s="1">
        <v>1982</v>
      </c>
      <c r="B268" s="1" t="s">
        <v>294</v>
      </c>
      <c r="C268" s="1">
        <v>0.72484146927815229</v>
      </c>
    </row>
    <row r="269" spans="1:3">
      <c r="A269" s="1">
        <v>1982</v>
      </c>
      <c r="B269" s="1" t="s">
        <v>295</v>
      </c>
      <c r="C269" s="1">
        <v>0.68492529324781604</v>
      </c>
    </row>
    <row r="270" spans="1:3">
      <c r="A270" s="1">
        <v>1982</v>
      </c>
      <c r="B270" s="1" t="s">
        <v>296</v>
      </c>
      <c r="C270" s="1">
        <v>0.69036840816104361</v>
      </c>
    </row>
    <row r="271" spans="1:3">
      <c r="A271" s="1">
        <v>1982</v>
      </c>
      <c r="B271" s="1" t="s">
        <v>297</v>
      </c>
      <c r="C271" s="1">
        <v>0.69308996561765746</v>
      </c>
    </row>
    <row r="272" spans="1:3">
      <c r="A272" s="1">
        <v>1982</v>
      </c>
      <c r="B272" s="1" t="s">
        <v>298</v>
      </c>
      <c r="C272" s="1">
        <v>0.58967078226633163</v>
      </c>
    </row>
    <row r="273" spans="1:3">
      <c r="A273" s="1">
        <v>1982</v>
      </c>
      <c r="B273" s="1" t="s">
        <v>299</v>
      </c>
      <c r="C273" s="1">
        <v>0.65362738249675689</v>
      </c>
    </row>
    <row r="274" spans="1:3">
      <c r="A274" s="1">
        <v>1982</v>
      </c>
      <c r="B274" s="1" t="s">
        <v>300</v>
      </c>
      <c r="C274" s="1">
        <v>0.65861690450054888</v>
      </c>
    </row>
    <row r="275" spans="1:3">
      <c r="A275" s="1">
        <v>1982</v>
      </c>
      <c r="B275" s="1" t="s">
        <v>301</v>
      </c>
      <c r="C275" s="1">
        <v>0.64727708176465792</v>
      </c>
    </row>
    <row r="276" spans="1:3">
      <c r="A276" s="1">
        <v>1982</v>
      </c>
      <c r="B276" s="1" t="s">
        <v>302</v>
      </c>
      <c r="C276" s="1">
        <v>0.66269924068546959</v>
      </c>
    </row>
    <row r="277" spans="1:3">
      <c r="A277" s="1">
        <v>1982</v>
      </c>
      <c r="B277" s="1" t="s">
        <v>303</v>
      </c>
      <c r="C277" s="1">
        <v>0.65498816122506376</v>
      </c>
    </row>
    <row r="278" spans="1:3">
      <c r="A278" s="1">
        <v>1982</v>
      </c>
      <c r="B278" s="1" t="s">
        <v>304</v>
      </c>
      <c r="C278" s="1">
        <v>0.66814235559869728</v>
      </c>
    </row>
    <row r="279" spans="1:3">
      <c r="A279" s="1">
        <v>1983</v>
      </c>
      <c r="B279" s="1" t="s">
        <v>305</v>
      </c>
      <c r="C279" s="1">
        <v>0.71304805363282564</v>
      </c>
    </row>
    <row r="280" spans="1:3">
      <c r="A280" s="1">
        <v>1983</v>
      </c>
      <c r="B280" s="1" t="s">
        <v>306</v>
      </c>
      <c r="C280" s="1">
        <v>0.74706752184049863</v>
      </c>
    </row>
    <row r="281" spans="1:3">
      <c r="A281" s="1">
        <v>1983</v>
      </c>
      <c r="B281" s="1" t="s">
        <v>307</v>
      </c>
      <c r="C281" s="1">
        <v>0.72484146927815229</v>
      </c>
    </row>
    <row r="282" spans="1:3">
      <c r="A282" s="1">
        <v>1983</v>
      </c>
      <c r="B282" s="1" t="s">
        <v>308</v>
      </c>
      <c r="C282" s="1">
        <v>0.75976812330469656</v>
      </c>
    </row>
    <row r="283" spans="1:3">
      <c r="A283" s="1">
        <v>1983</v>
      </c>
      <c r="B283" s="1" t="s">
        <v>309</v>
      </c>
      <c r="C283" s="1">
        <v>0.8010450780633398</v>
      </c>
    </row>
    <row r="284" spans="1:3">
      <c r="A284" s="1">
        <v>1983</v>
      </c>
      <c r="B284" s="1" t="s">
        <v>310</v>
      </c>
      <c r="C284" s="1">
        <v>0.77156153895002322</v>
      </c>
    </row>
    <row r="285" spans="1:3">
      <c r="A285" s="1">
        <v>1983</v>
      </c>
      <c r="B285" s="1" t="s">
        <v>311</v>
      </c>
      <c r="C285" s="1">
        <v>0.77292231767833008</v>
      </c>
    </row>
    <row r="286" spans="1:3">
      <c r="A286" s="1">
        <v>1983</v>
      </c>
      <c r="B286" s="1" t="s">
        <v>312</v>
      </c>
      <c r="C286" s="1">
        <v>0.7438923714744492</v>
      </c>
    </row>
    <row r="287" spans="1:3">
      <c r="A287" s="1">
        <v>1983</v>
      </c>
      <c r="B287" s="1" t="s">
        <v>313</v>
      </c>
      <c r="C287" s="1">
        <v>0.70805853162903365</v>
      </c>
    </row>
    <row r="288" spans="1:3">
      <c r="A288" s="1">
        <v>1983</v>
      </c>
      <c r="B288" s="1" t="s">
        <v>314</v>
      </c>
      <c r="C288" s="1">
        <v>0.65090582504014305</v>
      </c>
    </row>
    <row r="289" spans="1:3">
      <c r="A289" s="1">
        <v>1983</v>
      </c>
      <c r="B289" s="1" t="s">
        <v>315</v>
      </c>
      <c r="C289" s="1">
        <v>0.63004055120610358</v>
      </c>
    </row>
    <row r="290" spans="1:3">
      <c r="A290" s="1">
        <v>1983</v>
      </c>
      <c r="B290" s="1" t="s">
        <v>316</v>
      </c>
      <c r="C290" s="1">
        <v>0.64183396685143024</v>
      </c>
    </row>
    <row r="291" spans="1:3">
      <c r="A291" s="1">
        <v>1984</v>
      </c>
      <c r="B291" s="1" t="s">
        <v>317</v>
      </c>
      <c r="C291" s="1">
        <v>0.62414384338344031</v>
      </c>
    </row>
    <row r="292" spans="1:3">
      <c r="A292" s="1">
        <v>1984</v>
      </c>
      <c r="B292" s="1" t="s">
        <v>318</v>
      </c>
      <c r="C292" s="1">
        <v>0.64863786049296479</v>
      </c>
    </row>
    <row r="293" spans="1:3">
      <c r="A293" s="1">
        <v>1984</v>
      </c>
      <c r="B293" s="1" t="s">
        <v>319</v>
      </c>
      <c r="C293" s="1">
        <v>0.68084295706289522</v>
      </c>
    </row>
    <row r="294" spans="1:3">
      <c r="A294" s="1">
        <v>1984</v>
      </c>
      <c r="B294" s="1" t="s">
        <v>320</v>
      </c>
      <c r="C294" s="1">
        <v>0.69535793016483571</v>
      </c>
    </row>
    <row r="295" spans="1:3">
      <c r="A295" s="1">
        <v>1984</v>
      </c>
      <c r="B295" s="1" t="s">
        <v>321</v>
      </c>
      <c r="C295" s="1">
        <v>0.64455552430804408</v>
      </c>
    </row>
    <row r="296" spans="1:3">
      <c r="A296" s="1">
        <v>1984</v>
      </c>
      <c r="B296" s="1" t="s">
        <v>322</v>
      </c>
      <c r="C296" s="1">
        <v>0.62006150719851949</v>
      </c>
    </row>
    <row r="297" spans="1:3">
      <c r="A297" s="1">
        <v>1984</v>
      </c>
      <c r="B297" s="1" t="s">
        <v>323</v>
      </c>
      <c r="C297" s="1">
        <v>0.60373216245883643</v>
      </c>
    </row>
    <row r="298" spans="1:3">
      <c r="A298" s="1">
        <v>1984</v>
      </c>
      <c r="B298" s="1" t="s">
        <v>324</v>
      </c>
      <c r="C298" s="1">
        <v>0.60690731282488597</v>
      </c>
    </row>
    <row r="299" spans="1:3">
      <c r="A299" s="1">
        <v>1984</v>
      </c>
      <c r="B299" s="1" t="s">
        <v>325</v>
      </c>
      <c r="C299" s="1">
        <v>0.58694922480971778</v>
      </c>
    </row>
    <row r="300" spans="1:3">
      <c r="A300" s="1">
        <v>1984</v>
      </c>
      <c r="B300" s="1" t="s">
        <v>326</v>
      </c>
      <c r="C300" s="1">
        <v>0.57742377371156939</v>
      </c>
    </row>
    <row r="301" spans="1:3">
      <c r="A301" s="1">
        <v>1984</v>
      </c>
      <c r="B301" s="1" t="s">
        <v>327</v>
      </c>
      <c r="C301" s="1">
        <v>0.6100824631909354</v>
      </c>
    </row>
    <row r="302" spans="1:3">
      <c r="A302" s="1">
        <v>1984</v>
      </c>
      <c r="B302" s="1" t="s">
        <v>328</v>
      </c>
      <c r="C302" s="1">
        <v>0.59919623336448002</v>
      </c>
    </row>
    <row r="303" spans="1:3">
      <c r="A303" s="1">
        <v>1985</v>
      </c>
      <c r="B303" s="1" t="s">
        <v>329</v>
      </c>
      <c r="C303" s="1">
        <v>0.61643276392303437</v>
      </c>
    </row>
    <row r="304" spans="1:3">
      <c r="A304" s="1">
        <v>1985</v>
      </c>
      <c r="B304" s="1" t="s">
        <v>330</v>
      </c>
      <c r="C304" s="1">
        <v>0.63004055120610358</v>
      </c>
    </row>
    <row r="305" spans="1:3">
      <c r="A305" s="1">
        <v>1985</v>
      </c>
      <c r="B305" s="1" t="s">
        <v>331</v>
      </c>
      <c r="C305" s="1">
        <v>0.63049414411553917</v>
      </c>
    </row>
    <row r="306" spans="1:3">
      <c r="A306" s="1">
        <v>1985</v>
      </c>
      <c r="B306" s="1" t="s">
        <v>332</v>
      </c>
      <c r="C306" s="1">
        <v>0.68129654997233091</v>
      </c>
    </row>
    <row r="307" spans="1:3">
      <c r="A307" s="1">
        <v>1985</v>
      </c>
      <c r="B307" s="1" t="s">
        <v>333</v>
      </c>
      <c r="C307" s="1">
        <v>0.69445074434596443</v>
      </c>
    </row>
    <row r="308" spans="1:3">
      <c r="A308" s="1">
        <v>1985</v>
      </c>
      <c r="B308" s="1" t="s">
        <v>334</v>
      </c>
      <c r="C308" s="1">
        <v>0.64954504631183607</v>
      </c>
    </row>
    <row r="309" spans="1:3">
      <c r="A309" s="1">
        <v>1985</v>
      </c>
      <c r="B309" s="1" t="s">
        <v>335</v>
      </c>
      <c r="C309" s="1">
        <v>0.66904954141756856</v>
      </c>
    </row>
    <row r="310" spans="1:3">
      <c r="A310" s="1">
        <v>1985</v>
      </c>
      <c r="B310" s="1" t="s">
        <v>336</v>
      </c>
      <c r="C310" s="1">
        <v>0.64410193139860838</v>
      </c>
    </row>
    <row r="311" spans="1:3">
      <c r="A311" s="1">
        <v>1985</v>
      </c>
      <c r="B311" s="1" t="s">
        <v>337</v>
      </c>
      <c r="C311" s="1">
        <v>0.61960791428908391</v>
      </c>
    </row>
    <row r="312" spans="1:3">
      <c r="A312" s="1">
        <v>1985</v>
      </c>
      <c r="B312" s="1" t="s">
        <v>338</v>
      </c>
      <c r="C312" s="1">
        <v>0.62822617956836102</v>
      </c>
    </row>
    <row r="313" spans="1:3">
      <c r="A313" s="1">
        <v>1985</v>
      </c>
      <c r="B313" s="1" t="s">
        <v>339</v>
      </c>
      <c r="C313" s="1">
        <v>0.62142228592682647</v>
      </c>
    </row>
    <row r="314" spans="1:3">
      <c r="A314" s="1">
        <v>1985</v>
      </c>
      <c r="B314" s="1" t="s">
        <v>340</v>
      </c>
      <c r="C314" s="1">
        <v>0.63094773702497486</v>
      </c>
    </row>
    <row r="315" spans="1:3">
      <c r="A315" s="1">
        <v>1986</v>
      </c>
      <c r="B315" s="1" t="s">
        <v>341</v>
      </c>
      <c r="C315" s="1">
        <v>0.6431947455797371</v>
      </c>
    </row>
    <row r="316" spans="1:3">
      <c r="A316" s="1">
        <v>1986</v>
      </c>
      <c r="B316" s="1" t="s">
        <v>342</v>
      </c>
      <c r="C316" s="1">
        <v>0.63775163066650942</v>
      </c>
    </row>
    <row r="317" spans="1:3">
      <c r="A317" s="1">
        <v>1986</v>
      </c>
      <c r="B317" s="1" t="s">
        <v>343</v>
      </c>
      <c r="C317" s="1">
        <v>0.65544175413449945</v>
      </c>
    </row>
    <row r="318" spans="1:3">
      <c r="A318" s="1">
        <v>1986</v>
      </c>
      <c r="B318" s="1" t="s">
        <v>344</v>
      </c>
      <c r="C318" s="1">
        <v>0.65090582504014305</v>
      </c>
    </row>
    <row r="319" spans="1:3">
      <c r="A319" s="1">
        <v>1986</v>
      </c>
      <c r="B319" s="1" t="s">
        <v>345</v>
      </c>
      <c r="C319" s="1">
        <v>0.6436483384891728</v>
      </c>
    </row>
    <row r="320" spans="1:3">
      <c r="A320" s="1">
        <v>1986</v>
      </c>
      <c r="B320" s="1" t="s">
        <v>346</v>
      </c>
      <c r="C320" s="1">
        <v>0.64092678103255896</v>
      </c>
    </row>
    <row r="321" spans="1:3">
      <c r="A321" s="1">
        <v>1986</v>
      </c>
      <c r="B321" s="1" t="s">
        <v>347</v>
      </c>
      <c r="C321" s="1">
        <v>0.60962887028149981</v>
      </c>
    </row>
    <row r="322" spans="1:3">
      <c r="A322" s="1">
        <v>1986</v>
      </c>
      <c r="B322" s="1" t="s">
        <v>348</v>
      </c>
      <c r="C322" s="1">
        <v>0.59103156099463861</v>
      </c>
    </row>
    <row r="323" spans="1:3">
      <c r="A323" s="1">
        <v>1986</v>
      </c>
      <c r="B323" s="1" t="s">
        <v>349</v>
      </c>
      <c r="C323" s="1">
        <v>0.61098964900980668</v>
      </c>
    </row>
    <row r="324" spans="1:3">
      <c r="A324" s="1">
        <v>1986</v>
      </c>
      <c r="B324" s="1" t="s">
        <v>350</v>
      </c>
      <c r="C324" s="1">
        <v>0.59738186172673746</v>
      </c>
    </row>
    <row r="325" spans="1:3">
      <c r="A325" s="1">
        <v>1986</v>
      </c>
      <c r="B325" s="1" t="s">
        <v>351</v>
      </c>
      <c r="C325" s="1">
        <v>0.59103156099463861</v>
      </c>
    </row>
    <row r="326" spans="1:3">
      <c r="A326" s="1">
        <v>1986</v>
      </c>
      <c r="B326" s="1" t="s">
        <v>352</v>
      </c>
      <c r="C326" s="1">
        <v>0.60600012700601469</v>
      </c>
    </row>
    <row r="327" spans="1:3">
      <c r="A327" s="1">
        <v>1987</v>
      </c>
      <c r="B327" s="1" t="s">
        <v>353</v>
      </c>
      <c r="C327" s="1">
        <v>0.61053605610037109</v>
      </c>
    </row>
    <row r="328" spans="1:3">
      <c r="A328" s="1">
        <v>1987</v>
      </c>
      <c r="B328" s="1" t="s">
        <v>354</v>
      </c>
      <c r="C328" s="1">
        <v>0.62595821502118287</v>
      </c>
    </row>
    <row r="329" spans="1:3">
      <c r="A329" s="1">
        <v>1987</v>
      </c>
      <c r="B329" s="1" t="s">
        <v>355</v>
      </c>
      <c r="C329" s="1">
        <v>0.66496720523264785</v>
      </c>
    </row>
    <row r="330" spans="1:3">
      <c r="A330" s="1">
        <v>1987</v>
      </c>
      <c r="B330" s="1" t="s">
        <v>356</v>
      </c>
      <c r="C330" s="1">
        <v>0.67313187760248938</v>
      </c>
    </row>
    <row r="331" spans="1:3">
      <c r="A331" s="1">
        <v>1987</v>
      </c>
      <c r="B331" s="1" t="s">
        <v>357</v>
      </c>
      <c r="C331" s="1">
        <v>0.68946122234217233</v>
      </c>
    </row>
    <row r="332" spans="1:3">
      <c r="A332" s="1">
        <v>1987</v>
      </c>
      <c r="B332" s="1" t="s">
        <v>358</v>
      </c>
      <c r="C332" s="1">
        <v>0.71304805363282564</v>
      </c>
    </row>
    <row r="333" spans="1:3">
      <c r="A333" s="1">
        <v>1987</v>
      </c>
      <c r="B333" s="1" t="s">
        <v>359</v>
      </c>
      <c r="C333" s="1">
        <v>0.76883998149340937</v>
      </c>
    </row>
    <row r="334" spans="1:3">
      <c r="A334" s="1">
        <v>1987</v>
      </c>
      <c r="B334" s="1" t="s">
        <v>360</v>
      </c>
      <c r="C334" s="1">
        <v>0.79650914896898339</v>
      </c>
    </row>
    <row r="335" spans="1:3">
      <c r="A335" s="1">
        <v>1987</v>
      </c>
      <c r="B335" s="1" t="s">
        <v>361</v>
      </c>
      <c r="C335" s="1">
        <v>0.82145675898794357</v>
      </c>
    </row>
    <row r="336" spans="1:3">
      <c r="A336" s="1">
        <v>1987</v>
      </c>
      <c r="B336" s="1" t="s">
        <v>362</v>
      </c>
      <c r="C336" s="1">
        <v>0.89221725285990339</v>
      </c>
    </row>
    <row r="337" spans="1:3">
      <c r="A337" s="1">
        <v>1987</v>
      </c>
      <c r="B337" s="1" t="s">
        <v>363</v>
      </c>
      <c r="C337" s="1">
        <v>1.1448685034155546</v>
      </c>
    </row>
    <row r="338" spans="1:3">
      <c r="A338" s="1">
        <v>1987</v>
      </c>
      <c r="B338" s="1" t="s">
        <v>364</v>
      </c>
      <c r="C338" s="1">
        <v>1.3013580571708503</v>
      </c>
    </row>
    <row r="339" spans="1:3">
      <c r="A339" s="1">
        <v>1988</v>
      </c>
      <c r="B339" s="1" t="s">
        <v>365</v>
      </c>
      <c r="C339" s="1">
        <v>1.2079179178271087</v>
      </c>
    </row>
    <row r="340" spans="1:3">
      <c r="A340" s="1">
        <v>1988</v>
      </c>
      <c r="B340" s="1" t="s">
        <v>366</v>
      </c>
      <c r="C340" s="1">
        <v>1.0568714789850406</v>
      </c>
    </row>
    <row r="341" spans="1:3">
      <c r="A341" s="1">
        <v>1988</v>
      </c>
      <c r="B341" s="1" t="s">
        <v>367</v>
      </c>
      <c r="C341" s="1">
        <v>1.0700256733586742</v>
      </c>
    </row>
    <row r="342" spans="1:3">
      <c r="A342" s="1">
        <v>1988</v>
      </c>
      <c r="B342" s="1" t="s">
        <v>368</v>
      </c>
      <c r="C342" s="1">
        <v>1.0369133909698725</v>
      </c>
    </row>
    <row r="343" spans="1:3">
      <c r="A343" s="1">
        <v>1988</v>
      </c>
      <c r="B343" s="1" t="s">
        <v>369</v>
      </c>
      <c r="C343" s="1">
        <v>1.1103954422984461</v>
      </c>
    </row>
    <row r="344" spans="1:3">
      <c r="A344" s="1">
        <v>1988</v>
      </c>
      <c r="B344" s="1" t="s">
        <v>370</v>
      </c>
      <c r="C344" s="1">
        <v>1.1521259899665248</v>
      </c>
    </row>
    <row r="345" spans="1:3">
      <c r="A345" s="1">
        <v>1988</v>
      </c>
      <c r="B345" s="1" t="s">
        <v>371</v>
      </c>
      <c r="C345" s="1">
        <v>1.0042547014905063</v>
      </c>
    </row>
    <row r="346" spans="1:3">
      <c r="A346" s="1">
        <v>1988</v>
      </c>
      <c r="B346" s="1" t="s">
        <v>372</v>
      </c>
      <c r="C346" s="1">
        <v>0.99835799366784306</v>
      </c>
    </row>
    <row r="347" spans="1:3">
      <c r="A347" s="1">
        <v>1988</v>
      </c>
      <c r="B347" s="1" t="s">
        <v>373</v>
      </c>
      <c r="C347" s="1">
        <v>1.1049523273852184</v>
      </c>
    </row>
    <row r="348" spans="1:3">
      <c r="A348" s="1">
        <v>1988</v>
      </c>
      <c r="B348" s="1" t="s">
        <v>374</v>
      </c>
      <c r="C348" s="1">
        <v>1.3335631537407808</v>
      </c>
    </row>
    <row r="349" spans="1:3">
      <c r="A349" s="1">
        <v>1988</v>
      </c>
      <c r="B349" s="1" t="s">
        <v>375</v>
      </c>
      <c r="C349" s="1">
        <v>1.4991245656847894</v>
      </c>
    </row>
    <row r="350" spans="1:3">
      <c r="A350" s="1">
        <v>1988</v>
      </c>
      <c r="B350" s="1" t="s">
        <v>376</v>
      </c>
      <c r="C350" s="1">
        <v>1.5871215901153033</v>
      </c>
    </row>
    <row r="351" spans="1:3">
      <c r="A351" s="1">
        <v>1989</v>
      </c>
      <c r="B351" s="1" t="s">
        <v>377</v>
      </c>
      <c r="C351" s="1">
        <v>1.5394943346245613</v>
      </c>
    </row>
    <row r="352" spans="1:3">
      <c r="A352" s="1">
        <v>1989</v>
      </c>
      <c r="B352" s="1" t="s">
        <v>378</v>
      </c>
      <c r="C352" s="1">
        <v>1.4047772405221761</v>
      </c>
    </row>
    <row r="353" spans="1:3">
      <c r="A353" s="1">
        <v>1989</v>
      </c>
      <c r="B353" s="1" t="s">
        <v>379</v>
      </c>
      <c r="C353" s="1">
        <v>1.4805272563979281</v>
      </c>
    </row>
    <row r="354" spans="1:3">
      <c r="A354" s="1">
        <v>1989</v>
      </c>
      <c r="B354" s="1" t="s">
        <v>380</v>
      </c>
      <c r="C354" s="1">
        <v>1.4143026916203247</v>
      </c>
    </row>
    <row r="355" spans="1:3">
      <c r="A355" s="1">
        <v>1989</v>
      </c>
      <c r="B355" s="1" t="s">
        <v>381</v>
      </c>
      <c r="C355" s="1">
        <v>1.2423909789442171</v>
      </c>
    </row>
    <row r="356" spans="1:3">
      <c r="A356" s="1">
        <v>1989</v>
      </c>
      <c r="B356" s="1" t="s">
        <v>382</v>
      </c>
      <c r="C356" s="1">
        <v>1.1548475474231388</v>
      </c>
    </row>
    <row r="357" spans="1:3">
      <c r="A357" s="1">
        <v>1989</v>
      </c>
      <c r="B357" s="1" t="s">
        <v>383</v>
      </c>
      <c r="C357" s="1">
        <v>1.1362502381362776</v>
      </c>
    </row>
    <row r="358" spans="1:3">
      <c r="A358" s="1">
        <v>1989</v>
      </c>
      <c r="B358" s="1" t="s">
        <v>384</v>
      </c>
      <c r="C358" s="1">
        <v>1.2528236158612369</v>
      </c>
    </row>
    <row r="359" spans="1:3">
      <c r="A359" s="1">
        <v>1989</v>
      </c>
      <c r="B359" s="1" t="s">
        <v>385</v>
      </c>
      <c r="C359" s="1">
        <v>1.308161950812385</v>
      </c>
    </row>
    <row r="360" spans="1:3">
      <c r="A360" s="1">
        <v>1989</v>
      </c>
      <c r="B360" s="1" t="s">
        <v>386</v>
      </c>
      <c r="C360" s="1">
        <v>1.2977293138953652</v>
      </c>
    </row>
    <row r="361" spans="1:3">
      <c r="A361" s="1">
        <v>1989</v>
      </c>
      <c r="B361" s="1" t="s">
        <v>387</v>
      </c>
      <c r="C361" s="1">
        <v>1.1752592283477425</v>
      </c>
    </row>
    <row r="362" spans="1:3">
      <c r="A362" s="1">
        <v>1989</v>
      </c>
      <c r="B362" s="1" t="s">
        <v>388</v>
      </c>
      <c r="C362" s="1">
        <v>1.0972412479248126</v>
      </c>
    </row>
    <row r="363" spans="1:3">
      <c r="A363" s="1">
        <v>1990</v>
      </c>
      <c r="B363" s="1" t="s">
        <v>389</v>
      </c>
      <c r="C363" s="1">
        <v>1.0736544166341593</v>
      </c>
    </row>
    <row r="364" spans="1:3">
      <c r="A364" s="1">
        <v>1990</v>
      </c>
      <c r="B364" s="1" t="s">
        <v>390</v>
      </c>
      <c r="C364" s="1">
        <v>1.0704792662681097</v>
      </c>
    </row>
    <row r="365" spans="1:3">
      <c r="A365" s="1">
        <v>1990</v>
      </c>
      <c r="B365" s="1" t="s">
        <v>391</v>
      </c>
      <c r="C365" s="1">
        <v>1.19113498017799</v>
      </c>
    </row>
    <row r="366" spans="1:3">
      <c r="A366" s="1">
        <v>1990</v>
      </c>
      <c r="B366" s="1" t="s">
        <v>392</v>
      </c>
      <c r="C366" s="1">
        <v>1.2183505547441282</v>
      </c>
    </row>
    <row r="367" spans="1:3">
      <c r="A367" s="1">
        <v>1990</v>
      </c>
      <c r="B367" s="1" t="s">
        <v>393</v>
      </c>
      <c r="C367" s="1">
        <v>1.2437517576725241</v>
      </c>
    </row>
    <row r="368" spans="1:3">
      <c r="A368" s="1">
        <v>1990</v>
      </c>
      <c r="B368" s="1" t="s">
        <v>394</v>
      </c>
      <c r="C368" s="1">
        <v>1.1725376708911286</v>
      </c>
    </row>
    <row r="369" spans="1:3">
      <c r="A369" s="1">
        <v>1990</v>
      </c>
      <c r="B369" s="1" t="s">
        <v>395</v>
      </c>
      <c r="C369" s="1">
        <v>1.2559987662272865</v>
      </c>
    </row>
    <row r="370" spans="1:3">
      <c r="A370" s="1">
        <v>1990</v>
      </c>
      <c r="B370" s="1" t="s">
        <v>396</v>
      </c>
      <c r="C370" s="1">
        <v>1.3412742332011867</v>
      </c>
    </row>
    <row r="371" spans="1:3">
      <c r="A371" s="1">
        <v>1990</v>
      </c>
      <c r="B371" s="1" t="s">
        <v>397</v>
      </c>
      <c r="C371" s="1">
        <v>1.374840108499424</v>
      </c>
    </row>
    <row r="372" spans="1:3">
      <c r="A372" s="1">
        <v>1990</v>
      </c>
      <c r="B372" s="1" t="s">
        <v>398</v>
      </c>
      <c r="C372" s="1">
        <v>1.2446589434913955</v>
      </c>
    </row>
    <row r="373" spans="1:3">
      <c r="A373" s="1">
        <v>1990</v>
      </c>
      <c r="B373" s="1" t="s">
        <v>399</v>
      </c>
      <c r="C373" s="1">
        <v>1.1729912638005644</v>
      </c>
    </row>
    <row r="374" spans="1:3">
      <c r="A374" s="1">
        <v>1990</v>
      </c>
      <c r="B374" s="1" t="s">
        <v>400</v>
      </c>
      <c r="C374" s="1">
        <v>1.1271783799475648</v>
      </c>
    </row>
    <row r="375" spans="1:3">
      <c r="A375" s="1">
        <v>1991</v>
      </c>
      <c r="B375" s="1" t="s">
        <v>401</v>
      </c>
      <c r="C375" s="1">
        <v>1.1108490352078817</v>
      </c>
    </row>
    <row r="376" spans="1:3">
      <c r="A376" s="1">
        <v>1991</v>
      </c>
      <c r="B376" s="1" t="s">
        <v>402</v>
      </c>
      <c r="C376" s="1">
        <v>1.1108490352078817</v>
      </c>
    </row>
    <row r="377" spans="1:3">
      <c r="A377" s="1">
        <v>1991</v>
      </c>
      <c r="B377" s="1" t="s">
        <v>403</v>
      </c>
      <c r="C377" s="1">
        <v>1.0931589117398917</v>
      </c>
    </row>
    <row r="378" spans="1:3">
      <c r="A378" s="1">
        <v>1991</v>
      </c>
      <c r="B378" s="1" t="s">
        <v>404</v>
      </c>
      <c r="C378" s="1">
        <v>1.1212816721249015</v>
      </c>
    </row>
    <row r="379" spans="1:3">
      <c r="A379" s="1">
        <v>1991</v>
      </c>
      <c r="B379" s="1" t="s">
        <v>405</v>
      </c>
      <c r="C379" s="1">
        <v>1.0459852491585853</v>
      </c>
    </row>
    <row r="380" spans="1:3">
      <c r="A380" s="1">
        <v>1991</v>
      </c>
      <c r="B380" s="1" t="s">
        <v>406</v>
      </c>
      <c r="C380" s="1">
        <v>1.0065226660376845</v>
      </c>
    </row>
    <row r="381" spans="1:3">
      <c r="A381" s="1">
        <v>1991</v>
      </c>
      <c r="B381" s="1" t="s">
        <v>407</v>
      </c>
      <c r="C381" s="1">
        <v>1.0142337454980905</v>
      </c>
    </row>
    <row r="382" spans="1:3">
      <c r="A382" s="1">
        <v>1991</v>
      </c>
      <c r="B382" s="1" t="s">
        <v>408</v>
      </c>
      <c r="C382" s="1">
        <v>1.0128729667697836</v>
      </c>
    </row>
    <row r="383" spans="1:3">
      <c r="A383" s="1">
        <v>1991</v>
      </c>
      <c r="B383" s="1" t="s">
        <v>409</v>
      </c>
      <c r="C383" s="1">
        <v>1.0546035144378623</v>
      </c>
    </row>
    <row r="384" spans="1:3">
      <c r="A384" s="1">
        <v>1991</v>
      </c>
      <c r="B384" s="1" t="s">
        <v>410</v>
      </c>
      <c r="C384" s="1">
        <v>1.0722936379058523</v>
      </c>
    </row>
    <row r="385" spans="1:3">
      <c r="A385" s="1">
        <v>1991</v>
      </c>
      <c r="B385" s="1" t="s">
        <v>411</v>
      </c>
      <c r="C385" s="1">
        <v>1.0795511244568226</v>
      </c>
    </row>
    <row r="386" spans="1:3">
      <c r="A386" s="1">
        <v>1991</v>
      </c>
      <c r="B386" s="1" t="s">
        <v>412</v>
      </c>
      <c r="C386" s="1">
        <v>1.008337037675427</v>
      </c>
    </row>
    <row r="387" spans="1:3">
      <c r="A387" s="1">
        <v>1992</v>
      </c>
      <c r="B387" s="1" t="s">
        <v>413</v>
      </c>
      <c r="C387" s="1">
        <v>0.97023523328283334</v>
      </c>
    </row>
    <row r="388" spans="1:3">
      <c r="A388" s="1">
        <v>1992</v>
      </c>
      <c r="B388" s="1" t="s">
        <v>414</v>
      </c>
      <c r="C388" s="1">
        <v>1.0006259582150212</v>
      </c>
    </row>
    <row r="389" spans="1:3">
      <c r="A389" s="1">
        <v>1992</v>
      </c>
      <c r="B389" s="1" t="s">
        <v>415</v>
      </c>
      <c r="C389" s="1">
        <v>1.0101514093131696</v>
      </c>
    </row>
    <row r="390" spans="1:3">
      <c r="A390" s="1">
        <v>1992</v>
      </c>
      <c r="B390" s="1" t="s">
        <v>416</v>
      </c>
      <c r="C390" s="1">
        <v>1.0047082943999419</v>
      </c>
    </row>
    <row r="391" spans="1:3">
      <c r="A391" s="1">
        <v>1992</v>
      </c>
      <c r="B391" s="1" t="s">
        <v>417</v>
      </c>
      <c r="C391" s="1">
        <v>1.0056154802188133</v>
      </c>
    </row>
    <row r="392" spans="1:3">
      <c r="A392" s="1">
        <v>1992</v>
      </c>
      <c r="B392" s="1" t="s">
        <v>418</v>
      </c>
      <c r="C392" s="1">
        <v>1.0428100987925357</v>
      </c>
    </row>
    <row r="393" spans="1:3">
      <c r="A393" s="1">
        <v>1992</v>
      </c>
      <c r="B393" s="1" t="s">
        <v>419</v>
      </c>
      <c r="C393" s="1">
        <v>1.143054131777812</v>
      </c>
    </row>
    <row r="394" spans="1:3">
      <c r="A394" s="1">
        <v>1992</v>
      </c>
      <c r="B394" s="1" t="s">
        <v>420</v>
      </c>
      <c r="C394" s="1">
        <v>1.1439613175966834</v>
      </c>
    </row>
    <row r="395" spans="1:3">
      <c r="A395" s="1">
        <v>1992</v>
      </c>
      <c r="B395" s="1" t="s">
        <v>421</v>
      </c>
      <c r="C395" s="1">
        <v>1.0949732833776342</v>
      </c>
    </row>
    <row r="396" spans="1:3">
      <c r="A396" s="1">
        <v>1992</v>
      </c>
      <c r="B396" s="1" t="s">
        <v>422</v>
      </c>
      <c r="C396" s="1">
        <v>1.0201304533207538</v>
      </c>
    </row>
    <row r="397" spans="1:3">
      <c r="A397" s="1">
        <v>1992</v>
      </c>
      <c r="B397" s="1" t="s">
        <v>423</v>
      </c>
      <c r="C397" s="1">
        <v>0.97885349856211057</v>
      </c>
    </row>
    <row r="398" spans="1:3">
      <c r="A398" s="1">
        <v>1992</v>
      </c>
      <c r="B398" s="1" t="s">
        <v>424</v>
      </c>
      <c r="C398" s="1">
        <v>1.0010795511244568</v>
      </c>
    </row>
    <row r="399" spans="1:3">
      <c r="A399" s="1">
        <v>1993</v>
      </c>
      <c r="B399" s="1" t="s">
        <v>425</v>
      </c>
      <c r="C399" s="1">
        <v>1.0237591965962389</v>
      </c>
    </row>
    <row r="400" spans="1:3">
      <c r="A400" s="1">
        <v>1993</v>
      </c>
      <c r="B400" s="1" t="s">
        <v>426</v>
      </c>
      <c r="C400" s="1">
        <v>1.0038011085810707</v>
      </c>
    </row>
    <row r="401" spans="1:3">
      <c r="A401" s="1">
        <v>1993</v>
      </c>
      <c r="B401" s="1" t="s">
        <v>427</v>
      </c>
      <c r="C401" s="1">
        <v>0.97658553401493231</v>
      </c>
    </row>
    <row r="402" spans="1:3">
      <c r="A402" s="1">
        <v>1993</v>
      </c>
      <c r="B402" s="1" t="s">
        <v>428</v>
      </c>
      <c r="C402" s="1">
        <v>0.88450617339949744</v>
      </c>
    </row>
    <row r="403" spans="1:3">
      <c r="A403" s="1">
        <v>1993</v>
      </c>
      <c r="B403" s="1" t="s">
        <v>429</v>
      </c>
      <c r="C403" s="1">
        <v>0.81419927243697332</v>
      </c>
    </row>
    <row r="404" spans="1:3">
      <c r="A404" s="1">
        <v>1993</v>
      </c>
      <c r="B404" s="1" t="s">
        <v>430</v>
      </c>
      <c r="C404" s="1">
        <v>0.84050766118424036</v>
      </c>
    </row>
    <row r="405" spans="1:3">
      <c r="A405" s="1">
        <v>1993</v>
      </c>
      <c r="B405" s="1" t="s">
        <v>431</v>
      </c>
      <c r="C405" s="1">
        <v>0.87407353648247776</v>
      </c>
    </row>
    <row r="406" spans="1:3">
      <c r="A406" s="1">
        <v>1993</v>
      </c>
      <c r="B406" s="1" t="s">
        <v>432</v>
      </c>
      <c r="C406" s="1">
        <v>0.88314539467119058</v>
      </c>
    </row>
    <row r="407" spans="1:3">
      <c r="A407" s="1">
        <v>1993</v>
      </c>
      <c r="B407" s="1" t="s">
        <v>433</v>
      </c>
      <c r="C407" s="1">
        <v>0.84458999736916118</v>
      </c>
    </row>
    <row r="408" spans="1:3">
      <c r="A408" s="1">
        <v>1993</v>
      </c>
      <c r="B408" s="1" t="s">
        <v>434</v>
      </c>
      <c r="C408" s="1">
        <v>0.74661392893106293</v>
      </c>
    </row>
    <row r="409" spans="1:3">
      <c r="A409" s="1">
        <v>1993</v>
      </c>
      <c r="B409" s="1" t="s">
        <v>435</v>
      </c>
      <c r="C409" s="1">
        <v>0.73935644238009279</v>
      </c>
    </row>
    <row r="410" spans="1:3">
      <c r="A410" s="1">
        <v>1993</v>
      </c>
      <c r="B410" s="1" t="s">
        <v>436</v>
      </c>
      <c r="C410" s="1">
        <v>0.7819941758670429</v>
      </c>
    </row>
    <row r="411" spans="1:3">
      <c r="A411" s="1">
        <v>1994</v>
      </c>
      <c r="B411" s="1" t="s">
        <v>437</v>
      </c>
      <c r="C411" s="1">
        <v>0.81873520153132973</v>
      </c>
    </row>
    <row r="412" spans="1:3">
      <c r="A412" s="1">
        <v>1994</v>
      </c>
      <c r="B412" s="1" t="s">
        <v>438</v>
      </c>
      <c r="C412" s="1">
        <v>0.84640436900690375</v>
      </c>
    </row>
    <row r="413" spans="1:3">
      <c r="A413" s="1">
        <v>1994</v>
      </c>
      <c r="B413" s="1" t="s">
        <v>439</v>
      </c>
      <c r="C413" s="1">
        <v>0.86863042156925008</v>
      </c>
    </row>
    <row r="414" spans="1:3">
      <c r="A414" s="1">
        <v>1994</v>
      </c>
      <c r="B414" s="1" t="s">
        <v>440</v>
      </c>
      <c r="C414" s="1">
        <v>0.85366185555787399</v>
      </c>
    </row>
    <row r="415" spans="1:3">
      <c r="A415" s="1">
        <v>1994</v>
      </c>
      <c r="B415" s="1" t="s">
        <v>441</v>
      </c>
      <c r="C415" s="1">
        <v>0.97567834819606103</v>
      </c>
    </row>
    <row r="416" spans="1:3">
      <c r="A416" s="1">
        <v>1994</v>
      </c>
      <c r="B416" s="1" t="s">
        <v>442</v>
      </c>
      <c r="C416" s="1">
        <v>1.0722936379058523</v>
      </c>
    </row>
    <row r="417" spans="1:3">
      <c r="A417" s="1">
        <v>1994</v>
      </c>
      <c r="B417" s="1" t="s">
        <v>443</v>
      </c>
      <c r="C417" s="1">
        <v>1.1149313713928024</v>
      </c>
    </row>
    <row r="418" spans="1:3">
      <c r="A418" s="1">
        <v>1994</v>
      </c>
      <c r="B418" s="1" t="s">
        <v>444</v>
      </c>
      <c r="C418" s="1">
        <v>1.0913445401021491</v>
      </c>
    </row>
    <row r="419" spans="1:3">
      <c r="A419" s="1">
        <v>1994</v>
      </c>
      <c r="B419" s="1" t="s">
        <v>445</v>
      </c>
      <c r="C419" s="1">
        <v>1.1367038310457132</v>
      </c>
    </row>
    <row r="420" spans="1:3">
      <c r="A420" s="1">
        <v>1994</v>
      </c>
      <c r="B420" s="1" t="s">
        <v>446</v>
      </c>
      <c r="C420" s="1">
        <v>1.1557547332420099</v>
      </c>
    </row>
    <row r="421" spans="1:3">
      <c r="A421" s="1">
        <v>1994</v>
      </c>
      <c r="B421" s="1" t="s">
        <v>447</v>
      </c>
      <c r="C421" s="1">
        <v>1.2709673322386625</v>
      </c>
    </row>
    <row r="422" spans="1:3">
      <c r="A422" s="1">
        <v>1994</v>
      </c>
      <c r="B422" s="1" t="s">
        <v>448</v>
      </c>
      <c r="C422" s="1">
        <v>1.3539748346653846</v>
      </c>
    </row>
    <row r="423" spans="1:3">
      <c r="A423" s="1">
        <v>1995</v>
      </c>
      <c r="B423" s="1" t="s">
        <v>449</v>
      </c>
      <c r="C423" s="1">
        <v>1.36486106449184</v>
      </c>
    </row>
    <row r="424" spans="1:3">
      <c r="A424" s="1">
        <v>1995</v>
      </c>
      <c r="B424" s="1" t="s">
        <v>450</v>
      </c>
      <c r="C424" s="1">
        <v>1.3054403933557712</v>
      </c>
    </row>
    <row r="425" spans="1:3">
      <c r="A425" s="1">
        <v>1995</v>
      </c>
      <c r="B425" s="1" t="s">
        <v>451</v>
      </c>
      <c r="C425" s="1">
        <v>1.3263056671898106</v>
      </c>
    </row>
    <row r="426" spans="1:3">
      <c r="A426" s="1">
        <v>1995</v>
      </c>
      <c r="B426" s="1" t="s">
        <v>452</v>
      </c>
      <c r="C426" s="1">
        <v>1.3172338090010978</v>
      </c>
    </row>
    <row r="427" spans="1:3">
      <c r="A427" s="1">
        <v>1995</v>
      </c>
      <c r="B427" s="1" t="s">
        <v>453</v>
      </c>
      <c r="C427" s="1">
        <v>1.257813137865029</v>
      </c>
    </row>
    <row r="428" spans="1:3">
      <c r="A428" s="1">
        <v>1995</v>
      </c>
      <c r="B428" s="1" t="s">
        <v>454</v>
      </c>
      <c r="C428" s="1">
        <v>1.3585107637597409</v>
      </c>
    </row>
    <row r="429" spans="1:3">
      <c r="A429" s="1">
        <v>1995</v>
      </c>
      <c r="B429" s="1" t="s">
        <v>455</v>
      </c>
      <c r="C429" s="1">
        <v>1.3952517894240277</v>
      </c>
    </row>
    <row r="430" spans="1:3">
      <c r="A430" s="1">
        <v>1995</v>
      </c>
      <c r="B430" s="1" t="s">
        <v>456</v>
      </c>
      <c r="C430" s="1">
        <v>1.3775616659560379</v>
      </c>
    </row>
    <row r="431" spans="1:3">
      <c r="A431" s="1">
        <v>1995</v>
      </c>
      <c r="B431" s="1" t="s">
        <v>457</v>
      </c>
      <c r="C431" s="1">
        <v>1.3226769239143255</v>
      </c>
    </row>
    <row r="432" spans="1:3">
      <c r="A432" s="1">
        <v>1995</v>
      </c>
      <c r="B432" s="1" t="s">
        <v>458</v>
      </c>
      <c r="C432" s="1">
        <v>1.2764104471518902</v>
      </c>
    </row>
    <row r="433" spans="1:3">
      <c r="A433" s="1">
        <v>1995</v>
      </c>
      <c r="B433" s="1" t="s">
        <v>459</v>
      </c>
      <c r="C433" s="1">
        <v>1.3503460913898995</v>
      </c>
    </row>
    <row r="434" spans="1:3">
      <c r="A434" s="1">
        <v>1995</v>
      </c>
      <c r="B434" s="1" t="s">
        <v>460</v>
      </c>
      <c r="C434" s="1">
        <v>1.3272128530086817</v>
      </c>
    </row>
    <row r="435" spans="1:3">
      <c r="A435" s="1">
        <v>1996</v>
      </c>
      <c r="B435" s="1" t="s">
        <v>461</v>
      </c>
      <c r="C435" s="1">
        <v>1.1865990510836335</v>
      </c>
    </row>
    <row r="436" spans="1:3">
      <c r="A436" s="1">
        <v>1996</v>
      </c>
      <c r="B436" s="1" t="s">
        <v>462</v>
      </c>
      <c r="C436" s="1">
        <v>1.1512188041476537</v>
      </c>
    </row>
    <row r="437" spans="1:3">
      <c r="A437" s="1">
        <v>1996</v>
      </c>
      <c r="B437" s="1" t="s">
        <v>463</v>
      </c>
      <c r="C437" s="1">
        <v>1.1616514410646734</v>
      </c>
    </row>
    <row r="438" spans="1:3">
      <c r="A438" s="1">
        <v>1996</v>
      </c>
      <c r="B438" s="1" t="s">
        <v>464</v>
      </c>
      <c r="C438" s="1">
        <v>1.1775271928949207</v>
      </c>
    </row>
    <row r="439" spans="1:3">
      <c r="A439" s="1">
        <v>1996</v>
      </c>
      <c r="B439" s="1" t="s">
        <v>465</v>
      </c>
      <c r="C439" s="1">
        <v>1.2056499532799303</v>
      </c>
    </row>
    <row r="440" spans="1:3">
      <c r="A440" s="1">
        <v>1996</v>
      </c>
      <c r="B440" s="1" t="s">
        <v>466</v>
      </c>
      <c r="C440" s="1">
        <v>0.98565739220364512</v>
      </c>
    </row>
    <row r="441" spans="1:3">
      <c r="A441" s="1">
        <v>1996</v>
      </c>
      <c r="B441" s="1" t="s">
        <v>467</v>
      </c>
      <c r="C441" s="1">
        <v>0.9008355181391805</v>
      </c>
    </row>
    <row r="442" spans="1:3">
      <c r="A442" s="1">
        <v>1996</v>
      </c>
      <c r="B442" s="1" t="s">
        <v>468</v>
      </c>
      <c r="C442" s="1">
        <v>0.91126815505620018</v>
      </c>
    </row>
    <row r="443" spans="1:3">
      <c r="A443" s="1">
        <v>1996</v>
      </c>
      <c r="B443" s="1" t="s">
        <v>469</v>
      </c>
      <c r="C443" s="1">
        <v>0.88042383721457673</v>
      </c>
    </row>
    <row r="444" spans="1:3">
      <c r="A444" s="1">
        <v>1996</v>
      </c>
      <c r="B444" s="1" t="s">
        <v>470</v>
      </c>
      <c r="C444" s="1">
        <v>0.88949569540328954</v>
      </c>
    </row>
    <row r="445" spans="1:3">
      <c r="A445" s="1">
        <v>1996</v>
      </c>
      <c r="B445" s="1" t="s">
        <v>471</v>
      </c>
      <c r="C445" s="1">
        <v>1.0119657809509122</v>
      </c>
    </row>
    <row r="446" spans="1:3">
      <c r="A446" s="1">
        <v>1996</v>
      </c>
      <c r="B446" s="1" t="s">
        <v>472</v>
      </c>
      <c r="C446" s="1">
        <v>1.0287487186000308</v>
      </c>
    </row>
    <row r="447" spans="1:3">
      <c r="A447" s="1">
        <v>1997</v>
      </c>
      <c r="B447" s="1" t="s">
        <v>473</v>
      </c>
      <c r="C447" s="1">
        <v>1.1044987344757828</v>
      </c>
    </row>
    <row r="448" spans="1:3">
      <c r="A448" s="1">
        <v>1997</v>
      </c>
      <c r="B448" s="1" t="s">
        <v>474</v>
      </c>
      <c r="C448" s="1">
        <v>1.0913445401021491</v>
      </c>
    </row>
    <row r="449" spans="1:3">
      <c r="A449" s="1">
        <v>1997</v>
      </c>
      <c r="B449" s="1" t="s">
        <v>475</v>
      </c>
      <c r="C449" s="1">
        <v>1.0981484337436838</v>
      </c>
    </row>
    <row r="450" spans="1:3">
      <c r="A450" s="1">
        <v>1997</v>
      </c>
      <c r="B450" s="1" t="s">
        <v>476</v>
      </c>
      <c r="C450" s="1">
        <v>1.0845406464606147</v>
      </c>
    </row>
    <row r="451" spans="1:3">
      <c r="A451" s="1">
        <v>1997</v>
      </c>
      <c r="B451" s="1" t="s">
        <v>477</v>
      </c>
      <c r="C451" s="1">
        <v>1.1403325743211983</v>
      </c>
    </row>
    <row r="452" spans="1:3">
      <c r="A452" s="1">
        <v>1997</v>
      </c>
      <c r="B452" s="1" t="s">
        <v>478</v>
      </c>
      <c r="C452" s="1">
        <v>1.1852382723553265</v>
      </c>
    </row>
    <row r="453" spans="1:3">
      <c r="A453" s="1">
        <v>1997</v>
      </c>
      <c r="B453" s="1" t="s">
        <v>479</v>
      </c>
      <c r="C453" s="1">
        <v>1.1113026281173173</v>
      </c>
    </row>
    <row r="454" spans="1:3">
      <c r="A454" s="1">
        <v>1997</v>
      </c>
      <c r="B454" s="1" t="s">
        <v>480</v>
      </c>
      <c r="C454" s="1">
        <v>1.021037639139625</v>
      </c>
    </row>
    <row r="455" spans="1:3">
      <c r="A455" s="1">
        <v>1997</v>
      </c>
      <c r="B455" s="1" t="s">
        <v>481</v>
      </c>
      <c r="C455" s="1">
        <v>0.95572026018089284</v>
      </c>
    </row>
    <row r="456" spans="1:3">
      <c r="A456" s="1">
        <v>1997</v>
      </c>
      <c r="B456" s="1" t="s">
        <v>482</v>
      </c>
      <c r="C456" s="1">
        <v>0.93077265016193267</v>
      </c>
    </row>
    <row r="457" spans="1:3">
      <c r="A457" s="1">
        <v>1997</v>
      </c>
      <c r="B457" s="1" t="s">
        <v>483</v>
      </c>
      <c r="C457" s="1">
        <v>0.86953760738812136</v>
      </c>
    </row>
    <row r="458" spans="1:3">
      <c r="A458" s="1">
        <v>1997</v>
      </c>
      <c r="B458" s="1" t="s">
        <v>484</v>
      </c>
      <c r="C458" s="1">
        <v>0.79923070642559724</v>
      </c>
    </row>
    <row r="459" spans="1:3">
      <c r="A459" s="1">
        <v>1998</v>
      </c>
      <c r="B459" s="1" t="s">
        <v>485</v>
      </c>
      <c r="C459" s="1">
        <v>0.76566483112735984</v>
      </c>
    </row>
    <row r="460" spans="1:3">
      <c r="A460" s="1">
        <v>1998</v>
      </c>
      <c r="B460" s="1" t="s">
        <v>486</v>
      </c>
      <c r="C460" s="1">
        <v>0.75523219421034016</v>
      </c>
    </row>
    <row r="461" spans="1:3">
      <c r="A461" s="1">
        <v>1998</v>
      </c>
      <c r="B461" s="1" t="s">
        <v>487</v>
      </c>
      <c r="C461" s="1">
        <v>0.79288040569349827</v>
      </c>
    </row>
    <row r="462" spans="1:3">
      <c r="A462" s="1">
        <v>1998</v>
      </c>
      <c r="B462" s="1" t="s">
        <v>488</v>
      </c>
      <c r="C462" s="1">
        <v>0.81692082989358716</v>
      </c>
    </row>
    <row r="463" spans="1:3">
      <c r="A463" s="1">
        <v>1998</v>
      </c>
      <c r="B463" s="1" t="s">
        <v>489</v>
      </c>
      <c r="C463" s="1">
        <v>0.78607651205196361</v>
      </c>
    </row>
    <row r="464" spans="1:3">
      <c r="A464" s="1">
        <v>1998</v>
      </c>
      <c r="B464" s="1" t="s">
        <v>490</v>
      </c>
      <c r="C464" s="1">
        <v>0.7534178225725976</v>
      </c>
    </row>
    <row r="465" spans="1:3">
      <c r="A465" s="1">
        <v>1998</v>
      </c>
      <c r="B465" s="1" t="s">
        <v>491</v>
      </c>
      <c r="C465" s="1">
        <v>0.74888189347824119</v>
      </c>
    </row>
    <row r="466" spans="1:3">
      <c r="A466" s="1">
        <v>1998</v>
      </c>
      <c r="B466" s="1" t="s">
        <v>492</v>
      </c>
      <c r="C466" s="1">
        <v>0.73527410619517197</v>
      </c>
    </row>
    <row r="467" spans="1:3">
      <c r="A467" s="1">
        <v>1998</v>
      </c>
      <c r="B467" s="1" t="s">
        <v>493</v>
      </c>
      <c r="C467" s="1">
        <v>0.74752111474993421</v>
      </c>
    </row>
    <row r="468" spans="1:3">
      <c r="A468" s="1">
        <v>1998</v>
      </c>
      <c r="B468" s="1" t="s">
        <v>494</v>
      </c>
      <c r="C468" s="1">
        <v>0.71939835436492461</v>
      </c>
    </row>
    <row r="469" spans="1:3">
      <c r="A469" s="1">
        <v>1998</v>
      </c>
      <c r="B469" s="1" t="s">
        <v>495</v>
      </c>
      <c r="C469" s="1">
        <v>0.71395523945169692</v>
      </c>
    </row>
    <row r="470" spans="1:3">
      <c r="A470" s="1">
        <v>1998</v>
      </c>
      <c r="B470" s="1" t="s">
        <v>496</v>
      </c>
      <c r="C470" s="1">
        <v>0.66859594850813298</v>
      </c>
    </row>
    <row r="471" spans="1:3">
      <c r="A471" s="1">
        <v>1999</v>
      </c>
      <c r="B471" s="1" t="s">
        <v>497</v>
      </c>
      <c r="C471" s="1">
        <v>0.64909145340240049</v>
      </c>
    </row>
    <row r="472" spans="1:3">
      <c r="A472" s="1">
        <v>1999</v>
      </c>
      <c r="B472" s="1" t="s">
        <v>498</v>
      </c>
      <c r="C472" s="1">
        <v>0.64001959521368768</v>
      </c>
    </row>
    <row r="473" spans="1:3">
      <c r="A473" s="1">
        <v>1999</v>
      </c>
      <c r="B473" s="1" t="s">
        <v>499</v>
      </c>
      <c r="C473" s="1">
        <v>0.62505102920231159</v>
      </c>
    </row>
    <row r="474" spans="1:3">
      <c r="A474" s="1">
        <v>1999</v>
      </c>
      <c r="B474" s="1" t="s">
        <v>500</v>
      </c>
      <c r="C474" s="1">
        <v>0.66496720523264785</v>
      </c>
    </row>
    <row r="475" spans="1:3">
      <c r="A475" s="1">
        <v>1999</v>
      </c>
      <c r="B475" s="1" t="s">
        <v>501</v>
      </c>
      <c r="C475" s="1">
        <v>0.68537888615725162</v>
      </c>
    </row>
    <row r="476" spans="1:3">
      <c r="A476" s="1">
        <v>1999</v>
      </c>
      <c r="B476" s="1" t="s">
        <v>502</v>
      </c>
      <c r="C476" s="1">
        <v>0.64500911721747967</v>
      </c>
    </row>
    <row r="477" spans="1:3">
      <c r="A477" s="1">
        <v>1999</v>
      </c>
      <c r="B477" s="1" t="s">
        <v>503</v>
      </c>
      <c r="C477" s="1">
        <v>0.7438923714744492</v>
      </c>
    </row>
    <row r="478" spans="1:3">
      <c r="A478" s="1">
        <v>1999</v>
      </c>
      <c r="B478" s="1" t="s">
        <v>504</v>
      </c>
      <c r="C478" s="1">
        <v>0.74752111474993421</v>
      </c>
    </row>
    <row r="479" spans="1:3">
      <c r="A479" s="1">
        <v>1999</v>
      </c>
      <c r="B479" s="1" t="s">
        <v>505</v>
      </c>
      <c r="C479" s="1">
        <v>0.79378759151236955</v>
      </c>
    </row>
    <row r="480" spans="1:3">
      <c r="A480" s="1">
        <v>1999</v>
      </c>
      <c r="B480" s="1" t="s">
        <v>506</v>
      </c>
      <c r="C480" s="1">
        <v>0.7819941758670429</v>
      </c>
    </row>
    <row r="481" spans="1:4">
      <c r="A481" s="1">
        <v>1999</v>
      </c>
      <c r="B481" s="1" t="s">
        <v>507</v>
      </c>
      <c r="C481" s="1">
        <v>0.78380854750478546</v>
      </c>
    </row>
    <row r="482" spans="1:4">
      <c r="A482" s="1">
        <v>1999</v>
      </c>
      <c r="B482" s="1" t="s">
        <v>508</v>
      </c>
      <c r="C482" s="1">
        <v>0.8005914851539041</v>
      </c>
    </row>
    <row r="483" spans="1:4">
      <c r="A483" s="1">
        <v>2000</v>
      </c>
      <c r="B483" s="1" t="s">
        <v>509</v>
      </c>
      <c r="C483" s="1">
        <v>0.83642532499931965</v>
      </c>
    </row>
    <row r="484" spans="1:4">
      <c r="A484" s="1">
        <v>2000</v>
      </c>
      <c r="B484" s="1" t="s">
        <v>510</v>
      </c>
      <c r="C484" s="1">
        <v>0.81692082989358716</v>
      </c>
    </row>
    <row r="485" spans="1:4">
      <c r="A485" s="1">
        <v>2000</v>
      </c>
      <c r="B485" s="1" t="s">
        <v>511</v>
      </c>
      <c r="C485" s="1">
        <v>0.78879806950857745</v>
      </c>
    </row>
    <row r="486" spans="1:4">
      <c r="A486" s="1">
        <v>2000</v>
      </c>
      <c r="B486" s="1" t="s">
        <v>512</v>
      </c>
      <c r="C486" s="1">
        <v>0.76158249494243913</v>
      </c>
    </row>
    <row r="487" spans="1:4">
      <c r="A487" s="1">
        <v>2000</v>
      </c>
      <c r="B487" s="1" t="s">
        <v>513</v>
      </c>
      <c r="C487" s="1">
        <v>0.8101169362520525</v>
      </c>
    </row>
    <row r="488" spans="1:4">
      <c r="A488" s="1">
        <v>2000</v>
      </c>
      <c r="B488" s="1" t="s">
        <v>514</v>
      </c>
      <c r="C488" s="1">
        <v>0.79514837024067642</v>
      </c>
    </row>
    <row r="489" spans="1:4">
      <c r="A489" s="1">
        <v>2000</v>
      </c>
      <c r="B489" s="1" t="s">
        <v>515</v>
      </c>
      <c r="C489" s="1">
        <v>0.81601364407471588</v>
      </c>
    </row>
    <row r="490" spans="1:4">
      <c r="A490" s="1">
        <v>2000</v>
      </c>
      <c r="B490" s="1" t="s">
        <v>516</v>
      </c>
      <c r="C490" s="1">
        <v>0.84186843991254734</v>
      </c>
    </row>
    <row r="491" spans="1:4">
      <c r="A491" s="1">
        <v>2000</v>
      </c>
      <c r="B491" s="1" t="s">
        <v>517</v>
      </c>
      <c r="C491" s="1">
        <v>0.88904210249385385</v>
      </c>
    </row>
    <row r="492" spans="1:4">
      <c r="A492" s="1">
        <v>2000</v>
      </c>
      <c r="B492" s="1" t="s">
        <v>518</v>
      </c>
      <c r="C492" s="1">
        <v>0.86137293501827983</v>
      </c>
    </row>
    <row r="493" spans="1:4">
      <c r="A493" s="1">
        <v>2000</v>
      </c>
      <c r="B493" s="1" t="s">
        <v>519</v>
      </c>
      <c r="C493" s="1">
        <v>0.81419927243697332</v>
      </c>
    </row>
    <row r="494" spans="1:4">
      <c r="A494" s="1">
        <v>2000</v>
      </c>
      <c r="B494" s="1" t="s">
        <v>520</v>
      </c>
      <c r="C494" s="1">
        <v>0.83960047536536908</v>
      </c>
      <c r="D494" s="10">
        <f>AVERAGE(C483:C494)</f>
        <v>0.82259074126153264</v>
      </c>
    </row>
    <row r="495" spans="1:4">
      <c r="A495" s="1">
        <v>2001</v>
      </c>
      <c r="B495" s="1" t="s">
        <v>521</v>
      </c>
      <c r="C495" s="1">
        <v>0.81102412207092378</v>
      </c>
    </row>
    <row r="496" spans="1:4">
      <c r="A496" s="1">
        <v>2001</v>
      </c>
      <c r="B496" s="1" t="s">
        <v>522</v>
      </c>
      <c r="C496" s="1">
        <v>0.8010450780633398</v>
      </c>
    </row>
    <row r="497" spans="1:4">
      <c r="A497" s="1">
        <v>2001</v>
      </c>
      <c r="B497" s="1" t="s">
        <v>523</v>
      </c>
      <c r="C497" s="1">
        <v>0.78879806950857745</v>
      </c>
    </row>
    <row r="498" spans="1:4">
      <c r="A498" s="1">
        <v>2001</v>
      </c>
      <c r="B498" s="1" t="s">
        <v>524</v>
      </c>
      <c r="C498" s="1">
        <v>0.75477860130090446</v>
      </c>
    </row>
    <row r="499" spans="1:4">
      <c r="A499" s="1">
        <v>2001</v>
      </c>
      <c r="B499" s="1" t="s">
        <v>525</v>
      </c>
      <c r="C499" s="1">
        <v>0.76294327367074599</v>
      </c>
    </row>
    <row r="500" spans="1:4">
      <c r="A500" s="1">
        <v>2001</v>
      </c>
      <c r="B500" s="1" t="s">
        <v>526</v>
      </c>
      <c r="C500" s="1">
        <v>0.7293773983725087</v>
      </c>
    </row>
    <row r="501" spans="1:4">
      <c r="A501" s="1">
        <v>2001</v>
      </c>
      <c r="B501" s="1" t="s">
        <v>527</v>
      </c>
      <c r="C501" s="1">
        <v>0.69172918688935059</v>
      </c>
    </row>
    <row r="502" spans="1:4">
      <c r="A502" s="1">
        <v>2001</v>
      </c>
      <c r="B502" s="1" t="s">
        <v>528</v>
      </c>
      <c r="C502" s="1">
        <v>0.66406001941377657</v>
      </c>
    </row>
    <row r="503" spans="1:4">
      <c r="A503" s="1">
        <v>2001</v>
      </c>
      <c r="B503" s="1" t="s">
        <v>529</v>
      </c>
      <c r="C503" s="1">
        <v>0.64682348885522223</v>
      </c>
    </row>
    <row r="504" spans="1:4">
      <c r="A504" s="1">
        <v>2001</v>
      </c>
      <c r="B504" s="1" t="s">
        <v>530</v>
      </c>
      <c r="C504" s="1">
        <v>0.6245974362928759</v>
      </c>
    </row>
    <row r="505" spans="1:4">
      <c r="A505" s="1">
        <v>2001</v>
      </c>
      <c r="B505" s="1" t="s">
        <v>531</v>
      </c>
      <c r="C505" s="1">
        <v>0.64773067467409351</v>
      </c>
    </row>
    <row r="506" spans="1:4">
      <c r="A506" s="1">
        <v>2001</v>
      </c>
      <c r="B506" s="1" t="s">
        <v>532</v>
      </c>
      <c r="C506" s="1">
        <v>0.66768876268926169</v>
      </c>
      <c r="D506" s="10">
        <f t="shared" ref="D506" si="0">AVERAGE(C495:C506)</f>
        <v>0.71588300931679838</v>
      </c>
    </row>
    <row r="507" spans="1:4">
      <c r="A507" s="1">
        <v>2002</v>
      </c>
      <c r="B507" s="1" t="s">
        <v>533</v>
      </c>
      <c r="C507" s="1">
        <v>0.68220373579120219</v>
      </c>
    </row>
    <row r="508" spans="1:4">
      <c r="A508" s="1">
        <v>2002</v>
      </c>
      <c r="B508" s="1" t="s">
        <v>534</v>
      </c>
      <c r="C508" s="1">
        <v>0.70851212453846923</v>
      </c>
    </row>
    <row r="509" spans="1:4">
      <c r="A509" s="1">
        <v>2002</v>
      </c>
      <c r="B509" s="1" t="s">
        <v>535</v>
      </c>
      <c r="C509" s="1">
        <v>0.72801661964420172</v>
      </c>
    </row>
    <row r="510" spans="1:4">
      <c r="A510" s="1">
        <v>2002</v>
      </c>
      <c r="B510" s="1" t="s">
        <v>536</v>
      </c>
      <c r="C510" s="1">
        <v>0.72121272600266717</v>
      </c>
    </row>
    <row r="511" spans="1:4">
      <c r="A511" s="1">
        <v>2002</v>
      </c>
      <c r="B511" s="1" t="s">
        <v>537</v>
      </c>
      <c r="C511" s="1">
        <v>0.72393428345928101</v>
      </c>
    </row>
    <row r="512" spans="1:4">
      <c r="A512" s="1">
        <v>2002</v>
      </c>
      <c r="B512" s="1" t="s">
        <v>538</v>
      </c>
      <c r="C512" s="1">
        <v>0.74752111474993421</v>
      </c>
    </row>
    <row r="513" spans="1:4">
      <c r="A513" s="1">
        <v>2002</v>
      </c>
      <c r="B513" s="1" t="s">
        <v>539</v>
      </c>
      <c r="C513" s="1">
        <v>0.72075913309323147</v>
      </c>
    </row>
    <row r="514" spans="1:4">
      <c r="A514" s="1">
        <v>2002</v>
      </c>
      <c r="B514" s="1" t="s">
        <v>540</v>
      </c>
      <c r="C514" s="1">
        <v>0.67131750596474682</v>
      </c>
    </row>
    <row r="515" spans="1:4">
      <c r="A515" s="1">
        <v>2002</v>
      </c>
      <c r="B515" s="1" t="s">
        <v>541</v>
      </c>
      <c r="C515" s="1">
        <v>0.67086391305531112</v>
      </c>
    </row>
    <row r="516" spans="1:4">
      <c r="A516" s="1">
        <v>2002</v>
      </c>
      <c r="B516" s="1" t="s">
        <v>542</v>
      </c>
      <c r="C516" s="1">
        <v>0.67313187760248938</v>
      </c>
    </row>
    <row r="517" spans="1:4">
      <c r="A517" s="1">
        <v>2002</v>
      </c>
      <c r="B517" s="1" t="s">
        <v>543</v>
      </c>
      <c r="C517" s="1">
        <v>0.71758398272718205</v>
      </c>
    </row>
    <row r="518" spans="1:4">
      <c r="A518" s="1">
        <v>2002</v>
      </c>
      <c r="B518" s="1" t="s">
        <v>544</v>
      </c>
      <c r="C518" s="1">
        <v>0.72393428345928101</v>
      </c>
      <c r="D518" s="10">
        <f t="shared" ref="D518" si="1">AVERAGE(C507:C518)</f>
        <v>0.70741594167399979</v>
      </c>
    </row>
    <row r="519" spans="1:4">
      <c r="A519" s="1">
        <v>2003</v>
      </c>
      <c r="B519" s="1" t="s">
        <v>545</v>
      </c>
      <c r="C519" s="1">
        <v>0.74752111474993421</v>
      </c>
    </row>
    <row r="520" spans="1:4">
      <c r="A520" s="1">
        <v>2003</v>
      </c>
      <c r="B520" s="1" t="s">
        <v>546</v>
      </c>
      <c r="C520" s="1">
        <v>0.76385045948961727</v>
      </c>
    </row>
    <row r="521" spans="1:4">
      <c r="A521" s="1">
        <v>2003</v>
      </c>
      <c r="B521" s="1" t="s">
        <v>547</v>
      </c>
      <c r="C521" s="1">
        <v>0.75251063675372631</v>
      </c>
    </row>
    <row r="522" spans="1:4">
      <c r="A522" s="1">
        <v>2003</v>
      </c>
      <c r="B522" s="1" t="s">
        <v>548</v>
      </c>
      <c r="C522" s="1">
        <v>0.71985194727436019</v>
      </c>
    </row>
    <row r="523" spans="1:4">
      <c r="A523" s="1">
        <v>2003</v>
      </c>
      <c r="B523" s="1" t="s">
        <v>549</v>
      </c>
      <c r="C523" s="1">
        <v>0.74752111474993421</v>
      </c>
    </row>
    <row r="524" spans="1:4">
      <c r="A524" s="1">
        <v>2003</v>
      </c>
      <c r="B524" s="1" t="s">
        <v>550</v>
      </c>
      <c r="C524" s="1">
        <v>0.76521123821792425</v>
      </c>
    </row>
    <row r="525" spans="1:4">
      <c r="A525" s="1">
        <v>2003</v>
      </c>
      <c r="B525" s="1" t="s">
        <v>551</v>
      </c>
      <c r="C525" s="1">
        <v>0.77564387513494393</v>
      </c>
    </row>
    <row r="526" spans="1:4">
      <c r="A526" s="1">
        <v>2003</v>
      </c>
      <c r="B526" s="1" t="s">
        <v>552</v>
      </c>
      <c r="C526" s="1">
        <v>0.79832352060672596</v>
      </c>
    </row>
    <row r="527" spans="1:4">
      <c r="A527" s="1">
        <v>2003</v>
      </c>
      <c r="B527" s="1" t="s">
        <v>553</v>
      </c>
      <c r="C527" s="1">
        <v>0.81193130788979506</v>
      </c>
    </row>
    <row r="528" spans="1:4">
      <c r="A528" s="1">
        <v>2003</v>
      </c>
      <c r="B528" s="1" t="s">
        <v>554</v>
      </c>
      <c r="C528" s="1">
        <v>0.87135197902586392</v>
      </c>
    </row>
    <row r="529" spans="1:4">
      <c r="A529" s="1">
        <v>2003</v>
      </c>
      <c r="B529" s="1" t="s">
        <v>555</v>
      </c>
      <c r="C529" s="1">
        <v>0.93213342889023965</v>
      </c>
    </row>
    <row r="530" spans="1:4">
      <c r="A530" s="1">
        <v>2003</v>
      </c>
      <c r="B530" s="1" t="s">
        <v>556</v>
      </c>
      <c r="C530" s="1">
        <v>0.99835799366784306</v>
      </c>
      <c r="D530" s="10">
        <f t="shared" ref="D530" si="2">AVERAGE(C519:C530)</f>
        <v>0.80701738470424234</v>
      </c>
    </row>
    <row r="531" spans="1:4">
      <c r="A531" s="1">
        <v>2004</v>
      </c>
      <c r="B531" s="1" t="s">
        <v>557</v>
      </c>
      <c r="C531" s="1">
        <v>1.0995092124719907</v>
      </c>
    </row>
    <row r="532" spans="1:4">
      <c r="A532" s="1">
        <v>2004</v>
      </c>
      <c r="B532" s="1" t="s">
        <v>558</v>
      </c>
      <c r="C532" s="1">
        <v>1.2519164300423657</v>
      </c>
    </row>
    <row r="533" spans="1:4">
      <c r="A533" s="1">
        <v>2004</v>
      </c>
      <c r="B533" s="1" t="s">
        <v>559</v>
      </c>
      <c r="C533" s="1">
        <v>1.36486106449184</v>
      </c>
    </row>
    <row r="534" spans="1:4">
      <c r="A534" s="1">
        <v>2004</v>
      </c>
      <c r="B534" s="1" t="s">
        <v>560</v>
      </c>
      <c r="C534" s="1">
        <v>1.3376454899257015</v>
      </c>
    </row>
    <row r="535" spans="1:4">
      <c r="A535" s="1">
        <v>2004</v>
      </c>
      <c r="B535" s="1" t="s">
        <v>561</v>
      </c>
      <c r="C535" s="1">
        <v>1.240123014397039</v>
      </c>
    </row>
    <row r="536" spans="1:4">
      <c r="A536" s="1">
        <v>2004</v>
      </c>
      <c r="B536" s="1" t="s">
        <v>562</v>
      </c>
      <c r="C536" s="1">
        <v>1.218804147653564</v>
      </c>
    </row>
    <row r="537" spans="1:4">
      <c r="A537" s="1">
        <v>2004</v>
      </c>
      <c r="B537" s="1" t="s">
        <v>563</v>
      </c>
      <c r="C537" s="1">
        <v>1.2736888896952763</v>
      </c>
    </row>
    <row r="538" spans="1:4">
      <c r="A538" s="1">
        <v>2004</v>
      </c>
      <c r="B538" s="1" t="s">
        <v>564</v>
      </c>
      <c r="C538" s="1">
        <v>1.2909254202538307</v>
      </c>
    </row>
    <row r="539" spans="1:4">
      <c r="A539" s="1">
        <v>2004</v>
      </c>
      <c r="B539" s="1" t="s">
        <v>565</v>
      </c>
      <c r="C539" s="1">
        <v>1.3131514728161771</v>
      </c>
    </row>
    <row r="540" spans="1:4">
      <c r="A540" s="1">
        <v>2004</v>
      </c>
      <c r="B540" s="1" t="s">
        <v>566</v>
      </c>
      <c r="C540" s="1">
        <v>1.3662218432201469</v>
      </c>
    </row>
    <row r="541" spans="1:4">
      <c r="A541" s="1">
        <v>2004</v>
      </c>
      <c r="B541" s="1" t="s">
        <v>567</v>
      </c>
      <c r="C541" s="1">
        <v>1.4165706561675029</v>
      </c>
    </row>
    <row r="542" spans="1:4">
      <c r="A542" s="1">
        <v>2004</v>
      </c>
      <c r="B542" s="1" t="s">
        <v>568</v>
      </c>
      <c r="C542" s="1">
        <v>1.4265497001750869</v>
      </c>
      <c r="D542" s="10">
        <f t="shared" ref="D542" si="3">AVERAGE(C531:C542)</f>
        <v>1.2999972784425435</v>
      </c>
    </row>
    <row r="543" spans="1:4">
      <c r="A543" s="1">
        <v>2005</v>
      </c>
      <c r="B543" s="1" t="s">
        <v>569</v>
      </c>
      <c r="C543" s="1">
        <v>1.4378895229109778</v>
      </c>
    </row>
    <row r="544" spans="1:4">
      <c r="A544" s="1">
        <v>2005</v>
      </c>
      <c r="B544" s="1" t="s">
        <v>570</v>
      </c>
      <c r="C544" s="1">
        <v>1.4759913273035716</v>
      </c>
    </row>
    <row r="545" spans="1:4">
      <c r="A545" s="1">
        <v>2005</v>
      </c>
      <c r="B545" s="1" t="s">
        <v>571</v>
      </c>
      <c r="C545" s="1">
        <v>1.5326904409830266</v>
      </c>
    </row>
    <row r="546" spans="1:4">
      <c r="A546" s="1">
        <v>2005</v>
      </c>
      <c r="B546" s="1" t="s">
        <v>572</v>
      </c>
      <c r="C546" s="1">
        <v>1.5394943346245613</v>
      </c>
    </row>
    <row r="547" spans="1:4">
      <c r="A547" s="1">
        <v>2005</v>
      </c>
      <c r="B547" s="1" t="s">
        <v>573</v>
      </c>
      <c r="C547" s="1">
        <v>1.4737233627563935</v>
      </c>
    </row>
    <row r="548" spans="1:4">
      <c r="A548" s="1">
        <v>2005</v>
      </c>
      <c r="B548" s="1" t="s">
        <v>574</v>
      </c>
      <c r="C548" s="1">
        <v>1.5984614128511945</v>
      </c>
    </row>
    <row r="549" spans="1:4">
      <c r="A549" s="1">
        <v>2005</v>
      </c>
      <c r="B549" s="1" t="s">
        <v>575</v>
      </c>
      <c r="C549" s="1">
        <v>1.639284774700402</v>
      </c>
    </row>
    <row r="550" spans="1:4">
      <c r="A550" s="1">
        <v>2005</v>
      </c>
      <c r="B550" s="1" t="s">
        <v>576</v>
      </c>
      <c r="C550" s="1">
        <v>1.7227458700365597</v>
      </c>
    </row>
    <row r="551" spans="1:4">
      <c r="A551" s="1">
        <v>2005</v>
      </c>
      <c r="B551" s="1" t="s">
        <v>577</v>
      </c>
      <c r="C551" s="1">
        <v>1.7499614446026981</v>
      </c>
    </row>
    <row r="552" spans="1:4">
      <c r="A552" s="1">
        <v>2005</v>
      </c>
      <c r="B552" s="1" t="s">
        <v>578</v>
      </c>
      <c r="C552" s="1">
        <v>1.8415872123086974</v>
      </c>
    </row>
    <row r="553" spans="1:4">
      <c r="A553" s="1">
        <v>2005</v>
      </c>
      <c r="B553" s="1" t="s">
        <v>579</v>
      </c>
      <c r="C553" s="1">
        <v>1.936388130380746</v>
      </c>
    </row>
    <row r="554" spans="1:4">
      <c r="A554" s="1">
        <v>2005</v>
      </c>
      <c r="B554" s="1" t="s">
        <v>580</v>
      </c>
      <c r="C554" s="1">
        <v>2.0760947464869228</v>
      </c>
      <c r="D554" s="10">
        <f t="shared" ref="D554" si="4">AVERAGE(C543:C554)</f>
        <v>1.6686927149954791</v>
      </c>
    </row>
    <row r="555" spans="1:4">
      <c r="A555" s="1">
        <v>2006</v>
      </c>
      <c r="B555" s="1" t="s">
        <v>581</v>
      </c>
      <c r="C555" s="1">
        <v>2.1473088332683186</v>
      </c>
    </row>
    <row r="556" spans="1:4">
      <c r="A556" s="1">
        <v>2006</v>
      </c>
      <c r="B556" s="1" t="s">
        <v>582</v>
      </c>
      <c r="C556" s="1">
        <v>2.259799874808357</v>
      </c>
    </row>
    <row r="557" spans="1:4">
      <c r="A557" s="1">
        <v>2006</v>
      </c>
      <c r="B557" s="1" t="s">
        <v>583</v>
      </c>
      <c r="C557" s="1">
        <v>2.3146846168500694</v>
      </c>
    </row>
    <row r="558" spans="1:4">
      <c r="A558" s="1">
        <v>2006</v>
      </c>
      <c r="B558" s="1" t="s">
        <v>584</v>
      </c>
      <c r="C558" s="1">
        <v>2.8975515054748664</v>
      </c>
    </row>
    <row r="559" spans="1:4">
      <c r="A559" s="1">
        <v>2006</v>
      </c>
      <c r="B559" s="1" t="s">
        <v>585</v>
      </c>
      <c r="C559" s="1">
        <v>3.649608549319157</v>
      </c>
    </row>
    <row r="560" spans="1:4">
      <c r="A560" s="1">
        <v>2006</v>
      </c>
      <c r="B560" s="1" t="s">
        <v>586</v>
      </c>
      <c r="C560" s="1">
        <v>3.2649617621177347</v>
      </c>
    </row>
    <row r="561" spans="1:4">
      <c r="A561" s="1">
        <v>2006</v>
      </c>
      <c r="B561" s="1" t="s">
        <v>587</v>
      </c>
      <c r="C561" s="1">
        <v>3.4981085175676534</v>
      </c>
    </row>
    <row r="562" spans="1:4">
      <c r="A562" s="1">
        <v>2006</v>
      </c>
      <c r="B562" s="1" t="s">
        <v>588</v>
      </c>
      <c r="C562" s="1">
        <v>3.4908510310166831</v>
      </c>
    </row>
    <row r="563" spans="1:4">
      <c r="A563" s="1">
        <v>2006</v>
      </c>
      <c r="B563" s="1" t="s">
        <v>589</v>
      </c>
      <c r="C563" s="1">
        <v>3.4482132975297333</v>
      </c>
    </row>
    <row r="564" spans="1:4">
      <c r="A564" s="1">
        <v>2006</v>
      </c>
      <c r="B564" s="1" t="s">
        <v>590</v>
      </c>
      <c r="C564" s="1">
        <v>3.4019468207672978</v>
      </c>
    </row>
    <row r="565" spans="1:4">
      <c r="A565" s="1">
        <v>2006</v>
      </c>
      <c r="B565" s="1" t="s">
        <v>591</v>
      </c>
      <c r="C565" s="1">
        <v>3.1883045604231115</v>
      </c>
    </row>
    <row r="566" spans="1:4">
      <c r="A566" s="1">
        <v>2006</v>
      </c>
      <c r="B566" s="1" t="s">
        <v>592</v>
      </c>
      <c r="C566" s="1">
        <v>3.0277326704828953</v>
      </c>
      <c r="D566" s="10">
        <f t="shared" ref="D566" si="5">AVERAGE(C555:C566)</f>
        <v>3.0490893366354901</v>
      </c>
    </row>
    <row r="567" spans="1:4">
      <c r="A567" s="1">
        <v>2007</v>
      </c>
      <c r="B567" s="1" t="s">
        <v>593</v>
      </c>
      <c r="C567" s="1">
        <v>2.5718717965000772</v>
      </c>
    </row>
    <row r="568" spans="1:4">
      <c r="A568" s="1">
        <v>2007</v>
      </c>
      <c r="B568" s="1" t="s">
        <v>594</v>
      </c>
      <c r="C568" s="1">
        <v>2.5745933539566912</v>
      </c>
    </row>
    <row r="569" spans="1:4">
      <c r="A569" s="1">
        <v>2007</v>
      </c>
      <c r="B569" s="1" t="s">
        <v>595</v>
      </c>
      <c r="C569" s="1">
        <v>2.9265814516787474</v>
      </c>
    </row>
    <row r="570" spans="1:4">
      <c r="A570" s="1">
        <v>2007</v>
      </c>
      <c r="B570" s="1" t="s">
        <v>596</v>
      </c>
      <c r="C570" s="1">
        <v>3.5226025346771781</v>
      </c>
    </row>
    <row r="571" spans="1:4">
      <c r="A571" s="1">
        <v>2007</v>
      </c>
      <c r="B571" s="1" t="s">
        <v>597</v>
      </c>
      <c r="C571" s="1">
        <v>3.4840471373751489</v>
      </c>
    </row>
    <row r="572" spans="1:4">
      <c r="A572" s="1">
        <v>2007</v>
      </c>
      <c r="B572" s="1" t="s">
        <v>598</v>
      </c>
      <c r="C572" s="1">
        <v>3.3901534051219713</v>
      </c>
    </row>
    <row r="573" spans="1:4">
      <c r="A573" s="1">
        <v>2007</v>
      </c>
      <c r="B573" s="1" t="s">
        <v>599</v>
      </c>
      <c r="C573" s="1">
        <v>3.6164962669303553</v>
      </c>
    </row>
    <row r="574" spans="1:4">
      <c r="A574" s="1">
        <v>2007</v>
      </c>
      <c r="B574" s="1" t="s">
        <v>600</v>
      </c>
      <c r="C574" s="1">
        <v>3.4082971214993969</v>
      </c>
    </row>
    <row r="575" spans="1:4">
      <c r="A575" s="1">
        <v>2007</v>
      </c>
      <c r="B575" s="1" t="s">
        <v>601</v>
      </c>
      <c r="C575" s="1">
        <v>3.4695321642732084</v>
      </c>
    </row>
    <row r="576" spans="1:4">
      <c r="A576" s="1">
        <v>2007</v>
      </c>
      <c r="B576" s="1" t="s">
        <v>602</v>
      </c>
      <c r="C576" s="1">
        <v>3.632372018760603</v>
      </c>
    </row>
    <row r="577" spans="1:4">
      <c r="A577" s="1">
        <v>2007</v>
      </c>
      <c r="B577" s="1" t="s">
        <v>603</v>
      </c>
      <c r="C577" s="1">
        <v>3.1601818000381021</v>
      </c>
    </row>
    <row r="578" spans="1:4">
      <c r="A578" s="1">
        <v>2007</v>
      </c>
      <c r="B578" s="1" t="s">
        <v>604</v>
      </c>
      <c r="C578" s="1">
        <v>2.9882700873619945</v>
      </c>
      <c r="D578" s="10">
        <f t="shared" ref="D578" si="6">AVERAGE(C567:C578)</f>
        <v>3.2287499281811232</v>
      </c>
    </row>
    <row r="579" spans="1:4">
      <c r="A579" s="1">
        <v>2008</v>
      </c>
      <c r="B579" s="1" t="s">
        <v>605</v>
      </c>
      <c r="C579" s="1">
        <v>3.202819533525052</v>
      </c>
    </row>
    <row r="580" spans="1:4">
      <c r="A580" s="1">
        <v>2008</v>
      </c>
      <c r="B580" s="1" t="s">
        <v>606</v>
      </c>
      <c r="C580" s="1">
        <v>3.5779408696283261</v>
      </c>
    </row>
    <row r="581" spans="1:4">
      <c r="A581" s="1">
        <v>2008</v>
      </c>
      <c r="B581" s="1" t="s">
        <v>607</v>
      </c>
      <c r="C581" s="1">
        <v>3.8278705627273637</v>
      </c>
    </row>
    <row r="582" spans="1:4">
      <c r="A582" s="1">
        <v>2008</v>
      </c>
      <c r="B582" s="1" t="s">
        <v>608</v>
      </c>
      <c r="C582" s="1">
        <v>3.9394544184485309</v>
      </c>
    </row>
    <row r="583" spans="1:4">
      <c r="A583" s="1">
        <v>2008</v>
      </c>
      <c r="B583" s="1" t="s">
        <v>609</v>
      </c>
      <c r="C583" s="1">
        <v>3.8024693597989678</v>
      </c>
    </row>
    <row r="584" spans="1:4">
      <c r="A584" s="1">
        <v>2008</v>
      </c>
      <c r="B584" s="1" t="s">
        <v>610</v>
      </c>
      <c r="C584" s="1">
        <v>3.7471310248478198</v>
      </c>
    </row>
    <row r="585" spans="1:4">
      <c r="A585" s="1">
        <v>2008</v>
      </c>
      <c r="B585" s="1" t="s">
        <v>611</v>
      </c>
      <c r="C585" s="1">
        <v>3.8165307399914727</v>
      </c>
    </row>
    <row r="586" spans="1:4">
      <c r="A586" s="1">
        <v>2008</v>
      </c>
      <c r="B586" s="1" t="s">
        <v>612</v>
      </c>
      <c r="C586" s="1">
        <v>3.4631818635411094</v>
      </c>
    </row>
    <row r="587" spans="1:4">
      <c r="A587" s="1">
        <v>2008</v>
      </c>
      <c r="B587" s="1" t="s">
        <v>613</v>
      </c>
      <c r="C587" s="1">
        <v>3.1710680298645575</v>
      </c>
    </row>
    <row r="588" spans="1:4">
      <c r="A588" s="1">
        <v>2008</v>
      </c>
      <c r="B588" s="1" t="s">
        <v>614</v>
      </c>
      <c r="C588" s="1">
        <v>2.2343986718799611</v>
      </c>
    </row>
    <row r="589" spans="1:4">
      <c r="A589" s="1">
        <v>2008</v>
      </c>
      <c r="B589" s="1" t="s">
        <v>615</v>
      </c>
      <c r="C589" s="1">
        <v>1.6860048443722728</v>
      </c>
    </row>
    <row r="590" spans="1:4">
      <c r="A590" s="1">
        <v>2008</v>
      </c>
      <c r="B590" s="1" t="s">
        <v>616</v>
      </c>
      <c r="C590" s="1">
        <v>1.3934374177862852</v>
      </c>
      <c r="D590" s="10">
        <f t="shared" ref="D590" si="7">AVERAGE(C579:C590)</f>
        <v>3.1551922780343098</v>
      </c>
    </row>
    <row r="591" spans="1:4">
      <c r="A591" s="1">
        <v>2009</v>
      </c>
      <c r="B591" s="1" t="s">
        <v>617</v>
      </c>
      <c r="C591" s="1">
        <v>1.4610227612921955</v>
      </c>
    </row>
    <row r="592" spans="1:4">
      <c r="A592" s="1">
        <v>2009</v>
      </c>
      <c r="B592" s="1" t="s">
        <v>618</v>
      </c>
      <c r="C592" s="1">
        <v>1.5036604947791457</v>
      </c>
    </row>
    <row r="593" spans="1:4">
      <c r="A593" s="1">
        <v>2009</v>
      </c>
      <c r="B593" s="1" t="s">
        <v>619</v>
      </c>
      <c r="C593" s="1">
        <v>1.7009734103836489</v>
      </c>
    </row>
    <row r="594" spans="1:4">
      <c r="A594" s="1">
        <v>2009</v>
      </c>
      <c r="B594" s="1" t="s">
        <v>620</v>
      </c>
      <c r="C594" s="1">
        <v>1.9989839518828643</v>
      </c>
    </row>
    <row r="595" spans="1:4">
      <c r="A595" s="1">
        <v>2009</v>
      </c>
      <c r="B595" s="1" t="s">
        <v>621</v>
      </c>
      <c r="C595" s="1">
        <v>2.0724660032114377</v>
      </c>
    </row>
    <row r="596" spans="1:4">
      <c r="A596" s="1">
        <v>2009</v>
      </c>
      <c r="B596" s="1" t="s">
        <v>622</v>
      </c>
      <c r="C596" s="1">
        <v>2.2743148479102975</v>
      </c>
    </row>
    <row r="597" spans="1:4">
      <c r="A597" s="1">
        <v>2009</v>
      </c>
      <c r="B597" s="1" t="s">
        <v>623</v>
      </c>
      <c r="C597" s="1">
        <v>2.3659406156162968</v>
      </c>
    </row>
    <row r="598" spans="1:4">
      <c r="A598" s="1">
        <v>2009</v>
      </c>
      <c r="B598" s="1" t="s">
        <v>624</v>
      </c>
      <c r="C598" s="1">
        <v>2.7964002866707189</v>
      </c>
    </row>
    <row r="599" spans="1:4">
      <c r="A599" s="1">
        <v>2009</v>
      </c>
      <c r="B599" s="1" t="s">
        <v>625</v>
      </c>
      <c r="C599" s="1">
        <v>2.8104616668632239</v>
      </c>
    </row>
    <row r="600" spans="1:4">
      <c r="A600" s="1">
        <v>2009</v>
      </c>
      <c r="B600" s="1" t="s">
        <v>626</v>
      </c>
      <c r="C600" s="1">
        <v>2.8521922145313026</v>
      </c>
    </row>
    <row r="601" spans="1:4">
      <c r="A601" s="1">
        <v>2009</v>
      </c>
      <c r="B601" s="1" t="s">
        <v>627</v>
      </c>
      <c r="C601" s="1">
        <v>3.0281862633923309</v>
      </c>
    </row>
    <row r="602" spans="1:4">
      <c r="A602" s="1">
        <v>2009</v>
      </c>
      <c r="B602" s="1" t="s">
        <v>628</v>
      </c>
      <c r="C602" s="1">
        <v>3.1669856936796363</v>
      </c>
      <c r="D602" s="10">
        <f t="shared" ref="D602" si="8">AVERAGE(C591:C602)</f>
        <v>2.3359656841844245</v>
      </c>
    </row>
    <row r="603" spans="1:4">
      <c r="A603" s="1">
        <v>2010</v>
      </c>
      <c r="B603" s="1" t="s">
        <v>629</v>
      </c>
      <c r="C603" s="1">
        <v>3.3502372290916349</v>
      </c>
    </row>
    <row r="604" spans="1:4">
      <c r="A604" s="1">
        <v>2010</v>
      </c>
      <c r="B604" s="1" t="s">
        <v>630</v>
      </c>
      <c r="C604" s="1">
        <v>3.1062042438152608</v>
      </c>
    </row>
    <row r="605" spans="1:4">
      <c r="A605" s="1">
        <v>2010</v>
      </c>
      <c r="B605" s="1" t="s">
        <v>631</v>
      </c>
      <c r="C605" s="1">
        <v>3.3851638831181794</v>
      </c>
    </row>
    <row r="606" spans="1:4">
      <c r="A606" s="1">
        <v>2010</v>
      </c>
      <c r="B606" s="1" t="s">
        <v>632</v>
      </c>
      <c r="C606" s="1">
        <v>3.5130770835790295</v>
      </c>
    </row>
    <row r="607" spans="1:4">
      <c r="A607" s="1">
        <v>2010</v>
      </c>
      <c r="B607" s="1" t="s">
        <v>633</v>
      </c>
      <c r="C607" s="1">
        <v>3.1016683147209045</v>
      </c>
    </row>
    <row r="608" spans="1:4">
      <c r="A608" s="1">
        <v>2010</v>
      </c>
      <c r="B608" s="1" t="s">
        <v>634</v>
      </c>
      <c r="C608" s="1">
        <v>2.9479003184222226</v>
      </c>
    </row>
    <row r="609" spans="1:4">
      <c r="A609" s="1">
        <v>2010</v>
      </c>
      <c r="B609" s="1" t="s">
        <v>635</v>
      </c>
      <c r="C609" s="1">
        <v>3.0549482450490335</v>
      </c>
    </row>
    <row r="610" spans="1:4">
      <c r="A610" s="1">
        <v>2010</v>
      </c>
      <c r="B610" s="1" t="s">
        <v>636</v>
      </c>
      <c r="C610" s="1">
        <v>3.3039707523291999</v>
      </c>
    </row>
    <row r="611" spans="1:4">
      <c r="A611" s="1">
        <v>2010</v>
      </c>
      <c r="B611" s="1" t="s">
        <v>637</v>
      </c>
      <c r="C611" s="1">
        <v>3.4967477388393466</v>
      </c>
    </row>
    <row r="612" spans="1:4">
      <c r="A612" s="1">
        <v>2010</v>
      </c>
      <c r="B612" s="1" t="s">
        <v>638</v>
      </c>
      <c r="C612" s="1">
        <v>3.7611924050403247</v>
      </c>
    </row>
    <row r="613" spans="1:4">
      <c r="A613" s="1">
        <v>2010</v>
      </c>
      <c r="B613" s="1" t="s">
        <v>639</v>
      </c>
      <c r="C613" s="1">
        <v>3.8419319429198686</v>
      </c>
    </row>
    <row r="614" spans="1:4">
      <c r="A614" s="1">
        <v>2010</v>
      </c>
      <c r="B614" s="1" t="s">
        <v>640</v>
      </c>
      <c r="C614" s="1">
        <v>4.1490143426077966</v>
      </c>
      <c r="D614" s="10">
        <f t="shared" ref="D614" si="9">AVERAGE(C603:C614)</f>
        <v>3.417671374961067</v>
      </c>
    </row>
    <row r="615" spans="1:4">
      <c r="A615" s="1">
        <v>2011</v>
      </c>
      <c r="B615" s="1" t="s">
        <v>641</v>
      </c>
      <c r="C615" s="1">
        <v>4.334533842566973</v>
      </c>
    </row>
    <row r="616" spans="1:4">
      <c r="A616" s="1">
        <v>2011</v>
      </c>
      <c r="B616" s="1" t="s">
        <v>642</v>
      </c>
      <c r="C616" s="1">
        <v>4.4760548303108925</v>
      </c>
    </row>
    <row r="617" spans="1:4">
      <c r="A617" s="1">
        <v>2011</v>
      </c>
      <c r="B617" s="1" t="s">
        <v>643</v>
      </c>
      <c r="C617" s="1">
        <v>4.3104934183668844</v>
      </c>
    </row>
    <row r="618" spans="1:4">
      <c r="A618" s="1">
        <v>2011</v>
      </c>
      <c r="B618" s="1" t="s">
        <v>644</v>
      </c>
      <c r="C618" s="1">
        <v>4.3059574892725276</v>
      </c>
    </row>
    <row r="619" spans="1:4">
      <c r="A619" s="1">
        <v>2011</v>
      </c>
      <c r="B619" s="1" t="s">
        <v>645</v>
      </c>
      <c r="C619" s="1">
        <v>4.0641924685433315</v>
      </c>
    </row>
    <row r="620" spans="1:4">
      <c r="A620" s="1">
        <v>2011</v>
      </c>
      <c r="B620" s="1" t="s">
        <v>646</v>
      </c>
      <c r="C620" s="1">
        <v>4.1127269098529453</v>
      </c>
    </row>
    <row r="621" spans="1:4">
      <c r="A621" s="1">
        <v>2011</v>
      </c>
      <c r="B621" s="1" t="s">
        <v>647</v>
      </c>
      <c r="C621" s="1">
        <v>4.3771715760539234</v>
      </c>
    </row>
    <row r="622" spans="1:4">
      <c r="A622" s="1">
        <v>2011</v>
      </c>
      <c r="B622" s="1" t="s">
        <v>648</v>
      </c>
      <c r="C622" s="1">
        <v>4.0827897778301931</v>
      </c>
    </row>
    <row r="623" spans="1:4">
      <c r="A623" s="1">
        <v>2011</v>
      </c>
      <c r="B623" s="1" t="s">
        <v>649</v>
      </c>
      <c r="C623" s="1">
        <v>3.7648211483158098</v>
      </c>
    </row>
    <row r="624" spans="1:4">
      <c r="A624" s="1">
        <v>2011</v>
      </c>
      <c r="B624" s="1" t="s">
        <v>650</v>
      </c>
      <c r="C624" s="1">
        <v>3.35386597236712</v>
      </c>
    </row>
    <row r="625" spans="1:4">
      <c r="A625" s="1">
        <v>2011</v>
      </c>
      <c r="B625" s="1" t="s">
        <v>651</v>
      </c>
      <c r="C625" s="1">
        <v>3.4386878464315846</v>
      </c>
    </row>
    <row r="626" spans="1:4">
      <c r="A626" s="1">
        <v>2011</v>
      </c>
      <c r="B626" s="1" t="s">
        <v>652</v>
      </c>
      <c r="C626" s="1">
        <v>3.4314303598806144</v>
      </c>
      <c r="D626" s="10">
        <f t="shared" ref="D626" si="10">AVERAGE(C615:C626)</f>
        <v>4.0043938033160673</v>
      </c>
    </row>
    <row r="627" spans="1:4">
      <c r="A627" s="1">
        <v>2012</v>
      </c>
      <c r="B627" s="1" t="s">
        <v>653</v>
      </c>
      <c r="C627" s="1">
        <v>3.6468869918625435</v>
      </c>
    </row>
    <row r="628" spans="1:4">
      <c r="A628" s="1">
        <v>2012</v>
      </c>
      <c r="B628" s="1" t="s">
        <v>654</v>
      </c>
      <c r="C628" s="1">
        <v>3.8287777485462349</v>
      </c>
    </row>
    <row r="629" spans="1:4">
      <c r="A629" s="1">
        <v>2012</v>
      </c>
      <c r="B629" s="1" t="s">
        <v>655</v>
      </c>
      <c r="C629" s="1">
        <v>3.8423855358293042</v>
      </c>
    </row>
    <row r="630" spans="1:4">
      <c r="A630" s="1">
        <v>2012</v>
      </c>
      <c r="B630" s="1" t="s">
        <v>656</v>
      </c>
      <c r="C630" s="1">
        <v>3.7598316263120175</v>
      </c>
    </row>
    <row r="631" spans="1:4">
      <c r="A631" s="1">
        <v>2012</v>
      </c>
      <c r="B631" s="1" t="s">
        <v>657</v>
      </c>
      <c r="C631" s="1">
        <v>3.6087851874699495</v>
      </c>
    </row>
    <row r="632" spans="1:4">
      <c r="A632" s="1">
        <v>2012</v>
      </c>
      <c r="B632" s="1" t="s">
        <v>658</v>
      </c>
      <c r="C632" s="1">
        <v>3.3670201667407538</v>
      </c>
    </row>
    <row r="633" spans="1:4">
      <c r="A633" s="1">
        <v>2012</v>
      </c>
      <c r="B633" s="1" t="s">
        <v>659</v>
      </c>
      <c r="C633" s="1">
        <v>3.4400486251598918</v>
      </c>
    </row>
    <row r="634" spans="1:4">
      <c r="A634" s="1">
        <v>2012</v>
      </c>
      <c r="B634" s="1" t="s">
        <v>660</v>
      </c>
      <c r="C634" s="1">
        <v>3.4092043073182681</v>
      </c>
    </row>
    <row r="635" spans="1:4">
      <c r="A635" s="1">
        <v>2012</v>
      </c>
      <c r="B635" s="1" t="s">
        <v>661</v>
      </c>
      <c r="C635" s="1">
        <v>3.6686594515154543</v>
      </c>
    </row>
    <row r="636" spans="1:4">
      <c r="A636" s="1">
        <v>2012</v>
      </c>
      <c r="B636" s="1" t="s">
        <v>662</v>
      </c>
      <c r="C636" s="1">
        <v>3.6568660358701273</v>
      </c>
    </row>
    <row r="637" spans="1:4">
      <c r="A637" s="1">
        <v>2012</v>
      </c>
      <c r="B637" s="1" t="s">
        <v>663</v>
      </c>
      <c r="C637" s="1">
        <v>3.4976549246582178</v>
      </c>
    </row>
    <row r="638" spans="1:4">
      <c r="A638" s="1">
        <v>2012</v>
      </c>
      <c r="B638" s="1" t="s">
        <v>664</v>
      </c>
      <c r="C638" s="1">
        <v>3.6133211165643062</v>
      </c>
      <c r="D638" s="10">
        <f t="shared" ref="D638" si="11">AVERAGE(C627:C638)</f>
        <v>3.6116201431539232</v>
      </c>
    </row>
    <row r="639" spans="1:4">
      <c r="A639" s="1">
        <v>2013</v>
      </c>
      <c r="B639" s="1" t="s">
        <v>665</v>
      </c>
      <c r="C639" s="1">
        <v>3.650062142228593</v>
      </c>
    </row>
    <row r="640" spans="1:4">
      <c r="A640" s="1">
        <v>2013</v>
      </c>
      <c r="B640" s="1" t="s">
        <v>666</v>
      </c>
      <c r="C640" s="1">
        <v>3.6564124429606917</v>
      </c>
    </row>
    <row r="641" spans="1:4">
      <c r="A641" s="1">
        <v>2013</v>
      </c>
      <c r="B641" s="1" t="s">
        <v>667</v>
      </c>
      <c r="C641" s="1">
        <v>3.4681713855449012</v>
      </c>
    </row>
    <row r="642" spans="1:4">
      <c r="A642" s="1">
        <v>2013</v>
      </c>
      <c r="B642" s="1" t="s">
        <v>668</v>
      </c>
      <c r="C642" s="1">
        <v>3.281291106857418</v>
      </c>
    </row>
    <row r="643" spans="1:4">
      <c r="A643" s="1">
        <v>2013</v>
      </c>
      <c r="B643" s="1" t="s">
        <v>669</v>
      </c>
      <c r="C643" s="1">
        <v>3.2880950004989522</v>
      </c>
    </row>
    <row r="644" spans="1:4">
      <c r="A644" s="1">
        <v>2013</v>
      </c>
      <c r="B644" s="1" t="s">
        <v>670</v>
      </c>
      <c r="C644" s="1">
        <v>3.1751503660494782</v>
      </c>
    </row>
    <row r="645" spans="1:4">
      <c r="A645" s="1">
        <v>2013</v>
      </c>
      <c r="B645" s="1" t="s">
        <v>671</v>
      </c>
      <c r="C645" s="1">
        <v>3.1329662254719635</v>
      </c>
    </row>
    <row r="646" spans="1:4">
      <c r="A646" s="1">
        <v>2013</v>
      </c>
      <c r="B646" s="1" t="s">
        <v>672</v>
      </c>
      <c r="C646" s="1">
        <v>3.2626937975705563</v>
      </c>
    </row>
    <row r="647" spans="1:4">
      <c r="A647" s="1">
        <v>2013</v>
      </c>
      <c r="B647" s="1" t="s">
        <v>673</v>
      </c>
      <c r="C647" s="1">
        <v>3.2472716386497447</v>
      </c>
    </row>
    <row r="648" spans="1:4">
      <c r="A648" s="1">
        <v>2013</v>
      </c>
      <c r="B648" s="1" t="s">
        <v>674</v>
      </c>
      <c r="C648" s="1">
        <v>3.2672297266649131</v>
      </c>
    </row>
    <row r="649" spans="1:4">
      <c r="A649" s="1">
        <v>2013</v>
      </c>
      <c r="B649" s="1" t="s">
        <v>675</v>
      </c>
      <c r="C649" s="1">
        <v>3.2073554626194083</v>
      </c>
    </row>
    <row r="650" spans="1:4">
      <c r="A650" s="1">
        <v>2013</v>
      </c>
      <c r="B650" s="1" t="s">
        <v>676</v>
      </c>
      <c r="C650" s="1">
        <v>3.2726728415781405</v>
      </c>
      <c r="D650" s="10">
        <f t="shared" ref="D650" si="12">AVERAGE(C639:C650)</f>
        <v>3.3257810113912307</v>
      </c>
    </row>
    <row r="651" spans="1:4">
      <c r="A651" s="1">
        <v>2014</v>
      </c>
      <c r="B651" s="1" t="s">
        <v>677</v>
      </c>
      <c r="C651" s="1">
        <v>3.3071459026952494</v>
      </c>
    </row>
    <row r="652" spans="1:4">
      <c r="A652" s="1">
        <v>2014</v>
      </c>
      <c r="B652" s="1" t="s">
        <v>678</v>
      </c>
      <c r="C652" s="1">
        <v>3.2427357095553884</v>
      </c>
    </row>
    <row r="653" spans="1:4">
      <c r="A653" s="1">
        <v>2014</v>
      </c>
      <c r="B653" s="1" t="s">
        <v>679</v>
      </c>
      <c r="C653" s="1">
        <v>3.0163928477470043</v>
      </c>
    </row>
    <row r="654" spans="1:4">
      <c r="A654" s="1">
        <v>2014</v>
      </c>
      <c r="B654" s="1" t="s">
        <v>680</v>
      </c>
      <c r="C654" s="1">
        <v>3.0272790775734597</v>
      </c>
    </row>
    <row r="655" spans="1:4">
      <c r="A655" s="1">
        <v>2014</v>
      </c>
      <c r="B655" s="1" t="s">
        <v>681</v>
      </c>
      <c r="C655" s="1">
        <v>3.1257087389209932</v>
      </c>
    </row>
    <row r="656" spans="1:4">
      <c r="A656" s="1">
        <v>2014</v>
      </c>
      <c r="B656" s="1" t="s">
        <v>682</v>
      </c>
      <c r="C656" s="1">
        <v>3.0939572352604987</v>
      </c>
    </row>
    <row r="657" spans="1:4">
      <c r="A657" s="1">
        <v>2014</v>
      </c>
      <c r="B657" s="1" t="s">
        <v>683</v>
      </c>
      <c r="C657" s="1">
        <v>3.2264063648157055</v>
      </c>
    </row>
    <row r="658" spans="1:4">
      <c r="A658" s="1">
        <v>2014</v>
      </c>
      <c r="B658" s="1" t="s">
        <v>684</v>
      </c>
      <c r="C658" s="1">
        <v>3.1760575518683494</v>
      </c>
    </row>
    <row r="659" spans="1:4">
      <c r="A659" s="1">
        <v>2014</v>
      </c>
      <c r="B659" s="1" t="s">
        <v>685</v>
      </c>
      <c r="C659" s="1">
        <v>3.1170904736417162</v>
      </c>
    </row>
    <row r="660" spans="1:4">
      <c r="A660" s="1">
        <v>2014</v>
      </c>
      <c r="B660" s="1" t="s">
        <v>686</v>
      </c>
      <c r="C660" s="1">
        <v>3.0558554308679047</v>
      </c>
    </row>
    <row r="661" spans="1:4">
      <c r="A661" s="1">
        <v>2014</v>
      </c>
      <c r="B661" s="1" t="s">
        <v>687</v>
      </c>
      <c r="C661" s="1">
        <v>3.0449692010414493</v>
      </c>
    </row>
    <row r="662" spans="1:4">
      <c r="A662" s="1">
        <v>2014</v>
      </c>
      <c r="B662" s="1" t="s">
        <v>688</v>
      </c>
      <c r="C662" s="1">
        <v>2.9238598942221339</v>
      </c>
      <c r="D662" s="10">
        <f t="shared" ref="D662" si="13">AVERAGE(C651:C662)</f>
        <v>3.1131215356841544</v>
      </c>
    </row>
    <row r="663" spans="1:4">
      <c r="A663" s="1">
        <v>2015</v>
      </c>
      <c r="B663" s="1" t="s">
        <v>689</v>
      </c>
      <c r="C663" s="1">
        <v>2.6449002549192153</v>
      </c>
    </row>
    <row r="664" spans="1:4">
      <c r="A664" s="1">
        <v>2015</v>
      </c>
      <c r="B664" s="1" t="s">
        <v>690</v>
      </c>
      <c r="C664" s="1">
        <v>2.5986337781567799</v>
      </c>
    </row>
    <row r="665" spans="1:4">
      <c r="A665" s="1">
        <v>2015</v>
      </c>
      <c r="B665" s="1" t="s">
        <v>691</v>
      </c>
      <c r="C665" s="1">
        <v>2.6943418820476999</v>
      </c>
    </row>
    <row r="666" spans="1:4">
      <c r="A666" s="1">
        <v>2015</v>
      </c>
      <c r="B666" s="1" t="s">
        <v>692</v>
      </c>
      <c r="C666" s="1">
        <v>2.7406083588101353</v>
      </c>
    </row>
    <row r="667" spans="1:4">
      <c r="A667" s="1">
        <v>2015</v>
      </c>
      <c r="B667" s="1" t="s">
        <v>693</v>
      </c>
      <c r="C667" s="1">
        <v>2.8553673648973521</v>
      </c>
    </row>
    <row r="668" spans="1:4">
      <c r="A668" s="1">
        <v>2015</v>
      </c>
      <c r="B668" s="1" t="s">
        <v>694</v>
      </c>
      <c r="C668" s="1">
        <v>2.6458074407380865</v>
      </c>
    </row>
    <row r="669" spans="1:4">
      <c r="A669" s="1">
        <v>2015</v>
      </c>
      <c r="B669" s="1" t="s">
        <v>695</v>
      </c>
      <c r="C669" s="1">
        <v>2.4752565067902861</v>
      </c>
    </row>
    <row r="670" spans="1:4">
      <c r="A670" s="1">
        <v>2015</v>
      </c>
      <c r="B670" s="1" t="s">
        <v>696</v>
      </c>
      <c r="C670" s="1">
        <v>2.3255708466765248</v>
      </c>
    </row>
    <row r="671" spans="1:4">
      <c r="A671" s="1">
        <v>2015</v>
      </c>
      <c r="B671" s="1" t="s">
        <v>697</v>
      </c>
      <c r="C671" s="1">
        <v>2.3663942085257323</v>
      </c>
    </row>
    <row r="672" spans="1:4">
      <c r="A672" s="1">
        <v>2015</v>
      </c>
      <c r="B672" s="1" t="s">
        <v>698</v>
      </c>
      <c r="C672" s="1">
        <v>2.3659406156162968</v>
      </c>
    </row>
    <row r="673" spans="1:4">
      <c r="A673" s="1">
        <v>2015</v>
      </c>
      <c r="B673" s="1" t="s">
        <v>699</v>
      </c>
      <c r="C673" s="1">
        <v>2.1772459652910707</v>
      </c>
    </row>
    <row r="674" spans="1:4">
      <c r="A674" s="1">
        <v>2015</v>
      </c>
      <c r="B674" s="1" t="s">
        <v>700</v>
      </c>
      <c r="C674" s="1">
        <v>2.1042175068719327</v>
      </c>
      <c r="D674" s="10">
        <f t="shared" ref="D674" si="14">AVERAGE(C663:C674)</f>
        <v>2.499523727445093</v>
      </c>
    </row>
    <row r="675" spans="1:4">
      <c r="A675" s="1">
        <v>2016</v>
      </c>
      <c r="B675" s="1" t="s">
        <v>701</v>
      </c>
      <c r="C675" s="1">
        <v>2.0284674909961811</v>
      </c>
    </row>
    <row r="676" spans="1:4">
      <c r="A676" s="1">
        <v>2016</v>
      </c>
      <c r="B676" s="1" t="s">
        <v>702</v>
      </c>
      <c r="C676" s="1">
        <v>2.086073790494507</v>
      </c>
    </row>
    <row r="677" spans="1:4">
      <c r="A677" s="1">
        <v>2016</v>
      </c>
      <c r="B677" s="1" t="s">
        <v>703</v>
      </c>
      <c r="C677" s="1">
        <v>2.2470992733441593</v>
      </c>
    </row>
    <row r="678" spans="1:4">
      <c r="A678" s="1">
        <v>2016</v>
      </c>
      <c r="B678" s="1" t="s">
        <v>704</v>
      </c>
      <c r="C678" s="1">
        <v>2.2103582476798724</v>
      </c>
    </row>
    <row r="679" spans="1:4">
      <c r="A679" s="1">
        <v>2016</v>
      </c>
      <c r="B679" s="1" t="s">
        <v>705</v>
      </c>
      <c r="C679" s="1">
        <v>2.1296187098003285</v>
      </c>
    </row>
    <row r="680" spans="1:4">
      <c r="A680" s="1">
        <v>2016</v>
      </c>
      <c r="B680" s="1" t="s">
        <v>706</v>
      </c>
      <c r="C680" s="1">
        <v>2.1055782856002394</v>
      </c>
    </row>
    <row r="681" spans="1:4">
      <c r="A681" s="1">
        <v>2016</v>
      </c>
      <c r="B681" s="1" t="s">
        <v>707</v>
      </c>
      <c r="C681" s="1">
        <v>2.2067295044043873</v>
      </c>
    </row>
    <row r="682" spans="1:4">
      <c r="A682" s="1">
        <v>2016</v>
      </c>
      <c r="B682" s="1" t="s">
        <v>708</v>
      </c>
      <c r="C682" s="1">
        <v>2.15547350563816</v>
      </c>
    </row>
    <row r="683" spans="1:4">
      <c r="A683" s="1">
        <v>2016</v>
      </c>
      <c r="B683" s="1" t="s">
        <v>709</v>
      </c>
      <c r="C683" s="1">
        <v>2.1418657183550907</v>
      </c>
    </row>
    <row r="684" spans="1:4">
      <c r="A684" s="1">
        <v>2016</v>
      </c>
      <c r="B684" s="1" t="s">
        <v>710</v>
      </c>
      <c r="C684" s="1">
        <v>2.1459480545400114</v>
      </c>
    </row>
    <row r="685" spans="1:4">
      <c r="A685" s="1">
        <v>2016</v>
      </c>
      <c r="B685" s="1" t="s">
        <v>711</v>
      </c>
      <c r="C685" s="1">
        <v>2.4725349493336721</v>
      </c>
    </row>
    <row r="686" spans="1:4">
      <c r="A686" s="1">
        <v>2016</v>
      </c>
      <c r="B686" s="1" t="s">
        <v>712</v>
      </c>
      <c r="C686" s="1">
        <v>2.567335867405721</v>
      </c>
      <c r="D686" s="10">
        <f t="shared" ref="D686" si="15">AVERAGE(C675:C686)</f>
        <v>2.2080902831326941</v>
      </c>
    </row>
    <row r="687" spans="1:4">
      <c r="A687" s="1">
        <v>2017</v>
      </c>
      <c r="B687" s="1" t="s">
        <v>713</v>
      </c>
      <c r="C687" s="1">
        <v>2.6104271938021064</v>
      </c>
    </row>
    <row r="688" spans="1:4">
      <c r="A688" s="1">
        <v>2017</v>
      </c>
      <c r="B688" s="1" t="s">
        <v>714</v>
      </c>
      <c r="C688" s="1">
        <v>2.6947954749571355</v>
      </c>
    </row>
    <row r="689" spans="1:4">
      <c r="A689" s="1">
        <v>2017</v>
      </c>
      <c r="B689" s="1" t="s">
        <v>715</v>
      </c>
      <c r="C689" s="1">
        <v>2.6421786974626014</v>
      </c>
    </row>
    <row r="690" spans="1:4">
      <c r="A690" s="1">
        <v>2017</v>
      </c>
      <c r="B690" s="1" t="s">
        <v>716</v>
      </c>
      <c r="C690" s="1">
        <v>2.5782220972321763</v>
      </c>
    </row>
    <row r="691" spans="1:4">
      <c r="A691" s="1">
        <v>2017</v>
      </c>
      <c r="B691" s="1" t="s">
        <v>717</v>
      </c>
      <c r="C691" s="1">
        <v>2.5401202928395823</v>
      </c>
    </row>
    <row r="692" spans="1:4">
      <c r="A692" s="1">
        <v>2017</v>
      </c>
      <c r="B692" s="1" t="s">
        <v>718</v>
      </c>
      <c r="C692" s="1">
        <v>2.5945514419718592</v>
      </c>
    </row>
    <row r="693" spans="1:4">
      <c r="A693" s="1">
        <v>2017</v>
      </c>
      <c r="B693" s="1" t="s">
        <v>719</v>
      </c>
      <c r="C693" s="1">
        <v>2.7147535629723039</v>
      </c>
    </row>
    <row r="694" spans="1:4">
      <c r="A694" s="1">
        <v>2017</v>
      </c>
      <c r="B694" s="1" t="s">
        <v>720</v>
      </c>
      <c r="C694" s="1">
        <v>2.9420036105995591</v>
      </c>
    </row>
    <row r="695" spans="1:4">
      <c r="A695" s="1">
        <v>2017</v>
      </c>
      <c r="B695" s="1" t="s">
        <v>721</v>
      </c>
      <c r="C695" s="1">
        <v>2.9832805653582026</v>
      </c>
    </row>
    <row r="696" spans="1:4">
      <c r="A696" s="1">
        <v>2017</v>
      </c>
      <c r="B696" s="1" t="s">
        <v>722</v>
      </c>
      <c r="C696" s="1">
        <v>3.0880605274378352</v>
      </c>
    </row>
    <row r="697" spans="1:4">
      <c r="A697" s="1">
        <v>2017</v>
      </c>
      <c r="B697" s="1" t="s">
        <v>723</v>
      </c>
      <c r="C697" s="1">
        <v>3.0966787927171122</v>
      </c>
    </row>
    <row r="698" spans="1:4">
      <c r="A698" s="1">
        <v>2017</v>
      </c>
      <c r="B698" s="1" t="s">
        <v>724</v>
      </c>
      <c r="C698" s="1">
        <v>3.0998539430831618</v>
      </c>
      <c r="D698" s="10">
        <f t="shared" ref="D698" si="16">AVERAGE(C687:C698)</f>
        <v>2.7987438500361361</v>
      </c>
    </row>
    <row r="699" spans="1:4">
      <c r="A699" s="1">
        <v>2018</v>
      </c>
      <c r="B699" s="1" t="s">
        <v>725</v>
      </c>
      <c r="C699" s="1">
        <v>3.2050874980722304</v>
      </c>
    </row>
    <row r="700" spans="1:4">
      <c r="A700" s="1">
        <v>2018</v>
      </c>
      <c r="B700" s="1" t="s">
        <v>726</v>
      </c>
      <c r="C700" s="1">
        <v>3.1783255164155277</v>
      </c>
    </row>
    <row r="701" spans="1:4">
      <c r="A701" s="1">
        <v>2018</v>
      </c>
      <c r="B701" s="1" t="s">
        <v>727</v>
      </c>
      <c r="C701" s="1">
        <v>3.0839781912529145</v>
      </c>
    </row>
    <row r="702" spans="1:4">
      <c r="A702" s="1">
        <v>2018</v>
      </c>
      <c r="B702" s="1" t="s">
        <v>728</v>
      </c>
      <c r="C702" s="1">
        <v>3.1080186154530032</v>
      </c>
    </row>
    <row r="703" spans="1:4">
      <c r="A703" s="1">
        <v>2018</v>
      </c>
      <c r="B703" s="1" t="s">
        <v>729</v>
      </c>
      <c r="C703" s="1">
        <v>3.095771606898241</v>
      </c>
    </row>
    <row r="704" spans="1:4">
      <c r="A704" s="1">
        <v>2018</v>
      </c>
      <c r="B704" s="1" t="s">
        <v>730</v>
      </c>
      <c r="C704" s="1">
        <v>3.1597282071286665</v>
      </c>
    </row>
    <row r="705" spans="1:4">
      <c r="A705" s="1">
        <v>2018</v>
      </c>
      <c r="B705" s="1" t="s">
        <v>731</v>
      </c>
      <c r="C705" s="1">
        <v>2.8354092768821841</v>
      </c>
    </row>
    <row r="706" spans="1:4">
      <c r="A706" s="1">
        <v>2018</v>
      </c>
      <c r="B706" s="1" t="s">
        <v>732</v>
      </c>
      <c r="C706" s="1">
        <v>2.744690694995056</v>
      </c>
    </row>
    <row r="707" spans="1:4">
      <c r="A707" s="1">
        <v>2018</v>
      </c>
      <c r="B707" s="1" t="s">
        <v>733</v>
      </c>
      <c r="C707" s="1">
        <v>2.744690694995056</v>
      </c>
    </row>
    <row r="708" spans="1:4">
      <c r="A708" s="1">
        <v>2018</v>
      </c>
      <c r="B708" s="1" t="s">
        <v>734</v>
      </c>
      <c r="C708" s="1">
        <v>2.8213478966896792</v>
      </c>
    </row>
    <row r="709" spans="1:4">
      <c r="A709" s="1">
        <v>2018</v>
      </c>
      <c r="B709" s="1" t="s">
        <v>735</v>
      </c>
      <c r="C709" s="1">
        <v>2.8104616668632239</v>
      </c>
    </row>
    <row r="710" spans="1:4">
      <c r="A710" s="1">
        <v>2018</v>
      </c>
      <c r="B710" s="1" t="s">
        <v>736</v>
      </c>
      <c r="C710" s="1">
        <v>2.7555769248215114</v>
      </c>
      <c r="D710" s="10">
        <f t="shared" ref="D710" si="17">AVERAGE(C699:C710)</f>
        <v>2.9619238992056083</v>
      </c>
    </row>
    <row r="711" spans="1:4">
      <c r="A711" s="1">
        <v>2019</v>
      </c>
      <c r="B711" s="1" t="s">
        <v>737</v>
      </c>
      <c r="C711" s="1">
        <v>2.6938882891382643</v>
      </c>
    </row>
    <row r="712" spans="1:4">
      <c r="A712" s="1">
        <v>2019</v>
      </c>
      <c r="B712" s="1" t="s">
        <v>738</v>
      </c>
      <c r="C712" s="1">
        <v>2.8576353294445305</v>
      </c>
    </row>
    <row r="713" spans="1:4">
      <c r="A713" s="1">
        <v>2019</v>
      </c>
      <c r="B713" s="1" t="s">
        <v>739</v>
      </c>
      <c r="C713" s="1">
        <v>2.9206847438560843</v>
      </c>
    </row>
    <row r="714" spans="1:4">
      <c r="A714" s="1">
        <v>2019</v>
      </c>
      <c r="B714" s="1" t="s">
        <v>740</v>
      </c>
      <c r="C714" s="1">
        <v>2.9202311509466488</v>
      </c>
    </row>
    <row r="715" spans="1:4">
      <c r="A715" s="1">
        <v>2019</v>
      </c>
      <c r="B715" s="1" t="s">
        <v>741</v>
      </c>
      <c r="C715" s="1">
        <v>2.7297221289836799</v>
      </c>
    </row>
    <row r="716" spans="1:4">
      <c r="A716" s="1">
        <v>2019</v>
      </c>
      <c r="B716" s="1" t="s">
        <v>742</v>
      </c>
      <c r="C716" s="1">
        <v>2.6680334933004328</v>
      </c>
    </row>
    <row r="717" spans="1:4">
      <c r="A717" s="1">
        <v>2019</v>
      </c>
      <c r="B717" s="1" t="s">
        <v>743</v>
      </c>
      <c r="C717" s="1">
        <v>2.6947954749571355</v>
      </c>
    </row>
    <row r="718" spans="1:4">
      <c r="A718" s="1">
        <v>2019</v>
      </c>
      <c r="B718" s="1" t="s">
        <v>744</v>
      </c>
      <c r="C718" s="1">
        <v>2.5895619199680673</v>
      </c>
    </row>
    <row r="719" spans="1:4">
      <c r="A719" s="1">
        <v>2019</v>
      </c>
      <c r="B719" s="1" t="s">
        <v>745</v>
      </c>
      <c r="C719" s="1">
        <v>2.6122415654398492</v>
      </c>
    </row>
    <row r="720" spans="1:4">
      <c r="A720" s="1">
        <v>2019</v>
      </c>
      <c r="B720" s="1" t="s">
        <v>746</v>
      </c>
      <c r="C720" s="1">
        <v>2.611334379620978</v>
      </c>
    </row>
    <row r="721" spans="1:4">
      <c r="A721" s="1">
        <v>2019</v>
      </c>
      <c r="B721" s="1" t="s">
        <v>747</v>
      </c>
      <c r="C721" s="1">
        <v>2.6580544492928486</v>
      </c>
    </row>
    <row r="722" spans="1:4">
      <c r="A722" s="1">
        <v>2019</v>
      </c>
      <c r="B722" s="1" t="s">
        <v>748</v>
      </c>
      <c r="C722" s="1">
        <v>2.7564841106403826</v>
      </c>
      <c r="D722" s="10">
        <f t="shared" ref="D722" si="18">AVERAGE(C711:C722)</f>
        <v>2.7260555862990752</v>
      </c>
    </row>
    <row r="723" spans="1:4">
      <c r="A723" s="1">
        <v>2020</v>
      </c>
      <c r="B723" s="1" t="s">
        <v>749</v>
      </c>
      <c r="C723" s="1">
        <v>2.735618836806343</v>
      </c>
    </row>
    <row r="724" spans="1:4">
      <c r="A724" s="1">
        <v>2020</v>
      </c>
      <c r="B724" s="1" t="s">
        <v>750</v>
      </c>
      <c r="C724" s="1">
        <v>2.5800364688699187</v>
      </c>
    </row>
    <row r="725" spans="1:4">
      <c r="A725" s="1">
        <v>2020</v>
      </c>
      <c r="B725" s="1" t="s">
        <v>751</v>
      </c>
      <c r="C725" s="1">
        <v>2.3509720496049207</v>
      </c>
    </row>
    <row r="726" spans="1:4">
      <c r="A726" s="1">
        <v>2020</v>
      </c>
      <c r="B726" s="1" t="s">
        <v>752</v>
      </c>
      <c r="C726" s="1">
        <v>2.2942729359254659</v>
      </c>
    </row>
    <row r="727" spans="1:4">
      <c r="A727" s="1">
        <v>2020</v>
      </c>
      <c r="B727" s="1" t="s">
        <v>753</v>
      </c>
      <c r="C727" s="1">
        <v>2.3768268454427521</v>
      </c>
    </row>
    <row r="728" spans="1:4">
      <c r="A728" s="1">
        <v>2020</v>
      </c>
      <c r="B728" s="1" t="s">
        <v>754</v>
      </c>
      <c r="C728" s="1">
        <v>2.6104271938021064</v>
      </c>
    </row>
    <row r="729" spans="1:4">
      <c r="A729" s="1">
        <v>2020</v>
      </c>
      <c r="B729" s="1" t="s">
        <v>755</v>
      </c>
      <c r="C729" s="1">
        <v>2.8902940189238961</v>
      </c>
    </row>
    <row r="730" spans="1:4">
      <c r="A730" s="1">
        <v>2020</v>
      </c>
      <c r="B730" s="1" t="s">
        <v>756</v>
      </c>
      <c r="C730" s="1">
        <v>2.9479003184222226</v>
      </c>
    </row>
    <row r="731" spans="1:4">
      <c r="A731" s="1">
        <v>2020</v>
      </c>
      <c r="B731" s="1" t="s">
        <v>757</v>
      </c>
      <c r="C731" s="1">
        <v>3.0413404577659642</v>
      </c>
    </row>
    <row r="732" spans="1:4">
      <c r="A732" s="1">
        <v>2020</v>
      </c>
      <c r="B732" s="1" t="s">
        <v>758</v>
      </c>
      <c r="C732" s="1">
        <v>3.0454227939508853</v>
      </c>
    </row>
    <row r="733" spans="1:4">
      <c r="A733" s="1">
        <v>2020</v>
      </c>
      <c r="B733" s="1" t="s">
        <v>759</v>
      </c>
      <c r="C733" s="1">
        <v>3.2064482768005371</v>
      </c>
    </row>
    <row r="734" spans="1:4">
      <c r="A734" s="1">
        <v>2020</v>
      </c>
      <c r="B734" s="1" t="s">
        <v>760</v>
      </c>
      <c r="C734" s="1">
        <v>3.5253240921337921</v>
      </c>
      <c r="D734" s="10">
        <f t="shared" ref="D734" si="19">AVERAGE(C723:C734)</f>
        <v>2.8004070240373999</v>
      </c>
    </row>
    <row r="735" spans="1:4">
      <c r="A735" s="1">
        <v>2021</v>
      </c>
      <c r="B735" s="1" t="s">
        <v>761</v>
      </c>
      <c r="C735" s="1">
        <v>3.6160426740209197</v>
      </c>
    </row>
    <row r="736" spans="1:4">
      <c r="A736" s="1">
        <v>2021</v>
      </c>
      <c r="B736" s="1" t="s">
        <v>762</v>
      </c>
      <c r="C736" s="1">
        <v>3.8423855358293042</v>
      </c>
    </row>
    <row r="737" spans="1:4">
      <c r="A737" s="1">
        <v>2021</v>
      </c>
      <c r="B737" s="1" t="s">
        <v>763</v>
      </c>
      <c r="C737" s="1">
        <v>4.0768930700075297</v>
      </c>
    </row>
    <row r="738" spans="1:4">
      <c r="A738" s="1">
        <v>2021</v>
      </c>
      <c r="B738" s="1" t="s">
        <v>764</v>
      </c>
      <c r="C738" s="1">
        <v>4.2297538804873405</v>
      </c>
    </row>
    <row r="739" spans="1:4">
      <c r="A739" s="1">
        <v>2021</v>
      </c>
      <c r="B739" s="1" t="s">
        <v>765</v>
      </c>
      <c r="C739" s="1">
        <v>4.6094111456849705</v>
      </c>
    </row>
    <row r="740" spans="1:4">
      <c r="A740" s="1">
        <v>2021</v>
      </c>
      <c r="B740" s="1" t="s">
        <v>766</v>
      </c>
      <c r="C740" s="1">
        <v>4.369006903684082</v>
      </c>
    </row>
    <row r="741" spans="1:4">
      <c r="A741" s="1">
        <v>2021</v>
      </c>
      <c r="B741" s="1" t="s">
        <v>767</v>
      </c>
      <c r="C741" s="1">
        <v>4.2869065870762313</v>
      </c>
    </row>
    <row r="742" spans="1:4">
      <c r="A742" s="1">
        <v>2021</v>
      </c>
      <c r="B742" s="1" t="s">
        <v>768</v>
      </c>
      <c r="C742" s="1">
        <v>4.2501655614119445</v>
      </c>
    </row>
    <row r="743" spans="1:4">
      <c r="A743" s="1">
        <v>2021</v>
      </c>
      <c r="B743" s="1" t="s">
        <v>769</v>
      </c>
      <c r="C743" s="1">
        <v>4.2297538804873405</v>
      </c>
    </row>
    <row r="744" spans="1:4">
      <c r="A744" s="1">
        <v>2021</v>
      </c>
      <c r="B744" s="1" t="s">
        <v>770</v>
      </c>
      <c r="C744" s="1">
        <v>4.4583647068429029</v>
      </c>
    </row>
    <row r="745" spans="1:4">
      <c r="A745" s="1">
        <v>2021</v>
      </c>
      <c r="B745" s="1" t="s">
        <v>771</v>
      </c>
      <c r="C745" s="1">
        <v>4.413005415899339</v>
      </c>
    </row>
    <row r="746" spans="1:4">
      <c r="A746" s="1">
        <v>2021</v>
      </c>
      <c r="B746" s="1" t="s">
        <v>772</v>
      </c>
      <c r="C746" s="1">
        <v>4.3322658780197951</v>
      </c>
      <c r="D746" s="10">
        <f t="shared" ref="D746" si="20">AVERAGE(C735:C746)</f>
        <v>4.226162936620975</v>
      </c>
    </row>
    <row r="747" spans="1:4">
      <c r="A747" s="1">
        <v>2022</v>
      </c>
      <c r="B747" s="1" t="s">
        <v>773</v>
      </c>
      <c r="C747" s="1">
        <v>4.4370458400994277</v>
      </c>
    </row>
    <row r="748" spans="1:4">
      <c r="A748" s="1">
        <v>2022</v>
      </c>
      <c r="B748" s="1" t="s">
        <v>774</v>
      </c>
      <c r="C748" s="1">
        <v>4.5100742985185658</v>
      </c>
    </row>
    <row r="749" spans="1:4">
      <c r="A749" s="1">
        <v>2022</v>
      </c>
      <c r="B749" s="1" t="s">
        <v>775</v>
      </c>
      <c r="C749" s="1">
        <v>4.6407090564360303</v>
      </c>
    </row>
    <row r="750" spans="1:4">
      <c r="A750" s="1">
        <v>2022</v>
      </c>
      <c r="B750" s="1" t="s">
        <v>776</v>
      </c>
      <c r="C750" s="1">
        <v>4.6089575527755349</v>
      </c>
    </row>
    <row r="751" spans="1:4">
      <c r="A751" s="1">
        <v>2022</v>
      </c>
      <c r="B751" s="1" t="s">
        <v>777</v>
      </c>
      <c r="C751" s="1">
        <v>4.2533407117779936</v>
      </c>
    </row>
    <row r="752" spans="1:4">
      <c r="A752" s="1">
        <v>2022</v>
      </c>
      <c r="B752" s="1" t="s">
        <v>778</v>
      </c>
      <c r="C752" s="1">
        <v>4.0932224147472125</v>
      </c>
    </row>
    <row r="753" spans="1:4">
      <c r="A753" s="1">
        <v>2022</v>
      </c>
      <c r="B753" s="1" t="s">
        <v>779</v>
      </c>
      <c r="C753" s="1">
        <v>3.4223585016919018</v>
      </c>
    </row>
    <row r="754" spans="1:4">
      <c r="A754" s="1">
        <v>2022</v>
      </c>
      <c r="B754" s="1" t="s">
        <v>780</v>
      </c>
      <c r="C754" s="1">
        <v>3.6205786031152765</v>
      </c>
    </row>
    <row r="755" spans="1:4">
      <c r="A755" s="1">
        <v>2022</v>
      </c>
      <c r="B755" s="1" t="s">
        <v>781</v>
      </c>
      <c r="C755" s="1">
        <v>3.5135306764884655</v>
      </c>
    </row>
    <row r="756" spans="1:4">
      <c r="A756" s="1">
        <v>2022</v>
      </c>
      <c r="B756" s="1" t="s">
        <v>782</v>
      </c>
      <c r="C756" s="1">
        <v>3.4704393500920796</v>
      </c>
    </row>
    <row r="757" spans="1:4">
      <c r="A757" s="1">
        <v>2022</v>
      </c>
      <c r="B757" s="1" t="s">
        <v>783</v>
      </c>
      <c r="C757" s="1">
        <v>3.6514229209568998</v>
      </c>
    </row>
    <row r="758" spans="1:4">
      <c r="A758" s="1">
        <v>2022</v>
      </c>
      <c r="B758" s="1" t="s">
        <v>784</v>
      </c>
      <c r="C758" s="1">
        <v>3.7988406165234827</v>
      </c>
      <c r="D758" s="10">
        <f t="shared" ref="D758" si="21">AVERAGE(C747:C758)</f>
        <v>4.001710045268573</v>
      </c>
    </row>
    <row r="759" spans="1:4">
      <c r="A759" s="1">
        <v>2023</v>
      </c>
      <c r="B759" s="1" t="s">
        <v>785</v>
      </c>
      <c r="C759" s="1">
        <v>4.0995727154793116</v>
      </c>
    </row>
    <row r="760" spans="1:4">
      <c r="A760" s="1">
        <v>2023</v>
      </c>
      <c r="B760" s="1" t="s">
        <v>786</v>
      </c>
      <c r="C760" s="1">
        <v>4.0537598316263121</v>
      </c>
    </row>
    <row r="761" spans="1:4">
      <c r="A761" s="1">
        <v>2023</v>
      </c>
      <c r="B761" s="1" t="s">
        <v>787</v>
      </c>
      <c r="C761" s="1">
        <v>4.0170188059620253</v>
      </c>
    </row>
    <row r="762" spans="1:4">
      <c r="A762" s="1">
        <v>2023</v>
      </c>
      <c r="B762" s="1" t="s">
        <v>788</v>
      </c>
      <c r="C762" s="1">
        <v>3.9956999392185502</v>
      </c>
    </row>
    <row r="763" spans="1:4">
      <c r="A763" s="1">
        <v>2023</v>
      </c>
      <c r="B763" s="1" t="s">
        <v>789</v>
      </c>
      <c r="C763" s="1">
        <v>3.7271729368326518</v>
      </c>
    </row>
    <row r="764" spans="1:4">
      <c r="A764" s="1">
        <v>2023</v>
      </c>
      <c r="B764" s="1" t="s">
        <v>790</v>
      </c>
      <c r="C764" s="1">
        <v>3.8088196605310669</v>
      </c>
    </row>
    <row r="765" spans="1:4">
      <c r="A765" s="1">
        <v>2023</v>
      </c>
      <c r="B765" s="1" t="s">
        <v>791</v>
      </c>
      <c r="C765" s="1">
        <v>3.8451070932859182</v>
      </c>
    </row>
    <row r="766" spans="1:4">
      <c r="A766" s="1">
        <v>2023</v>
      </c>
      <c r="B766" s="1" t="s">
        <v>792</v>
      </c>
      <c r="C766" s="1">
        <v>3.7870472008781562</v>
      </c>
    </row>
    <row r="767" spans="1:4">
      <c r="A767" s="1">
        <v>2023</v>
      </c>
      <c r="B767" s="1" t="s">
        <v>793</v>
      </c>
      <c r="C767" s="1">
        <v>3.75438851139879</v>
      </c>
    </row>
    <row r="768" spans="1:4">
      <c r="A768" s="1">
        <v>2023</v>
      </c>
      <c r="B768" s="1" t="s">
        <v>794</v>
      </c>
      <c r="C768" s="1">
        <v>3.6001669221906725</v>
      </c>
    </row>
    <row r="769" spans="1:4">
      <c r="A769" s="1">
        <v>2023</v>
      </c>
      <c r="B769" s="1" t="s">
        <v>795</v>
      </c>
      <c r="C769" s="1">
        <v>3.7149259282778893</v>
      </c>
    </row>
    <row r="770" spans="1:4">
      <c r="A770" s="1">
        <v>2023</v>
      </c>
      <c r="B770" s="1" t="s">
        <v>796</v>
      </c>
      <c r="C770" s="1">
        <v>3.8101804392593737</v>
      </c>
      <c r="D770" s="10">
        <f t="shared" ref="D770" si="22">AVERAGE(C759:C770)</f>
        <v>3.8511549987450597</v>
      </c>
    </row>
    <row r="771" spans="1:4">
      <c r="A771" s="1">
        <v>2024</v>
      </c>
      <c r="B771" s="1" t="s">
        <v>797</v>
      </c>
      <c r="C771" s="1">
        <v>3.7825112717837999</v>
      </c>
    </row>
    <row r="772" spans="1:4">
      <c r="A772" s="1">
        <v>2024</v>
      </c>
      <c r="B772" s="1" t="s">
        <v>798</v>
      </c>
      <c r="C772" s="1">
        <v>3.7670891128629878</v>
      </c>
    </row>
    <row r="773" spans="1:4">
      <c r="A773" s="1">
        <v>2024</v>
      </c>
      <c r="B773" s="1" t="s">
        <v>799</v>
      </c>
      <c r="C773" s="1">
        <v>3.9412687900862737</v>
      </c>
    </row>
    <row r="774" spans="1:4">
      <c r="A774" s="1">
        <v>2024</v>
      </c>
      <c r="B774" s="1" t="s">
        <v>800</v>
      </c>
      <c r="C774" s="1">
        <v>4.2928032948988948</v>
      </c>
    </row>
    <row r="775" spans="1:4">
      <c r="A775" s="1">
        <v>2024</v>
      </c>
      <c r="B775" s="1" t="s">
        <v>801</v>
      </c>
      <c r="C775" s="1">
        <v>4.5989785087679511</v>
      </c>
    </row>
    <row r="776" spans="1:4">
      <c r="A776" s="1">
        <v>2024</v>
      </c>
      <c r="B776" s="1" t="s">
        <v>802</v>
      </c>
      <c r="C776" s="1">
        <v>4.3762643902350522</v>
      </c>
    </row>
    <row r="777" spans="1:4">
      <c r="A777" s="1">
        <v>2024</v>
      </c>
      <c r="B777" s="1" t="s">
        <v>803</v>
      </c>
      <c r="C777" s="1">
        <v>4.2569694550534791</v>
      </c>
    </row>
    <row r="778" spans="1:4">
      <c r="A778" s="1">
        <v>2024</v>
      </c>
      <c r="B778" s="1" t="s">
        <v>804</v>
      </c>
      <c r="C778" s="1">
        <v>4.0696355834565594</v>
      </c>
    </row>
    <row r="779" spans="1:4">
      <c r="A779" s="1">
        <v>2024</v>
      </c>
      <c r="B779" s="1" t="s">
        <v>805</v>
      </c>
      <c r="C779" s="1">
        <v>4.1898377044570045</v>
      </c>
    </row>
    <row r="780" spans="1:4">
      <c r="A780" s="1">
        <v>2024</v>
      </c>
      <c r="B780" s="1" t="s">
        <v>806</v>
      </c>
      <c r="C780" s="1">
        <v>4.3245547985593893</v>
      </c>
    </row>
    <row r="781" spans="1:4">
      <c r="A781" s="1">
        <v>2024</v>
      </c>
      <c r="B781" s="1" t="s">
        <v>807</v>
      </c>
      <c r="C781" s="1">
        <v>4.1168092460378665</v>
      </c>
    </row>
    <row r="782" spans="1:4">
      <c r="A782" s="1">
        <v>2024</v>
      </c>
      <c r="B782" s="1" t="s">
        <v>808</v>
      </c>
      <c r="C782" s="1">
        <v>4.044234380528164</v>
      </c>
      <c r="D782" s="10">
        <f t="shared" ref="D782" si="23">AVERAGE(C771:C782)</f>
        <v>4.1467463780606186</v>
      </c>
    </row>
    <row r="783" spans="1:4">
      <c r="A783" s="1">
        <v>2025</v>
      </c>
      <c r="B783" s="1" t="s">
        <v>809</v>
      </c>
      <c r="C783" s="1">
        <v>4.0782538487358364</v>
      </c>
    </row>
    <row r="784" spans="1:4">
      <c r="A784" s="1">
        <v>2025</v>
      </c>
      <c r="B784" s="1" t="s">
        <v>810</v>
      </c>
      <c r="C784" s="1">
        <v>4.232475437943954</v>
      </c>
    </row>
    <row r="785" spans="1:4">
      <c r="A785" s="1">
        <v>2025</v>
      </c>
      <c r="B785" s="1" t="s">
        <v>811</v>
      </c>
      <c r="C785" s="1">
        <v>4.4179949379031314</v>
      </c>
    </row>
    <row r="786" spans="1:4">
      <c r="A786" s="1">
        <v>2025</v>
      </c>
      <c r="B786" s="1" t="s">
        <v>812</v>
      </c>
      <c r="C786" s="1">
        <v>4.1626221298908659</v>
      </c>
    </row>
    <row r="787" spans="1:4">
      <c r="A787" s="1">
        <v>2025</v>
      </c>
      <c r="B787" s="1" t="s">
        <v>813</v>
      </c>
      <c r="C787" s="1">
        <v>4.3241012056499537</v>
      </c>
    </row>
    <row r="788" spans="1:4">
      <c r="A788" s="1">
        <v>2025</v>
      </c>
      <c r="B788" s="1" t="s">
        <v>814</v>
      </c>
      <c r="C788" s="1">
        <v>4.4610862642995164</v>
      </c>
    </row>
    <row r="789" spans="1:4">
      <c r="A789" s="1">
        <v>2025</v>
      </c>
      <c r="B789" s="1" t="s">
        <v>815</v>
      </c>
      <c r="C789" s="1">
        <v>4.4320563180956354</v>
      </c>
    </row>
    <row r="790" spans="1:4">
      <c r="A790" s="1">
        <v>2025</v>
      </c>
      <c r="B790" s="1" t="s">
        <v>816</v>
      </c>
      <c r="C790" s="1">
        <v>4.386243434242636</v>
      </c>
    </row>
    <row r="791" spans="1:4">
      <c r="A791" s="1">
        <v>2025</v>
      </c>
      <c r="B791" s="1" t="s">
        <v>817</v>
      </c>
      <c r="C791" s="1">
        <v>4.5286716078054274</v>
      </c>
    </row>
    <row r="792" spans="1:4">
      <c r="A792" s="1">
        <v>2025</v>
      </c>
      <c r="B792" s="1" t="s">
        <v>818</v>
      </c>
      <c r="C792" s="1">
        <v>4.8715878473387706</v>
      </c>
    </row>
    <row r="793" spans="1:4">
      <c r="A793" s="1">
        <v>2025</v>
      </c>
      <c r="B793" s="1" t="s">
        <v>819</v>
      </c>
      <c r="C793" s="1">
        <v>4.9042465368181363</v>
      </c>
    </row>
    <row r="794" spans="1:4">
      <c r="A794" s="1">
        <v>2025</v>
      </c>
      <c r="B794" s="1" t="s">
        <v>820</v>
      </c>
      <c r="C794" s="1">
        <v>5.3455924376990138</v>
      </c>
      <c r="D794" s="10">
        <f t="shared" ref="D794" si="24">AVERAGE(C783:C794)</f>
        <v>4.5120776672019067</v>
      </c>
    </row>
    <row r="795" spans="1:4">
      <c r="A795" s="1">
        <v>2026</v>
      </c>
      <c r="B795" s="1" t="s">
        <v>821</v>
      </c>
      <c r="C795" s="1">
        <v>5.9021509375765442</v>
      </c>
    </row>
    <row r="796" spans="1:4">
      <c r="A796" s="1">
        <v>2026</v>
      </c>
      <c r="B796" s="1" t="s">
        <v>822</v>
      </c>
      <c r="C796" s="1">
        <v>5.8744817701009699</v>
      </c>
    </row>
    <row r="797" spans="1:4">
      <c r="A797" s="1">
        <v>2026</v>
      </c>
      <c r="B797" s="1" t="s">
        <v>823</v>
      </c>
      <c r="C797" s="1">
        <v>5.68306556231913</v>
      </c>
    </row>
    <row r="798" spans="1:4">
      <c r="A798" s="1">
        <v>2026</v>
      </c>
      <c r="B798" s="1" t="s">
        <v>824</v>
      </c>
      <c r="C798" s="1">
        <v>5.8744817701009699</v>
      </c>
    </row>
    <row r="799" spans="1:4">
      <c r="A799" s="1">
        <v>2026</v>
      </c>
      <c r="B799" s="1" t="s">
        <v>825</v>
      </c>
      <c r="C799" s="1">
        <v>6.1430087724868692</v>
      </c>
    </row>
    <row r="800" spans="1:4">
      <c r="A800" s="1">
        <v>2026</v>
      </c>
      <c r="B800" s="1" t="s">
        <v>826</v>
      </c>
      <c r="C800" s="1">
        <v>6.1470911086717894</v>
      </c>
      <c r="D800" s="10">
        <f>AVERAGE(C795:C800)</f>
        <v>5.9373799868760457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4060-254A-4AE6-901F-192A50D5B36A}">
  <dimension ref="A1:H22"/>
  <sheetViews>
    <sheetView tabSelected="1" zoomScale="85" zoomScaleNormal="85" workbookViewId="0">
      <selection activeCell="H21" sqref="H21"/>
    </sheetView>
  </sheetViews>
  <sheetFormatPr baseColWidth="10" defaultColWidth="11.5" defaultRowHeight="15"/>
  <cols>
    <col min="1" max="16384" width="11.5" style="10"/>
  </cols>
  <sheetData>
    <row r="1" spans="1:8">
      <c r="B1" s="10" t="s">
        <v>6</v>
      </c>
      <c r="C1" s="10" t="s">
        <v>837</v>
      </c>
    </row>
    <row r="2" spans="1:8">
      <c r="A2" s="10">
        <v>2004</v>
      </c>
      <c r="B2" s="13">
        <v>59.759946186599997</v>
      </c>
      <c r="C2" s="10">
        <v>47.25</v>
      </c>
      <c r="D2" s="12">
        <f>B2-C2</f>
        <v>12.509946186599997</v>
      </c>
    </row>
    <row r="3" spans="1:8">
      <c r="A3" s="10">
        <v>2005</v>
      </c>
      <c r="B3" s="13">
        <v>61.503981137300002</v>
      </c>
      <c r="C3" s="10">
        <v>44.71</v>
      </c>
      <c r="D3" s="12">
        <f t="shared" ref="D3:D22" si="0">B3-C3</f>
        <v>16.793981137300001</v>
      </c>
    </row>
    <row r="4" spans="1:8">
      <c r="A4" s="10">
        <v>2006</v>
      </c>
      <c r="B4" s="13">
        <v>55.861864437999998</v>
      </c>
      <c r="C4" s="10">
        <v>41.02</v>
      </c>
      <c r="D4" s="12">
        <f t="shared" si="0"/>
        <v>14.841864437999995</v>
      </c>
      <c r="H4" s="6" t="s">
        <v>838</v>
      </c>
    </row>
    <row r="5" spans="1:8">
      <c r="A5" s="10">
        <v>2007</v>
      </c>
      <c r="B5" s="13">
        <v>50.303048839500001</v>
      </c>
      <c r="C5" s="10">
        <v>38.92</v>
      </c>
      <c r="D5" s="12">
        <f t="shared" si="0"/>
        <v>11.383048839499999</v>
      </c>
      <c r="H5" s="9" t="s">
        <v>836</v>
      </c>
    </row>
    <row r="6" spans="1:8">
      <c r="A6" s="10">
        <v>2008</v>
      </c>
      <c r="B6" s="13">
        <v>46.402334499800006</v>
      </c>
      <c r="C6" s="10">
        <v>37</v>
      </c>
      <c r="D6" s="12">
        <f t="shared" si="0"/>
        <v>9.4023344998000056</v>
      </c>
    </row>
    <row r="7" spans="1:8">
      <c r="A7" s="10">
        <v>2009</v>
      </c>
      <c r="B7" s="13">
        <v>44.554035617799997</v>
      </c>
      <c r="C7" s="10">
        <v>36.659999999999997</v>
      </c>
      <c r="D7" s="12">
        <f t="shared" si="0"/>
        <v>7.8940356178000002</v>
      </c>
    </row>
    <row r="8" spans="1:8">
      <c r="A8" s="10">
        <v>2010</v>
      </c>
      <c r="B8" s="13">
        <v>40.525379864499996</v>
      </c>
      <c r="C8" s="10">
        <v>34.72</v>
      </c>
      <c r="D8" s="12">
        <f t="shared" si="0"/>
        <v>5.8053798644999972</v>
      </c>
    </row>
    <row r="9" spans="1:8">
      <c r="A9" s="10">
        <v>2011</v>
      </c>
      <c r="B9" s="13">
        <v>38.069460627300003</v>
      </c>
      <c r="C9" s="10">
        <v>32.79</v>
      </c>
      <c r="D9" s="12">
        <f t="shared" si="0"/>
        <v>5.2794606273000042</v>
      </c>
    </row>
    <row r="10" spans="1:8">
      <c r="A10" s="10">
        <v>2012</v>
      </c>
      <c r="B10" s="13">
        <v>35.295254153599998</v>
      </c>
      <c r="C10" s="10">
        <v>31.63</v>
      </c>
      <c r="D10" s="12">
        <f t="shared" si="0"/>
        <v>3.6652541535999994</v>
      </c>
    </row>
    <row r="11" spans="1:8">
      <c r="A11" s="10">
        <v>2013</v>
      </c>
      <c r="B11" s="13">
        <v>34.510649347499999</v>
      </c>
      <c r="C11" s="10">
        <v>30.63</v>
      </c>
      <c r="D11" s="12">
        <f t="shared" si="0"/>
        <v>3.8806493475000003</v>
      </c>
    </row>
    <row r="12" spans="1:8">
      <c r="A12" s="10">
        <v>2014</v>
      </c>
      <c r="B12" s="13">
        <v>33.377722562399995</v>
      </c>
      <c r="C12" s="10">
        <v>30.15</v>
      </c>
      <c r="D12" s="12">
        <f t="shared" si="0"/>
        <v>3.2277225623999968</v>
      </c>
    </row>
    <row r="13" spans="1:8">
      <c r="A13" s="10">
        <v>2015</v>
      </c>
      <c r="B13" s="13">
        <v>32.668167328400003</v>
      </c>
      <c r="C13" s="10">
        <v>28.38</v>
      </c>
      <c r="D13" s="12">
        <f t="shared" si="0"/>
        <v>4.2881673284000037</v>
      </c>
    </row>
    <row r="14" spans="1:8">
      <c r="A14" s="10">
        <v>2016</v>
      </c>
      <c r="B14" s="13">
        <v>31.814745438399999</v>
      </c>
      <c r="C14" s="10">
        <v>28.21</v>
      </c>
      <c r="D14" s="12">
        <f t="shared" si="0"/>
        <v>3.6047454383999984</v>
      </c>
    </row>
    <row r="15" spans="1:8">
      <c r="A15" s="10">
        <v>2017</v>
      </c>
      <c r="B15" s="13">
        <v>32.620040754800002</v>
      </c>
      <c r="C15" s="10">
        <v>27.75</v>
      </c>
      <c r="D15" s="12">
        <f t="shared" si="0"/>
        <v>4.8700407548000015</v>
      </c>
    </row>
    <row r="16" spans="1:8">
      <c r="A16" s="10">
        <v>2018</v>
      </c>
      <c r="B16" s="13">
        <v>30.306703333200002</v>
      </c>
      <c r="C16" s="10">
        <v>27.32</v>
      </c>
      <c r="D16" s="12">
        <f t="shared" si="0"/>
        <v>2.9867033332000013</v>
      </c>
    </row>
    <row r="17" spans="1:8">
      <c r="A17" s="10">
        <v>2019</v>
      </c>
      <c r="B17" s="13">
        <v>28.7912633362</v>
      </c>
      <c r="C17" s="10">
        <v>27.14</v>
      </c>
      <c r="D17" s="12">
        <f t="shared" si="0"/>
        <v>1.6512633361999995</v>
      </c>
    </row>
    <row r="18" spans="1:8">
      <c r="A18" s="10">
        <v>2020</v>
      </c>
      <c r="B18" s="13">
        <v>42.848956868499997</v>
      </c>
      <c r="C18" s="10">
        <v>27.24</v>
      </c>
      <c r="D18" s="12">
        <f t="shared" si="0"/>
        <v>15.608956868499998</v>
      </c>
    </row>
    <row r="19" spans="1:8">
      <c r="A19" s="10">
        <v>2021</v>
      </c>
      <c r="B19" s="13">
        <v>33.423717936800003</v>
      </c>
      <c r="C19" s="10">
        <v>27.82</v>
      </c>
      <c r="D19" s="12">
        <f t="shared" si="0"/>
        <v>5.6037179368000025</v>
      </c>
    </row>
    <row r="20" spans="1:8">
      <c r="A20" s="10">
        <v>2022</v>
      </c>
      <c r="B20" s="13">
        <v>32.223312108199998</v>
      </c>
      <c r="C20" s="10">
        <v>24.95</v>
      </c>
      <c r="D20" s="12">
        <f t="shared" si="0"/>
        <v>7.273312108199999</v>
      </c>
    </row>
    <row r="21" spans="1:8">
      <c r="A21" s="10">
        <v>2023</v>
      </c>
      <c r="B21" s="13">
        <v>32.6890723936</v>
      </c>
      <c r="C21" s="10">
        <v>23.64</v>
      </c>
      <c r="D21" s="12">
        <f t="shared" si="0"/>
        <v>9.0490723935999995</v>
      </c>
      <c r="H21" s="11" t="s">
        <v>840</v>
      </c>
    </row>
    <row r="22" spans="1:8">
      <c r="A22" s="10">
        <v>2024</v>
      </c>
      <c r="B22" s="13">
        <v>30.730509254100003</v>
      </c>
      <c r="C22" s="10">
        <v>21.88</v>
      </c>
      <c r="D22" s="12">
        <f t="shared" si="0"/>
        <v>8.8505092541000039</v>
      </c>
      <c r="H22" s="11" t="s">
        <v>839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BD234-90AB-4DED-9BC9-8AA3AEA6DF0B}">
  <dimension ref="C1:N28"/>
  <sheetViews>
    <sheetView zoomScale="85" zoomScaleNormal="85" workbookViewId="0">
      <selection activeCell="G27" sqref="G27"/>
    </sheetView>
  </sheetViews>
  <sheetFormatPr baseColWidth="10" defaultColWidth="11.5" defaultRowHeight="15"/>
  <cols>
    <col min="1" max="16384" width="11.5" style="1"/>
  </cols>
  <sheetData>
    <row r="1" spans="3:9">
      <c r="D1" s="1" t="s">
        <v>2</v>
      </c>
      <c r="E1" s="1" t="s">
        <v>828</v>
      </c>
    </row>
    <row r="2" spans="3:9">
      <c r="C2" s="1">
        <v>2000</v>
      </c>
      <c r="D2" s="2">
        <v>2.6949999999999998</v>
      </c>
      <c r="E2" s="2">
        <v>0.82259074126153264</v>
      </c>
    </row>
    <row r="3" spans="3:9">
      <c r="C3" s="1">
        <v>2001</v>
      </c>
      <c r="D3" s="2">
        <v>0.61699999999999999</v>
      </c>
      <c r="E3" s="2">
        <v>0.71588300931679838</v>
      </c>
    </row>
    <row r="4" spans="3:9">
      <c r="C4" s="1">
        <v>2002</v>
      </c>
      <c r="D4" s="2">
        <v>5.4539999999999997</v>
      </c>
      <c r="E4" s="2">
        <v>0.70741594167399979</v>
      </c>
    </row>
    <row r="5" spans="3:9">
      <c r="C5" s="1">
        <v>2003</v>
      </c>
      <c r="D5" s="2">
        <v>4.165</v>
      </c>
      <c r="E5" s="2">
        <v>0.80701738470424234</v>
      </c>
    </row>
    <row r="6" spans="3:9">
      <c r="C6" s="1">
        <v>2004</v>
      </c>
      <c r="D6" s="2">
        <v>4.9589999999999996</v>
      </c>
      <c r="E6" s="2">
        <v>1.2999972784425435</v>
      </c>
    </row>
    <row r="7" spans="3:9">
      <c r="C7" s="1">
        <v>2005</v>
      </c>
      <c r="D7" s="2">
        <v>6.2850000000000001</v>
      </c>
      <c r="E7" s="2">
        <v>1.6686927149954791</v>
      </c>
    </row>
    <row r="8" spans="3:9">
      <c r="C8" s="1">
        <v>2006</v>
      </c>
      <c r="D8" s="2">
        <v>7.5289999999999999</v>
      </c>
      <c r="E8" s="2">
        <v>3.0490893366354901</v>
      </c>
    </row>
    <row r="9" spans="3:9">
      <c r="C9" s="1">
        <v>2007</v>
      </c>
      <c r="D9" s="2">
        <v>8.5180000000000007</v>
      </c>
      <c r="E9" s="2">
        <v>3.2287499281811232</v>
      </c>
    </row>
    <row r="10" spans="3:9">
      <c r="C10" s="1">
        <v>2008</v>
      </c>
      <c r="D10" s="2">
        <v>9.1270000000000007</v>
      </c>
      <c r="E10" s="2">
        <v>3.1551922780343098</v>
      </c>
      <c r="I10" s="3" t="s">
        <v>831</v>
      </c>
    </row>
    <row r="11" spans="3:9">
      <c r="C11" s="1">
        <v>2009</v>
      </c>
      <c r="D11" s="2">
        <v>1.0960000000000001</v>
      </c>
      <c r="E11" s="2">
        <v>2.3359656841844245</v>
      </c>
    </row>
    <row r="12" spans="3:9">
      <c r="C12" s="1">
        <v>2010</v>
      </c>
      <c r="D12" s="2">
        <v>8.33</v>
      </c>
      <c r="E12" s="2">
        <v>3.417671374961067</v>
      </c>
    </row>
    <row r="13" spans="3:9">
      <c r="C13" s="1">
        <v>2011</v>
      </c>
      <c r="D13" s="2">
        <v>6.3280000000000003</v>
      </c>
      <c r="E13" s="2">
        <v>4.0043938033160673</v>
      </c>
    </row>
    <row r="14" spans="3:9">
      <c r="C14" s="1">
        <v>2012</v>
      </c>
      <c r="D14" s="2">
        <v>6.14</v>
      </c>
      <c r="E14" s="2">
        <v>3.6116201431539232</v>
      </c>
    </row>
    <row r="15" spans="3:9">
      <c r="C15" s="1">
        <v>2013</v>
      </c>
      <c r="D15" s="2">
        <v>5.8520000000000003</v>
      </c>
      <c r="E15" s="2">
        <v>3.3257810113912307</v>
      </c>
    </row>
    <row r="16" spans="3:9">
      <c r="C16" s="1">
        <v>2014</v>
      </c>
      <c r="D16" s="2">
        <v>2.3839999999999999</v>
      </c>
      <c r="E16" s="2">
        <v>3.1131215356841544</v>
      </c>
    </row>
    <row r="17" spans="3:14">
      <c r="C17" s="1">
        <v>2015</v>
      </c>
      <c r="D17" s="2">
        <v>3.2509999999999999</v>
      </c>
      <c r="E17" s="2">
        <v>2.499523727445093</v>
      </c>
    </row>
    <row r="18" spans="3:14">
      <c r="C18" s="1">
        <v>2016</v>
      </c>
      <c r="D18" s="2">
        <v>3.9540000000000002</v>
      </c>
      <c r="E18" s="2">
        <v>2.2080902831326941</v>
      </c>
    </row>
    <row r="19" spans="3:14">
      <c r="C19" s="1">
        <v>2017</v>
      </c>
      <c r="D19" s="2">
        <v>2.5190000000000001</v>
      </c>
      <c r="E19" s="2">
        <v>2.7987438500361361</v>
      </c>
    </row>
    <row r="20" spans="3:14">
      <c r="C20" s="1">
        <v>2018</v>
      </c>
      <c r="D20" s="2">
        <v>3.9689999999999999</v>
      </c>
      <c r="E20" s="2">
        <v>2.9619238992056083</v>
      </c>
    </row>
    <row r="21" spans="3:14">
      <c r="C21" s="1">
        <v>2019</v>
      </c>
      <c r="D21" s="2">
        <v>2.2400000000000002</v>
      </c>
      <c r="E21" s="2">
        <v>2.7260555862990752</v>
      </c>
    </row>
    <row r="22" spans="3:14">
      <c r="C22" s="1">
        <v>2022</v>
      </c>
      <c r="D22" s="2">
        <v>2.819</v>
      </c>
      <c r="E22" s="2">
        <v>4.001710045268573</v>
      </c>
    </row>
    <row r="23" spans="3:14">
      <c r="C23" s="1">
        <v>2023</v>
      </c>
      <c r="D23" s="2">
        <v>-0.35</v>
      </c>
      <c r="E23" s="2">
        <v>3.8511549987450597</v>
      </c>
    </row>
    <row r="24" spans="3:14">
      <c r="C24" s="1">
        <v>2024</v>
      </c>
      <c r="D24" s="2">
        <v>3.5139999999999998</v>
      </c>
      <c r="E24" s="2">
        <v>4.1467463780606186</v>
      </c>
    </row>
    <row r="25" spans="3:14">
      <c r="C25" s="1">
        <v>2025</v>
      </c>
      <c r="D25" s="2">
        <v>3.4390000000000001</v>
      </c>
      <c r="E25" s="2">
        <v>4.5120776672019067</v>
      </c>
    </row>
    <row r="26" spans="3:14">
      <c r="C26" s="1">
        <v>2026</v>
      </c>
      <c r="D26" s="2">
        <v>2.82</v>
      </c>
      <c r="E26" s="2">
        <v>5.9373799868760457</v>
      </c>
    </row>
    <row r="27" spans="3:14" ht="46.75" customHeight="1">
      <c r="I27" s="15" t="s">
        <v>24</v>
      </c>
      <c r="J27" s="15"/>
      <c r="K27" s="15"/>
      <c r="L27" s="15"/>
      <c r="M27" s="15"/>
      <c r="N27" s="15"/>
    </row>
    <row r="28" spans="3:14">
      <c r="I28" s="1" t="s">
        <v>832</v>
      </c>
    </row>
  </sheetData>
  <mergeCells count="1">
    <mergeCell ref="I27:N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F881-E6DE-423F-A205-72D2B669AF47}">
  <dimension ref="B2:Z31"/>
  <sheetViews>
    <sheetView topLeftCell="F1" zoomScale="115" zoomScaleNormal="115" workbookViewId="0">
      <selection activeCell="G36" sqref="G36"/>
    </sheetView>
  </sheetViews>
  <sheetFormatPr baseColWidth="10" defaultColWidth="11.5" defaultRowHeight="15"/>
  <cols>
    <col min="1" max="16384" width="11.5" style="1"/>
  </cols>
  <sheetData>
    <row r="2" spans="2:26">
      <c r="C2" s="1" t="s">
        <v>3</v>
      </c>
      <c r="F2" s="1" t="s">
        <v>0</v>
      </c>
    </row>
    <row r="3" spans="2:26">
      <c r="B3" s="1">
        <v>2015</v>
      </c>
      <c r="C3" s="1">
        <v>67</v>
      </c>
      <c r="D3" s="1">
        <f>100-C3</f>
        <v>33</v>
      </c>
      <c r="E3" s="1">
        <v>67</v>
      </c>
      <c r="F3" s="1">
        <v>109</v>
      </c>
      <c r="G3" s="1">
        <f>E3/100</f>
        <v>0.67</v>
      </c>
    </row>
    <row r="4" spans="2:26">
      <c r="B4" s="1">
        <v>2016</v>
      </c>
      <c r="C4" s="1">
        <v>73</v>
      </c>
      <c r="D4" s="1">
        <f t="shared" ref="D4:D13" si="0">100-C4</f>
        <v>27</v>
      </c>
      <c r="E4" s="1">
        <v>73</v>
      </c>
      <c r="F4" s="1">
        <v>104</v>
      </c>
      <c r="G4" s="1">
        <f t="shared" ref="G4:G13" si="1">E4/100</f>
        <v>0.73</v>
      </c>
    </row>
    <row r="5" spans="2:26">
      <c r="B5" s="1">
        <v>2017</v>
      </c>
      <c r="C5" s="1">
        <v>79</v>
      </c>
      <c r="D5" s="1">
        <f t="shared" si="0"/>
        <v>21</v>
      </c>
      <c r="E5" s="1">
        <v>79</v>
      </c>
      <c r="F5" s="1">
        <v>91</v>
      </c>
      <c r="G5" s="1">
        <f t="shared" si="1"/>
        <v>0.79</v>
      </c>
    </row>
    <row r="6" spans="2:26">
      <c r="B6" s="1">
        <v>2018</v>
      </c>
      <c r="C6" s="1">
        <v>83</v>
      </c>
      <c r="D6" s="1">
        <f t="shared" si="0"/>
        <v>17</v>
      </c>
      <c r="E6" s="1">
        <v>83</v>
      </c>
      <c r="F6" s="1">
        <v>83</v>
      </c>
      <c r="G6" s="1">
        <f t="shared" si="1"/>
        <v>0.83</v>
      </c>
      <c r="K6" s="3" t="s">
        <v>834</v>
      </c>
      <c r="Z6" s="3" t="s">
        <v>19</v>
      </c>
    </row>
    <row r="7" spans="2:26">
      <c r="B7" s="1">
        <v>2019</v>
      </c>
      <c r="C7" s="1">
        <v>68</v>
      </c>
      <c r="D7" s="1">
        <f t="shared" si="0"/>
        <v>32</v>
      </c>
      <c r="E7" s="1">
        <v>68</v>
      </c>
      <c r="F7" s="1">
        <v>76</v>
      </c>
      <c r="G7" s="1">
        <f t="shared" si="1"/>
        <v>0.68</v>
      </c>
    </row>
    <row r="8" spans="2:26">
      <c r="B8" s="1">
        <v>2020</v>
      </c>
      <c r="C8" s="1">
        <v>56</v>
      </c>
      <c r="D8" s="1">
        <f t="shared" si="0"/>
        <v>44</v>
      </c>
      <c r="E8" s="1">
        <v>56</v>
      </c>
      <c r="F8" s="1">
        <v>77</v>
      </c>
      <c r="G8" s="1">
        <f t="shared" si="1"/>
        <v>0.56000000000000005</v>
      </c>
    </row>
    <row r="9" spans="2:26">
      <c r="B9" s="1">
        <v>2021</v>
      </c>
      <c r="C9" s="1">
        <v>50</v>
      </c>
      <c r="D9" s="1">
        <f t="shared" si="0"/>
        <v>50</v>
      </c>
      <c r="E9" s="1">
        <v>50</v>
      </c>
      <c r="F9" s="1">
        <v>84</v>
      </c>
      <c r="G9" s="1">
        <f t="shared" si="1"/>
        <v>0.5</v>
      </c>
    </row>
    <row r="10" spans="2:26">
      <c r="B10" s="1">
        <v>2022</v>
      </c>
      <c r="C10" s="1">
        <v>45</v>
      </c>
      <c r="D10" s="1">
        <f t="shared" si="0"/>
        <v>55</v>
      </c>
      <c r="E10" s="1">
        <v>45</v>
      </c>
      <c r="F10" s="1">
        <v>62</v>
      </c>
      <c r="G10" s="1">
        <f t="shared" si="1"/>
        <v>0.45</v>
      </c>
    </row>
    <row r="11" spans="2:26">
      <c r="B11" s="1">
        <v>2023</v>
      </c>
      <c r="C11" s="1">
        <v>31</v>
      </c>
      <c r="D11" s="1">
        <f t="shared" si="0"/>
        <v>69</v>
      </c>
      <c r="E11" s="1">
        <v>31</v>
      </c>
      <c r="F11" s="1">
        <v>86</v>
      </c>
      <c r="G11" s="1">
        <f t="shared" si="1"/>
        <v>0.31</v>
      </c>
    </row>
    <row r="12" spans="2:26">
      <c r="B12" s="1">
        <v>2024</v>
      </c>
      <c r="C12" s="1">
        <v>51</v>
      </c>
      <c r="D12" s="1">
        <f t="shared" si="0"/>
        <v>49</v>
      </c>
      <c r="E12" s="1">
        <v>51</v>
      </c>
      <c r="F12" s="1">
        <v>82</v>
      </c>
      <c r="G12" s="1">
        <f t="shared" si="1"/>
        <v>0.51</v>
      </c>
    </row>
    <row r="13" spans="2:26">
      <c r="B13" s="1">
        <v>2025</v>
      </c>
      <c r="C13" s="1">
        <v>40</v>
      </c>
      <c r="D13" s="1">
        <f t="shared" si="0"/>
        <v>60</v>
      </c>
      <c r="E13" s="1">
        <v>40</v>
      </c>
      <c r="F13" s="1">
        <v>68</v>
      </c>
      <c r="G13" s="1">
        <f t="shared" si="1"/>
        <v>0.4</v>
      </c>
    </row>
    <row r="17" spans="2:26">
      <c r="B17" s="1" t="s">
        <v>4</v>
      </c>
      <c r="C17" s="1" t="s">
        <v>5</v>
      </c>
    </row>
    <row r="18" spans="2:26">
      <c r="B18" s="1" t="s">
        <v>14</v>
      </c>
      <c r="C18" s="1">
        <v>76.944462342292709</v>
      </c>
    </row>
    <row r="19" spans="2:26">
      <c r="B19" s="1" t="s">
        <v>8</v>
      </c>
      <c r="C19" s="1">
        <v>76.735149432076469</v>
      </c>
    </row>
    <row r="20" spans="2:26">
      <c r="B20" s="1" t="s">
        <v>15</v>
      </c>
      <c r="C20" s="1">
        <v>74.339325031615957</v>
      </c>
    </row>
    <row r="21" spans="2:26">
      <c r="B21" s="1" t="s">
        <v>7</v>
      </c>
      <c r="C21" s="1">
        <v>69.171433599097981</v>
      </c>
    </row>
    <row r="22" spans="2:26">
      <c r="B22" s="1" t="s">
        <v>9</v>
      </c>
      <c r="C22" s="1">
        <v>67.732506236747525</v>
      </c>
    </row>
    <row r="23" spans="2:26" ht="34.25" customHeight="1">
      <c r="B23" s="1" t="s">
        <v>6</v>
      </c>
      <c r="C23" s="1">
        <v>64.977902840233796</v>
      </c>
      <c r="K23" s="15" t="s">
        <v>25</v>
      </c>
      <c r="L23" s="15"/>
      <c r="M23" s="15"/>
      <c r="N23" s="15"/>
      <c r="O23" s="15"/>
      <c r="P23" s="15"/>
    </row>
    <row r="24" spans="2:26">
      <c r="B24" s="1" t="s">
        <v>10</v>
      </c>
      <c r="C24" s="1">
        <v>64.91275764769108</v>
      </c>
      <c r="Z24" s="1" t="s">
        <v>1</v>
      </c>
    </row>
    <row r="25" spans="2:26">
      <c r="B25" s="1" t="s">
        <v>16</v>
      </c>
      <c r="C25" s="1">
        <v>53.062313594819628</v>
      </c>
    </row>
    <row r="26" spans="2:26">
      <c r="B26" s="1" t="s">
        <v>11</v>
      </c>
      <c r="C26" s="1">
        <v>52.877440486202296</v>
      </c>
    </row>
    <row r="27" spans="2:26">
      <c r="B27" s="1" t="s">
        <v>12</v>
      </c>
      <c r="C27" s="1">
        <v>49.80765673488866</v>
      </c>
    </row>
    <row r="28" spans="2:26">
      <c r="B28" s="1" t="s">
        <v>17</v>
      </c>
      <c r="C28" s="1">
        <v>49.289201430109046</v>
      </c>
    </row>
    <row r="29" spans="2:26">
      <c r="B29" s="1" t="s">
        <v>18</v>
      </c>
      <c r="C29" s="1">
        <v>47.027060711901498</v>
      </c>
    </row>
    <row r="31" spans="2:26">
      <c r="B31" s="1" t="s">
        <v>13</v>
      </c>
      <c r="C31" s="1">
        <f>AVERAGE(C18,C20,C25,C28:C29)</f>
        <v>60.132472622147773</v>
      </c>
    </row>
  </sheetData>
  <sortState xmlns:xlrd2="http://schemas.microsoft.com/office/spreadsheetml/2017/richdata2" ref="B18:C29">
    <sortCondition descending="1" ref="C18:C29"/>
  </sortState>
  <mergeCells count="1">
    <mergeCell ref="K23:P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1620-E5B8-4019-A534-D9B76DBFC29E}">
  <dimension ref="B2:N26"/>
  <sheetViews>
    <sheetView showGridLines="0" zoomScaleNormal="100" workbookViewId="0">
      <selection activeCell="C3" sqref="C3"/>
    </sheetView>
  </sheetViews>
  <sheetFormatPr baseColWidth="10" defaultColWidth="14.6640625" defaultRowHeight="15"/>
  <sheetData>
    <row r="2" spans="2:6">
      <c r="F2" s="6" t="s">
        <v>835</v>
      </c>
    </row>
    <row r="3" spans="2:6">
      <c r="C3" t="s">
        <v>20</v>
      </c>
      <c r="D3" t="s">
        <v>21</v>
      </c>
      <c r="F3" s="9" t="s">
        <v>27</v>
      </c>
    </row>
    <row r="4" spans="2:6">
      <c r="B4">
        <v>2005</v>
      </c>
      <c r="C4" s="4">
        <v>185.97036835899624</v>
      </c>
      <c r="D4" s="4">
        <v>27.891318241956782</v>
      </c>
    </row>
    <row r="5" spans="2:6">
      <c r="B5">
        <v>2006</v>
      </c>
      <c r="C5" s="4">
        <v>181.23414904659253</v>
      </c>
      <c r="D5" s="4">
        <v>26.342115058797958</v>
      </c>
    </row>
    <row r="6" spans="2:6">
      <c r="B6">
        <v>2007</v>
      </c>
      <c r="C6" s="4">
        <v>148.89696124789927</v>
      </c>
      <c r="D6" s="4">
        <v>36.70988929056773</v>
      </c>
    </row>
    <row r="7" spans="2:6">
      <c r="B7">
        <v>2008</v>
      </c>
      <c r="C7" s="4">
        <v>158.02602337363726</v>
      </c>
      <c r="D7" s="4">
        <v>41.586405135111733</v>
      </c>
    </row>
    <row r="8" spans="2:6">
      <c r="B8">
        <v>2009</v>
      </c>
      <c r="C8" s="4">
        <v>161.52599540032369</v>
      </c>
      <c r="D8" s="4">
        <v>55.333732434001263</v>
      </c>
    </row>
    <row r="9" spans="2:6">
      <c r="B9">
        <v>2010</v>
      </c>
      <c r="C9" s="4">
        <v>140.42397678176877</v>
      </c>
      <c r="D9" s="4">
        <v>56.602798954362726</v>
      </c>
    </row>
    <row r="10" spans="2:6">
      <c r="B10">
        <v>2011</v>
      </c>
      <c r="C10" s="4">
        <v>138.95079150038313</v>
      </c>
      <c r="D10" s="4">
        <v>62.980900091709856</v>
      </c>
    </row>
    <row r="11" spans="2:6">
      <c r="B11">
        <v>2012</v>
      </c>
      <c r="C11" s="4">
        <v>137.97748410739726</v>
      </c>
      <c r="D11" s="4">
        <v>61.929554136672351</v>
      </c>
    </row>
    <row r="12" spans="2:6">
      <c r="B12">
        <v>2013</v>
      </c>
      <c r="C12" s="4">
        <v>124.2154320640992</v>
      </c>
      <c r="D12" s="4">
        <v>63.881837479281202</v>
      </c>
    </row>
    <row r="13" spans="2:6">
      <c r="B13">
        <v>2014</v>
      </c>
      <c r="C13" s="4">
        <v>118.36824793248019</v>
      </c>
      <c r="D13" s="4">
        <v>47.210176038428159</v>
      </c>
    </row>
    <row r="14" spans="2:6">
      <c r="B14">
        <v>2015</v>
      </c>
      <c r="C14" s="4">
        <v>121.28097651397191</v>
      </c>
      <c r="D14" s="4">
        <v>57.373312137201637</v>
      </c>
    </row>
    <row r="15" spans="2:6">
      <c r="B15">
        <v>2016</v>
      </c>
      <c r="C15" s="4">
        <v>113.08449289068498</v>
      </c>
      <c r="D15" s="4">
        <v>71.566574388203108</v>
      </c>
    </row>
    <row r="16" spans="2:6">
      <c r="B16">
        <v>2017</v>
      </c>
      <c r="C16" s="4">
        <v>113.77799470690175</v>
      </c>
      <c r="D16" s="4">
        <v>90.386239255722217</v>
      </c>
    </row>
    <row r="17" spans="2:14">
      <c r="B17">
        <v>2018</v>
      </c>
      <c r="C17" s="4">
        <v>103.46294367005089</v>
      </c>
      <c r="D17" s="4">
        <v>99.126790944642522</v>
      </c>
    </row>
    <row r="18" spans="2:14">
      <c r="B18">
        <v>2019</v>
      </c>
      <c r="C18" s="4">
        <v>95.697394367038925</v>
      </c>
      <c r="D18" s="4">
        <v>95.271213194794029</v>
      </c>
    </row>
    <row r="19" spans="2:14">
      <c r="B19">
        <v>2020</v>
      </c>
      <c r="C19" s="4">
        <v>80.112831418464651</v>
      </c>
      <c r="D19" s="4">
        <v>57.573102382620903</v>
      </c>
    </row>
    <row r="20" spans="2:14" ht="14.5" customHeight="1">
      <c r="B20">
        <v>2021</v>
      </c>
      <c r="C20" s="4">
        <v>93.62265929058691</v>
      </c>
      <c r="D20" s="4">
        <v>82.527388142659504</v>
      </c>
      <c r="F20" s="14" t="s">
        <v>22</v>
      </c>
      <c r="G20" s="14"/>
      <c r="H20" s="14"/>
      <c r="I20" s="14"/>
      <c r="J20" s="14"/>
      <c r="K20" s="14"/>
      <c r="L20" s="5"/>
      <c r="M20" s="5"/>
      <c r="N20" s="5"/>
    </row>
    <row r="21" spans="2:14">
      <c r="B21">
        <v>2022</v>
      </c>
      <c r="C21" s="4">
        <v>93.191063986179373</v>
      </c>
      <c r="D21" s="4">
        <v>83.014987140486411</v>
      </c>
      <c r="F21" s="14"/>
      <c r="G21" s="14"/>
      <c r="H21" s="14"/>
      <c r="I21" s="14"/>
      <c r="J21" s="14"/>
      <c r="K21" s="14"/>
      <c r="L21" s="5"/>
      <c r="M21" s="5"/>
      <c r="N21" s="5"/>
    </row>
    <row r="22" spans="2:14">
      <c r="B22">
        <v>2023</v>
      </c>
      <c r="C22" s="4">
        <v>97.594077708912522</v>
      </c>
      <c r="D22" s="4">
        <v>79.056931222805616</v>
      </c>
      <c r="F22" s="14"/>
      <c r="G22" s="14"/>
      <c r="H22" s="14"/>
      <c r="I22" s="14"/>
      <c r="J22" s="14"/>
      <c r="K22" s="14"/>
      <c r="L22" s="5"/>
      <c r="M22" s="5"/>
      <c r="N22" s="5"/>
    </row>
    <row r="23" spans="2:14">
      <c r="B23">
        <v>2024</v>
      </c>
      <c r="C23" s="4">
        <v>105.93220100985764</v>
      </c>
      <c r="D23" s="4">
        <v>95.845716343176747</v>
      </c>
      <c r="F23" s="14"/>
      <c r="G23" s="14"/>
      <c r="H23" s="14"/>
      <c r="I23" s="14"/>
      <c r="J23" s="14"/>
      <c r="K23" s="14"/>
      <c r="L23" s="5"/>
      <c r="M23" s="5"/>
      <c r="N23" s="5"/>
    </row>
    <row r="24" spans="2:14">
      <c r="B24">
        <v>2025</v>
      </c>
      <c r="C24" s="4">
        <v>104.748073025884</v>
      </c>
      <c r="D24" s="4">
        <v>104.32927803447515</v>
      </c>
      <c r="F24" s="14" t="s">
        <v>23</v>
      </c>
      <c r="G24" s="14"/>
      <c r="H24" s="14"/>
      <c r="I24" s="14"/>
      <c r="J24" s="14"/>
      <c r="K24" s="14"/>
      <c r="L24" s="5"/>
      <c r="M24" s="5"/>
      <c r="N24" s="5"/>
    </row>
    <row r="25" spans="2:14">
      <c r="F25" s="14"/>
      <c r="G25" s="14"/>
      <c r="H25" s="14"/>
      <c r="I25" s="14"/>
      <c r="J25" s="14"/>
      <c r="K25" s="14"/>
    </row>
    <row r="26" spans="2:14">
      <c r="F26" s="7" t="s">
        <v>26</v>
      </c>
      <c r="G26" s="8"/>
      <c r="H26" s="8"/>
      <c r="I26" s="8"/>
      <c r="J26" s="8"/>
      <c r="K26" s="8"/>
    </row>
  </sheetData>
  <mergeCells count="2">
    <mergeCell ref="F20:K23"/>
    <mergeCell ref="F24:K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60d8335-e414-497b-b6b2-10c650911aa3" xsi:nil="true"/>
    <lcf76f155ced4ddcb4097134ff3c332f xmlns="ddeb3276-f0d2-4dc8-a738-b015e156e8d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96084A4626D84A98EDB8AFF445E440" ma:contentTypeVersion="12" ma:contentTypeDescription="Create a new document." ma:contentTypeScope="" ma:versionID="fc128e912a719f1e67295eadfaeb441d">
  <xsd:schema xmlns:xsd="http://www.w3.org/2001/XMLSchema" xmlns:xs="http://www.w3.org/2001/XMLSchema" xmlns:p="http://schemas.microsoft.com/office/2006/metadata/properties" xmlns:ns2="ddeb3276-f0d2-4dc8-a738-b015e156e8d7" xmlns:ns3="160d8335-e414-497b-b6b2-10c650911aa3" targetNamespace="http://schemas.microsoft.com/office/2006/metadata/properties" ma:root="true" ma:fieldsID="40af3f67cd76ff77f9b670e5e764f638" ns2:_="" ns3:_="">
    <xsd:import namespace="ddeb3276-f0d2-4dc8-a738-b015e156e8d7"/>
    <xsd:import namespace="160d8335-e414-497b-b6b2-10c650911a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eb3276-f0d2-4dc8-a738-b015e156e8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64bf66-3ab6-4740-8ae4-bf44781f388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0d8335-e414-497b-b6b2-10c650911aa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68e8d31-2799-4ff9-abf0-3119a6592127}" ma:internalName="TaxCatchAll" ma:showField="CatchAllData" ma:web="160d8335-e414-497b-b6b2-10c650911a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D45F58-9CA5-47C2-A20C-DB9CFC0F08D9}">
  <ds:schemaRefs>
    <ds:schemaRef ds:uri="http://purl.org/dc/elements/1.1/"/>
    <ds:schemaRef ds:uri="http://schemas.microsoft.com/office/2006/documentManagement/types"/>
    <ds:schemaRef ds:uri="http://schemas.microsoft.com/office/2006/metadata/properties"/>
    <ds:schemaRef ds:uri="http://www.w3.org/XML/1998/namespace"/>
    <ds:schemaRef ds:uri="ddeb3276-f0d2-4dc8-a738-b015e156e8d7"/>
    <ds:schemaRef ds:uri="http://schemas.microsoft.com/office/infopath/2007/PartnerControls"/>
    <ds:schemaRef ds:uri="http://purl.org/dc/terms/"/>
    <ds:schemaRef ds:uri="http://schemas.openxmlformats.org/package/2006/metadata/core-properties"/>
    <ds:schemaRef ds:uri="160d8335-e414-497b-b6b2-10c650911aa3"/>
    <ds:schemaRef ds:uri="http://purl.org/dc/dcmitype/"/>
  </ds:schemaRefs>
</ds:datastoreItem>
</file>

<file path=customXml/itemProps2.xml><?xml version="1.0" encoding="utf-8"?>
<ds:datastoreItem xmlns:ds="http://schemas.openxmlformats.org/officeDocument/2006/customXml" ds:itemID="{E85C36AA-4451-4447-ACE9-6C42FA8AD0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eb3276-f0d2-4dc8-a738-b015e156e8d7"/>
    <ds:schemaRef ds:uri="160d8335-e414-497b-b6b2-10c650911a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60316A-C9EC-4CD7-AFE2-90212EDCAB01}">
  <ds:schemaRefs>
    <ds:schemaRef ds:uri="http://schemas.microsoft.com/sharepoint/v3/contenttype/forms"/>
  </ds:schemaRefs>
</ds:datastoreItem>
</file>

<file path=docMetadata/LabelInfo.xml><?xml version="1.0" encoding="utf-8"?>
<clbl:labelList xmlns:clbl="http://schemas.microsoft.com/office/2020/mipLabelMetadata">
  <clbl:label id="{5567eafd-e777-42a5-91bb-9440fd43b893}" enabled="0" method="" siteId="{5567eafd-e777-42a5-91bb-9440fd43b89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Chart 1</vt:lpstr>
      <vt:lpstr>Chart 2</vt:lpstr>
      <vt:lpstr>Chart 3</vt:lpstr>
      <vt:lpstr>Chart 4</vt:lpstr>
      <vt:lpstr>Chart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Teodoro Crisologo Grandez</dc:creator>
  <cp:lastModifiedBy>Tiffany Lam</cp:lastModifiedBy>
  <dcterms:created xsi:type="dcterms:W3CDTF">2026-06-10T09:59:36Z</dcterms:created>
  <dcterms:modified xsi:type="dcterms:W3CDTF">2026-07-27T13:05:51Z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0x0101005D96084A4626D84A98EDB8AFF445E440</vt:lpwstr>
  </property>
  <property fmtid="{D5CDD505-2E9C-101B-9397-08002B2CF9AE}" pid="3" name="MediaServiceImageTags">
    <vt:lpwstr/>
  </property>
</Properties>
</file>