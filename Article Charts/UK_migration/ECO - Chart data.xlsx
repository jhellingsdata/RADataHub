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ame0165_ox_ac_uk/Documents/External/Submissions/Economics Observatory/"/>
    </mc:Choice>
  </mc:AlternateContent>
  <xr:revisionPtr revIDLastSave="0" documentId="8_{DFEDB0BA-EFE5-4555-8DA3-851B2C0CDE7D}" xr6:coauthVersionLast="47" xr6:coauthVersionMax="47" xr10:uidLastSave="{00000000-0000-0000-0000-000000000000}"/>
  <bookViews>
    <workbookView xWindow="28680" yWindow="-120" windowWidth="29040" windowHeight="15720" xr2:uid="{74649893-52DF-49B5-AB46-2877D99CD9DA}"/>
  </bookViews>
  <sheets>
    <sheet name="F1" sheetId="1" r:id="rId1"/>
    <sheet name="F2" sheetId="2" r:id="rId2"/>
    <sheet name="F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3" i="2" l="1"/>
  <c r="I253" i="2"/>
  <c r="H253" i="2"/>
  <c r="F253" i="2"/>
  <c r="C253" i="2"/>
  <c r="J252" i="2"/>
  <c r="I252" i="2"/>
  <c r="F252" i="2"/>
  <c r="C252" i="2"/>
  <c r="J251" i="2"/>
  <c r="I251" i="2"/>
  <c r="F251" i="2"/>
  <c r="C251" i="2"/>
  <c r="J250" i="2"/>
  <c r="I250" i="2"/>
  <c r="H250" i="2"/>
  <c r="F250" i="2"/>
  <c r="C250" i="2"/>
  <c r="J249" i="2"/>
  <c r="I249" i="2"/>
  <c r="F249" i="2"/>
  <c r="C249" i="2"/>
  <c r="J248" i="2"/>
  <c r="I248" i="2"/>
  <c r="F248" i="2"/>
  <c r="C248" i="2"/>
  <c r="J247" i="2"/>
  <c r="I247" i="2"/>
  <c r="F247" i="2"/>
  <c r="C247" i="2"/>
  <c r="J246" i="2"/>
  <c r="I246" i="2"/>
  <c r="H246" i="2"/>
  <c r="F246" i="2"/>
  <c r="C246" i="2"/>
  <c r="J245" i="2"/>
  <c r="I245" i="2"/>
  <c r="H245" i="2"/>
  <c r="F245" i="2"/>
  <c r="C245" i="2"/>
  <c r="J244" i="2"/>
  <c r="I244" i="2"/>
  <c r="F244" i="2"/>
  <c r="C244" i="2"/>
  <c r="J243" i="2"/>
  <c r="I243" i="2"/>
  <c r="F243" i="2"/>
  <c r="C243" i="2"/>
  <c r="J242" i="2"/>
  <c r="I242" i="2"/>
  <c r="H242" i="2"/>
  <c r="F242" i="2"/>
  <c r="C242" i="2"/>
  <c r="J241" i="2"/>
  <c r="I241" i="2"/>
  <c r="F241" i="2"/>
  <c r="C241" i="2"/>
  <c r="J240" i="2"/>
  <c r="I240" i="2"/>
  <c r="F240" i="2"/>
  <c r="C240" i="2"/>
  <c r="J239" i="2"/>
  <c r="I239" i="2"/>
  <c r="F239" i="2"/>
  <c r="C239" i="2"/>
  <c r="J238" i="2"/>
  <c r="I238" i="2"/>
  <c r="H238" i="2"/>
  <c r="F238" i="2"/>
  <c r="C238" i="2"/>
  <c r="J237" i="2"/>
  <c r="I237" i="2"/>
  <c r="H237" i="2"/>
  <c r="F237" i="2"/>
  <c r="C237" i="2"/>
  <c r="J236" i="2"/>
  <c r="I236" i="2"/>
  <c r="F236" i="2"/>
  <c r="C236" i="2"/>
  <c r="J235" i="2"/>
  <c r="I235" i="2"/>
  <c r="F235" i="2"/>
  <c r="C235" i="2"/>
  <c r="J234" i="2"/>
  <c r="I234" i="2"/>
  <c r="H234" i="2"/>
  <c r="F234" i="2"/>
  <c r="C234" i="2"/>
  <c r="J233" i="2"/>
  <c r="I233" i="2"/>
  <c r="F233" i="2"/>
  <c r="C233" i="2"/>
  <c r="J232" i="2"/>
  <c r="I232" i="2"/>
  <c r="F232" i="2"/>
  <c r="C232" i="2"/>
  <c r="J231" i="2"/>
  <c r="I231" i="2"/>
  <c r="F231" i="2"/>
  <c r="C231" i="2"/>
  <c r="J230" i="2"/>
  <c r="I230" i="2"/>
  <c r="H230" i="2"/>
  <c r="F230" i="2"/>
  <c r="C230" i="2"/>
  <c r="J229" i="2"/>
  <c r="I229" i="2"/>
  <c r="H229" i="2"/>
  <c r="F229" i="2"/>
  <c r="C229" i="2"/>
  <c r="J228" i="2"/>
  <c r="I228" i="2"/>
  <c r="F228" i="2"/>
  <c r="C228" i="2"/>
  <c r="J227" i="2"/>
  <c r="I227" i="2"/>
  <c r="F227" i="2"/>
  <c r="C227" i="2"/>
  <c r="J226" i="2"/>
  <c r="I226" i="2"/>
  <c r="H226" i="2"/>
  <c r="F226" i="2"/>
  <c r="C226" i="2"/>
  <c r="J225" i="2"/>
  <c r="I225" i="2"/>
  <c r="F225" i="2"/>
  <c r="C225" i="2"/>
  <c r="J224" i="2"/>
  <c r="I224" i="2"/>
  <c r="F224" i="2"/>
  <c r="C224" i="2"/>
  <c r="J223" i="2"/>
  <c r="I223" i="2"/>
  <c r="F223" i="2"/>
  <c r="C223" i="2"/>
  <c r="J222" i="2"/>
  <c r="I222" i="2"/>
  <c r="H222" i="2"/>
  <c r="F222" i="2"/>
  <c r="C222" i="2"/>
  <c r="J221" i="2"/>
  <c r="I221" i="2"/>
  <c r="H221" i="2"/>
  <c r="F221" i="2"/>
  <c r="C221" i="2"/>
  <c r="J220" i="2"/>
  <c r="I220" i="2"/>
  <c r="F220" i="2"/>
  <c r="C220" i="2"/>
  <c r="J219" i="2"/>
  <c r="I219" i="2"/>
  <c r="F219" i="2"/>
  <c r="C219" i="2"/>
  <c r="J218" i="2"/>
  <c r="I218" i="2"/>
  <c r="H218" i="2"/>
  <c r="F218" i="2"/>
  <c r="C218" i="2"/>
  <c r="J217" i="2"/>
  <c r="I217" i="2"/>
  <c r="F217" i="2"/>
  <c r="C217" i="2"/>
  <c r="J216" i="2"/>
  <c r="I216" i="2"/>
  <c r="F216" i="2"/>
  <c r="C216" i="2"/>
  <c r="J215" i="2"/>
  <c r="I215" i="2"/>
  <c r="F215" i="2"/>
  <c r="C215" i="2"/>
  <c r="J214" i="2"/>
  <c r="I214" i="2"/>
  <c r="H214" i="2"/>
  <c r="F214" i="2"/>
  <c r="C214" i="2"/>
  <c r="J213" i="2"/>
  <c r="I213" i="2"/>
  <c r="H213" i="2"/>
  <c r="F213" i="2"/>
  <c r="C213" i="2"/>
  <c r="J212" i="2"/>
  <c r="I212" i="2"/>
  <c r="F212" i="2"/>
  <c r="C212" i="2"/>
  <c r="J211" i="2"/>
  <c r="I211" i="2"/>
  <c r="F211" i="2"/>
  <c r="C211" i="2"/>
  <c r="J210" i="2"/>
  <c r="I210" i="2"/>
  <c r="H210" i="2"/>
  <c r="F210" i="2"/>
  <c r="C210" i="2"/>
  <c r="J209" i="2"/>
  <c r="I209" i="2"/>
  <c r="F209" i="2"/>
  <c r="C209" i="2"/>
  <c r="J208" i="2"/>
  <c r="I208" i="2"/>
  <c r="F208" i="2"/>
  <c r="C208" i="2"/>
  <c r="J207" i="2"/>
  <c r="I207" i="2"/>
  <c r="F207" i="2"/>
  <c r="C207" i="2"/>
  <c r="J206" i="2"/>
  <c r="I206" i="2"/>
  <c r="H206" i="2"/>
  <c r="F206" i="2"/>
  <c r="C206" i="2"/>
  <c r="J205" i="2"/>
  <c r="I205" i="2"/>
  <c r="H205" i="2"/>
  <c r="F205" i="2"/>
  <c r="C205" i="2"/>
  <c r="J204" i="2"/>
  <c r="I204" i="2"/>
  <c r="F204" i="2"/>
  <c r="C204" i="2"/>
  <c r="J203" i="2"/>
  <c r="I203" i="2"/>
  <c r="F203" i="2"/>
  <c r="C203" i="2"/>
  <c r="J202" i="2"/>
  <c r="I202" i="2"/>
  <c r="H202" i="2"/>
  <c r="F202" i="2"/>
  <c r="C202" i="2"/>
  <c r="J201" i="2"/>
  <c r="I201" i="2"/>
  <c r="F201" i="2"/>
  <c r="C201" i="2"/>
  <c r="J200" i="2"/>
  <c r="I200" i="2"/>
  <c r="F200" i="2"/>
  <c r="C200" i="2"/>
  <c r="J199" i="2"/>
  <c r="I199" i="2"/>
  <c r="F199" i="2"/>
  <c r="C199" i="2"/>
  <c r="J198" i="2"/>
  <c r="I198" i="2"/>
  <c r="H198" i="2"/>
  <c r="F198" i="2"/>
  <c r="C198" i="2"/>
  <c r="J197" i="2"/>
  <c r="I197" i="2"/>
  <c r="H197" i="2"/>
  <c r="F197" i="2"/>
  <c r="C197" i="2"/>
  <c r="J196" i="2"/>
  <c r="I196" i="2"/>
  <c r="F196" i="2"/>
  <c r="C196" i="2"/>
  <c r="J195" i="2"/>
  <c r="I195" i="2"/>
  <c r="F195" i="2"/>
  <c r="C195" i="2"/>
  <c r="J194" i="2"/>
  <c r="I194" i="2"/>
  <c r="H194" i="2"/>
  <c r="F194" i="2"/>
  <c r="C194" i="2"/>
  <c r="J193" i="2"/>
  <c r="I193" i="2"/>
  <c r="F193" i="2"/>
  <c r="C193" i="2"/>
  <c r="J192" i="2"/>
  <c r="I192" i="2"/>
  <c r="F192" i="2"/>
  <c r="C192" i="2"/>
  <c r="J191" i="2"/>
  <c r="I191" i="2"/>
  <c r="F191" i="2"/>
  <c r="C191" i="2"/>
  <c r="J190" i="2"/>
  <c r="I190" i="2"/>
  <c r="H190" i="2"/>
  <c r="F190" i="2"/>
  <c r="C190" i="2"/>
  <c r="J189" i="2"/>
  <c r="I189" i="2"/>
  <c r="H189" i="2"/>
  <c r="F189" i="2"/>
  <c r="C189" i="2"/>
  <c r="J188" i="2"/>
  <c r="I188" i="2"/>
  <c r="F188" i="2"/>
  <c r="C188" i="2"/>
  <c r="J187" i="2"/>
  <c r="I187" i="2"/>
  <c r="F187" i="2"/>
  <c r="C187" i="2"/>
  <c r="J186" i="2"/>
  <c r="I186" i="2"/>
  <c r="H186" i="2"/>
  <c r="F186" i="2"/>
  <c r="C186" i="2"/>
  <c r="J185" i="2"/>
  <c r="I185" i="2"/>
  <c r="F185" i="2"/>
  <c r="C185" i="2"/>
  <c r="J184" i="2"/>
  <c r="I184" i="2"/>
  <c r="F184" i="2"/>
  <c r="C184" i="2"/>
  <c r="J183" i="2"/>
  <c r="I183" i="2"/>
  <c r="F183" i="2"/>
  <c r="C183" i="2"/>
  <c r="J182" i="2"/>
  <c r="I182" i="2"/>
  <c r="H182" i="2"/>
  <c r="F182" i="2"/>
  <c r="C182" i="2"/>
  <c r="J181" i="2"/>
  <c r="I181" i="2"/>
  <c r="H181" i="2"/>
  <c r="F181" i="2"/>
  <c r="C181" i="2"/>
  <c r="J180" i="2"/>
  <c r="I180" i="2"/>
  <c r="F180" i="2"/>
  <c r="C180" i="2"/>
  <c r="J179" i="2"/>
  <c r="I179" i="2"/>
  <c r="F179" i="2"/>
  <c r="C179" i="2"/>
  <c r="J178" i="2"/>
  <c r="I178" i="2"/>
  <c r="H178" i="2"/>
  <c r="F178" i="2"/>
  <c r="C178" i="2"/>
  <c r="J177" i="2"/>
  <c r="I177" i="2"/>
  <c r="F177" i="2"/>
  <c r="C177" i="2"/>
  <c r="J176" i="2"/>
  <c r="I176" i="2"/>
  <c r="F176" i="2"/>
  <c r="C176" i="2"/>
  <c r="J175" i="2"/>
  <c r="I175" i="2"/>
  <c r="F175" i="2"/>
  <c r="C175" i="2"/>
  <c r="J174" i="2"/>
  <c r="I174" i="2"/>
  <c r="H174" i="2"/>
  <c r="F174" i="2"/>
  <c r="C174" i="2"/>
  <c r="J173" i="2"/>
  <c r="I173" i="2"/>
  <c r="H173" i="2"/>
  <c r="F173" i="2"/>
  <c r="C173" i="2"/>
  <c r="J172" i="2"/>
  <c r="I172" i="2"/>
  <c r="F172" i="2"/>
  <c r="C172" i="2"/>
  <c r="J171" i="2"/>
  <c r="I171" i="2"/>
  <c r="F171" i="2"/>
  <c r="C171" i="2"/>
  <c r="J170" i="2"/>
  <c r="I170" i="2"/>
  <c r="H170" i="2"/>
  <c r="F170" i="2"/>
  <c r="C170" i="2"/>
  <c r="J169" i="2"/>
  <c r="I169" i="2"/>
  <c r="F169" i="2"/>
  <c r="C169" i="2"/>
  <c r="J168" i="2"/>
  <c r="I168" i="2"/>
  <c r="F168" i="2"/>
  <c r="C168" i="2"/>
  <c r="J167" i="2"/>
  <c r="I167" i="2"/>
  <c r="F167" i="2"/>
  <c r="C167" i="2"/>
  <c r="J166" i="2"/>
  <c r="I166" i="2"/>
  <c r="H166" i="2"/>
  <c r="F166" i="2"/>
  <c r="C166" i="2"/>
  <c r="J165" i="2"/>
  <c r="I165" i="2"/>
  <c r="H165" i="2"/>
  <c r="F165" i="2"/>
  <c r="C165" i="2"/>
  <c r="J164" i="2"/>
  <c r="I164" i="2"/>
  <c r="F164" i="2"/>
  <c r="C164" i="2"/>
  <c r="J163" i="2"/>
  <c r="I163" i="2"/>
  <c r="F163" i="2"/>
  <c r="C163" i="2"/>
  <c r="J162" i="2"/>
  <c r="I162" i="2"/>
  <c r="H162" i="2"/>
  <c r="F162" i="2"/>
  <c r="C162" i="2"/>
  <c r="J161" i="2"/>
  <c r="I161" i="2"/>
  <c r="F161" i="2"/>
  <c r="C161" i="2"/>
  <c r="J160" i="2"/>
  <c r="I160" i="2"/>
  <c r="F160" i="2"/>
  <c r="C160" i="2"/>
  <c r="J159" i="2"/>
  <c r="I159" i="2"/>
  <c r="F159" i="2"/>
  <c r="C159" i="2"/>
  <c r="J158" i="2"/>
  <c r="I158" i="2"/>
  <c r="H158" i="2"/>
  <c r="F158" i="2"/>
  <c r="C158" i="2"/>
  <c r="J157" i="2"/>
  <c r="I157" i="2"/>
  <c r="H157" i="2"/>
  <c r="F157" i="2"/>
  <c r="C157" i="2"/>
  <c r="J156" i="2"/>
  <c r="I156" i="2"/>
  <c r="F156" i="2"/>
  <c r="C156" i="2"/>
  <c r="J155" i="2"/>
  <c r="I155" i="2"/>
  <c r="F155" i="2"/>
  <c r="C155" i="2"/>
  <c r="J154" i="2"/>
  <c r="I154" i="2"/>
  <c r="H154" i="2"/>
  <c r="F154" i="2"/>
  <c r="C154" i="2"/>
  <c r="J153" i="2"/>
  <c r="I153" i="2"/>
  <c r="F153" i="2"/>
  <c r="C153" i="2"/>
  <c r="J152" i="2"/>
  <c r="I152" i="2"/>
  <c r="F152" i="2"/>
  <c r="C152" i="2"/>
  <c r="J151" i="2"/>
  <c r="I151" i="2"/>
  <c r="F151" i="2"/>
  <c r="C151" i="2"/>
  <c r="J150" i="2"/>
  <c r="I150" i="2"/>
  <c r="H150" i="2"/>
  <c r="F150" i="2"/>
  <c r="C150" i="2"/>
  <c r="J149" i="2"/>
  <c r="I149" i="2"/>
  <c r="H149" i="2"/>
  <c r="F149" i="2"/>
  <c r="C149" i="2"/>
  <c r="J148" i="2"/>
  <c r="I148" i="2"/>
  <c r="F148" i="2"/>
  <c r="C148" i="2"/>
  <c r="J147" i="2"/>
  <c r="I147" i="2"/>
  <c r="F147" i="2"/>
  <c r="C147" i="2"/>
  <c r="J146" i="2"/>
  <c r="I146" i="2"/>
  <c r="H146" i="2"/>
  <c r="F146" i="2"/>
  <c r="C146" i="2"/>
  <c r="J145" i="2"/>
  <c r="I145" i="2"/>
  <c r="F145" i="2"/>
  <c r="C145" i="2"/>
  <c r="J144" i="2"/>
  <c r="I144" i="2"/>
  <c r="F144" i="2"/>
  <c r="C144" i="2"/>
  <c r="J143" i="2"/>
  <c r="I143" i="2"/>
  <c r="F143" i="2"/>
  <c r="C143" i="2"/>
  <c r="J142" i="2"/>
  <c r="I142" i="2"/>
  <c r="H142" i="2"/>
  <c r="F142" i="2"/>
  <c r="C142" i="2"/>
  <c r="J141" i="2"/>
  <c r="I141" i="2"/>
  <c r="H141" i="2"/>
  <c r="F141" i="2"/>
  <c r="C141" i="2"/>
  <c r="J140" i="2"/>
  <c r="I140" i="2"/>
  <c r="F140" i="2"/>
  <c r="C140" i="2"/>
  <c r="J139" i="2"/>
  <c r="I139" i="2"/>
  <c r="F139" i="2"/>
  <c r="C139" i="2"/>
  <c r="J138" i="2"/>
  <c r="I138" i="2"/>
  <c r="H138" i="2"/>
  <c r="F138" i="2"/>
  <c r="C138" i="2"/>
  <c r="J137" i="2"/>
  <c r="I137" i="2"/>
  <c r="F137" i="2"/>
  <c r="C137" i="2"/>
  <c r="J136" i="2"/>
  <c r="I136" i="2"/>
  <c r="F136" i="2"/>
  <c r="C136" i="2"/>
  <c r="J135" i="2"/>
  <c r="I135" i="2"/>
  <c r="F135" i="2"/>
  <c r="C135" i="2"/>
  <c r="J134" i="2"/>
  <c r="I134" i="2"/>
  <c r="H134" i="2"/>
  <c r="F134" i="2"/>
  <c r="C134" i="2"/>
  <c r="J133" i="2"/>
  <c r="I133" i="2"/>
  <c r="H133" i="2"/>
  <c r="F133" i="2"/>
  <c r="C133" i="2"/>
  <c r="J132" i="2"/>
  <c r="I132" i="2"/>
  <c r="F132" i="2"/>
  <c r="C132" i="2"/>
  <c r="J131" i="2"/>
  <c r="I131" i="2"/>
  <c r="F131" i="2"/>
  <c r="C131" i="2"/>
  <c r="J130" i="2"/>
  <c r="I130" i="2"/>
  <c r="H130" i="2"/>
  <c r="F130" i="2"/>
  <c r="C130" i="2"/>
  <c r="J129" i="2"/>
  <c r="I129" i="2"/>
  <c r="F129" i="2"/>
  <c r="C129" i="2"/>
  <c r="J128" i="2"/>
  <c r="I128" i="2"/>
  <c r="F128" i="2"/>
  <c r="C128" i="2"/>
  <c r="H127" i="2"/>
  <c r="F127" i="2"/>
  <c r="H126" i="2"/>
  <c r="H252" i="2" s="1"/>
  <c r="F126" i="2"/>
  <c r="H125" i="2"/>
  <c r="H251" i="2" s="1"/>
  <c r="F125" i="2"/>
  <c r="H124" i="2"/>
  <c r="F124" i="2"/>
  <c r="H123" i="2"/>
  <c r="H249" i="2" s="1"/>
  <c r="F123" i="2"/>
  <c r="H122" i="2"/>
  <c r="H248" i="2" s="1"/>
  <c r="F122" i="2"/>
  <c r="H121" i="2"/>
  <c r="H247" i="2" s="1"/>
  <c r="F121" i="2"/>
  <c r="H120" i="2"/>
  <c r="F120" i="2"/>
  <c r="H119" i="2"/>
  <c r="F119" i="2"/>
  <c r="H118" i="2"/>
  <c r="H244" i="2" s="1"/>
  <c r="F118" i="2"/>
  <c r="H117" i="2"/>
  <c r="H243" i="2" s="1"/>
  <c r="F117" i="2"/>
  <c r="H116" i="2"/>
  <c r="F116" i="2"/>
  <c r="H115" i="2"/>
  <c r="H241" i="2" s="1"/>
  <c r="F115" i="2"/>
  <c r="H114" i="2"/>
  <c r="H240" i="2" s="1"/>
  <c r="F114" i="2"/>
  <c r="H113" i="2"/>
  <c r="H239" i="2" s="1"/>
  <c r="F113" i="2"/>
  <c r="H112" i="2"/>
  <c r="F112" i="2"/>
  <c r="H111" i="2"/>
  <c r="F111" i="2"/>
  <c r="H110" i="2"/>
  <c r="H236" i="2" s="1"/>
  <c r="F110" i="2"/>
  <c r="H109" i="2"/>
  <c r="H235" i="2" s="1"/>
  <c r="F109" i="2"/>
  <c r="H108" i="2"/>
  <c r="F108" i="2"/>
  <c r="H107" i="2"/>
  <c r="H233" i="2" s="1"/>
  <c r="F107" i="2"/>
  <c r="H106" i="2"/>
  <c r="H232" i="2" s="1"/>
  <c r="F106" i="2"/>
  <c r="H105" i="2"/>
  <c r="H231" i="2" s="1"/>
  <c r="F105" i="2"/>
  <c r="H104" i="2"/>
  <c r="F104" i="2"/>
  <c r="H103" i="2"/>
  <c r="F103" i="2"/>
  <c r="H102" i="2"/>
  <c r="H228" i="2" s="1"/>
  <c r="F102" i="2"/>
  <c r="H101" i="2"/>
  <c r="H227" i="2" s="1"/>
  <c r="F101" i="2"/>
  <c r="H100" i="2"/>
  <c r="F100" i="2"/>
  <c r="H99" i="2"/>
  <c r="H225" i="2" s="1"/>
  <c r="F99" i="2"/>
  <c r="H98" i="2"/>
  <c r="H224" i="2" s="1"/>
  <c r="F98" i="2"/>
  <c r="H97" i="2"/>
  <c r="H223" i="2" s="1"/>
  <c r="F97" i="2"/>
  <c r="H96" i="2"/>
  <c r="F96" i="2"/>
  <c r="H95" i="2"/>
  <c r="F95" i="2"/>
  <c r="H94" i="2"/>
  <c r="H220" i="2" s="1"/>
  <c r="F94" i="2"/>
  <c r="H93" i="2"/>
  <c r="H219" i="2" s="1"/>
  <c r="F93" i="2"/>
  <c r="H92" i="2"/>
  <c r="F92" i="2"/>
  <c r="H91" i="2"/>
  <c r="H217" i="2" s="1"/>
  <c r="F91" i="2"/>
  <c r="H90" i="2"/>
  <c r="H216" i="2" s="1"/>
  <c r="F90" i="2"/>
  <c r="H89" i="2"/>
  <c r="H215" i="2" s="1"/>
  <c r="F89" i="2"/>
  <c r="H88" i="2"/>
  <c r="F88" i="2"/>
  <c r="H87" i="2"/>
  <c r="F87" i="2"/>
  <c r="H86" i="2"/>
  <c r="H212" i="2" s="1"/>
  <c r="F86" i="2"/>
  <c r="H85" i="2"/>
  <c r="H211" i="2" s="1"/>
  <c r="F85" i="2"/>
  <c r="H84" i="2"/>
  <c r="F84" i="2"/>
  <c r="H83" i="2"/>
  <c r="H209" i="2" s="1"/>
  <c r="F83" i="2"/>
  <c r="H82" i="2"/>
  <c r="H208" i="2" s="1"/>
  <c r="F82" i="2"/>
  <c r="H81" i="2"/>
  <c r="H207" i="2" s="1"/>
  <c r="F81" i="2"/>
  <c r="H80" i="2"/>
  <c r="F80" i="2"/>
  <c r="H79" i="2"/>
  <c r="F79" i="2"/>
  <c r="H78" i="2"/>
  <c r="H204" i="2" s="1"/>
  <c r="F78" i="2"/>
  <c r="H77" i="2"/>
  <c r="H203" i="2" s="1"/>
  <c r="F77" i="2"/>
  <c r="H76" i="2"/>
  <c r="F76" i="2"/>
  <c r="H75" i="2"/>
  <c r="H201" i="2" s="1"/>
  <c r="F75" i="2"/>
  <c r="H74" i="2"/>
  <c r="H200" i="2" s="1"/>
  <c r="F74" i="2"/>
  <c r="H73" i="2"/>
  <c r="H199" i="2" s="1"/>
  <c r="F73" i="2"/>
  <c r="H72" i="2"/>
  <c r="F72" i="2"/>
  <c r="H71" i="2"/>
  <c r="F71" i="2"/>
  <c r="H70" i="2"/>
  <c r="H196" i="2" s="1"/>
  <c r="F70" i="2"/>
  <c r="H69" i="2"/>
  <c r="H195" i="2" s="1"/>
  <c r="F69" i="2"/>
  <c r="H68" i="2"/>
  <c r="F68" i="2"/>
  <c r="H67" i="2"/>
  <c r="H193" i="2" s="1"/>
  <c r="F67" i="2"/>
  <c r="H66" i="2"/>
  <c r="H192" i="2" s="1"/>
  <c r="F66" i="2"/>
  <c r="H65" i="2"/>
  <c r="H191" i="2" s="1"/>
  <c r="F65" i="2"/>
  <c r="H64" i="2"/>
  <c r="F64" i="2"/>
  <c r="H63" i="2"/>
  <c r="F63" i="2"/>
  <c r="H62" i="2"/>
  <c r="H188" i="2" s="1"/>
  <c r="F62" i="2"/>
  <c r="H61" i="2"/>
  <c r="H187" i="2" s="1"/>
  <c r="F61" i="2"/>
  <c r="H60" i="2"/>
  <c r="F60" i="2"/>
  <c r="H59" i="2"/>
  <c r="H185" i="2" s="1"/>
  <c r="F59" i="2"/>
  <c r="H58" i="2"/>
  <c r="H184" i="2" s="1"/>
  <c r="F58" i="2"/>
  <c r="H57" i="2"/>
  <c r="H183" i="2" s="1"/>
  <c r="F57" i="2"/>
  <c r="H56" i="2"/>
  <c r="F56" i="2"/>
  <c r="H55" i="2"/>
  <c r="F55" i="2"/>
  <c r="H54" i="2"/>
  <c r="H180" i="2" s="1"/>
  <c r="F54" i="2"/>
  <c r="H53" i="2"/>
  <c r="H179" i="2" s="1"/>
  <c r="F53" i="2"/>
  <c r="H52" i="2"/>
  <c r="F52" i="2"/>
  <c r="H51" i="2"/>
  <c r="H177" i="2" s="1"/>
  <c r="F51" i="2"/>
  <c r="H50" i="2"/>
  <c r="H176" i="2" s="1"/>
  <c r="F50" i="2"/>
  <c r="H49" i="2"/>
  <c r="H175" i="2" s="1"/>
  <c r="F49" i="2"/>
  <c r="H48" i="2"/>
  <c r="F48" i="2"/>
  <c r="H47" i="2"/>
  <c r="F47" i="2"/>
  <c r="H46" i="2"/>
  <c r="H172" i="2" s="1"/>
  <c r="F46" i="2"/>
  <c r="H45" i="2"/>
  <c r="H171" i="2" s="1"/>
  <c r="F45" i="2"/>
  <c r="H44" i="2"/>
  <c r="F44" i="2"/>
  <c r="H43" i="2"/>
  <c r="H169" i="2" s="1"/>
  <c r="F43" i="2"/>
  <c r="H42" i="2"/>
  <c r="H168" i="2" s="1"/>
  <c r="F42" i="2"/>
  <c r="H41" i="2"/>
  <c r="H167" i="2" s="1"/>
  <c r="F41" i="2"/>
  <c r="H40" i="2"/>
  <c r="F40" i="2"/>
  <c r="H39" i="2"/>
  <c r="F39" i="2"/>
  <c r="H38" i="2"/>
  <c r="H164" i="2" s="1"/>
  <c r="F38" i="2"/>
  <c r="H37" i="2"/>
  <c r="H163" i="2" s="1"/>
  <c r="F37" i="2"/>
  <c r="H36" i="2"/>
  <c r="F36" i="2"/>
  <c r="H35" i="2"/>
  <c r="H161" i="2" s="1"/>
  <c r="F35" i="2"/>
  <c r="H34" i="2"/>
  <c r="H160" i="2" s="1"/>
  <c r="F34" i="2"/>
  <c r="H33" i="2"/>
  <c r="H159" i="2" s="1"/>
  <c r="F33" i="2"/>
  <c r="H32" i="2"/>
  <c r="F32" i="2"/>
  <c r="H31" i="2"/>
  <c r="F31" i="2"/>
  <c r="H30" i="2"/>
  <c r="H156" i="2" s="1"/>
  <c r="F30" i="2"/>
  <c r="H29" i="2"/>
  <c r="H155" i="2" s="1"/>
  <c r="F29" i="2"/>
  <c r="H28" i="2"/>
  <c r="F28" i="2"/>
  <c r="H27" i="2"/>
  <c r="H153" i="2" s="1"/>
  <c r="F27" i="2"/>
  <c r="H26" i="2"/>
  <c r="H152" i="2" s="1"/>
  <c r="F26" i="2"/>
  <c r="H25" i="2"/>
  <c r="H151" i="2" s="1"/>
  <c r="F25" i="2"/>
  <c r="H24" i="2"/>
  <c r="F24" i="2"/>
  <c r="H23" i="2"/>
  <c r="F23" i="2"/>
  <c r="H22" i="2"/>
  <c r="H148" i="2" s="1"/>
  <c r="F22" i="2"/>
  <c r="H21" i="2"/>
  <c r="H147" i="2" s="1"/>
  <c r="F21" i="2"/>
  <c r="H20" i="2"/>
  <c r="F20" i="2"/>
  <c r="H19" i="2"/>
  <c r="H145" i="2" s="1"/>
  <c r="F19" i="2"/>
  <c r="H18" i="2"/>
  <c r="H144" i="2" s="1"/>
  <c r="F18" i="2"/>
  <c r="H17" i="2"/>
  <c r="H143" i="2" s="1"/>
  <c r="F17" i="2"/>
  <c r="H16" i="2"/>
  <c r="F16" i="2"/>
  <c r="H15" i="2"/>
  <c r="F15" i="2"/>
  <c r="H14" i="2"/>
  <c r="H140" i="2" s="1"/>
  <c r="F14" i="2"/>
  <c r="H13" i="2"/>
  <c r="H139" i="2" s="1"/>
  <c r="F13" i="2"/>
  <c r="H12" i="2"/>
  <c r="F12" i="2"/>
  <c r="H11" i="2"/>
  <c r="H137" i="2" s="1"/>
  <c r="F11" i="2"/>
  <c r="H10" i="2"/>
  <c r="H136" i="2" s="1"/>
  <c r="F10" i="2"/>
  <c r="H9" i="2"/>
  <c r="H135" i="2" s="1"/>
  <c r="F9" i="2"/>
  <c r="H8" i="2"/>
  <c r="F8" i="2"/>
  <c r="H7" i="2"/>
  <c r="F7" i="2"/>
  <c r="H6" i="2"/>
  <c r="H132" i="2" s="1"/>
  <c r="F6" i="2"/>
  <c r="H5" i="2"/>
  <c r="H131" i="2" s="1"/>
  <c r="F5" i="2"/>
  <c r="H4" i="2"/>
  <c r="F4" i="2"/>
  <c r="H3" i="2"/>
  <c r="H129" i="2" s="1"/>
  <c r="F3" i="2"/>
  <c r="H2" i="2"/>
  <c r="H128" i="2" s="1"/>
  <c r="F2" i="2"/>
</calcChain>
</file>

<file path=xl/sharedStrings.xml><?xml version="1.0" encoding="utf-8"?>
<sst xmlns="http://schemas.openxmlformats.org/spreadsheetml/2006/main" count="1868" uniqueCount="66">
  <si>
    <t>Period</t>
  </si>
  <si>
    <t>Year ending</t>
  </si>
  <si>
    <t>Reason</t>
  </si>
  <si>
    <t>Dependants</t>
  </si>
  <si>
    <t>Immigration</t>
  </si>
  <si>
    <t>2019 Q2</t>
  </si>
  <si>
    <t>Work</t>
  </si>
  <si>
    <t>Main applicants only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</si>
  <si>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</si>
  <si>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</si>
  <si>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</si>
  <si>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</si>
  <si>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</si>
  <si>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</si>
  <si>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</si>
  <si>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</si>
  <si>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</si>
  <si>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</si>
  <si>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</si>
  <si>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</si>
  <si>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</si>
  <si>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</si>
  <si>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</si>
  <si>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</si>
  <si>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</si>
  <si>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</si>
  <si>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</si>
  <si>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</si>
  <si>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</si>
  <si>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</si>
  <si>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Including dependants</t>
  </si>
  <si>
    <t>Study</t>
  </si>
  <si>
    <t>Family</t>
  </si>
  <si>
    <t>Humanitarian</t>
  </si>
  <si>
    <t>Asylum</t>
  </si>
  <si>
    <t>Other</t>
  </si>
  <si>
    <t>Total</t>
  </si>
  <si>
    <t>Source</t>
  </si>
  <si>
    <t>Measure</t>
  </si>
  <si>
    <t>Region</t>
  </si>
  <si>
    <t>Month</t>
  </si>
  <si>
    <t>Year</t>
  </si>
  <si>
    <t>Non-UK</t>
  </si>
  <si>
    <t>EU</t>
  </si>
  <si>
    <t>Non-EU</t>
  </si>
  <si>
    <t>HMRC</t>
  </si>
  <si>
    <t>Employee jobs held</t>
  </si>
  <si>
    <t>UK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</si>
  <si>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</si>
  <si>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</si>
  <si>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</si>
  <si>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</si>
  <si>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</si>
  <si>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</si>
  <si>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</si>
  <si>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</si>
  <si>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</si>
  <si>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</si>
  <si>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</si>
  <si>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</si>
  <si>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Share of employee jobs</t>
  </si>
  <si>
    <t>Age</t>
  </si>
  <si>
    <t>Representative UK resident</t>
  </si>
  <si>
    <t>Average-wage migrant worker</t>
  </si>
  <si>
    <t>High-wage migrant worker</t>
  </si>
  <si>
    <t>Low-wage migrant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</si>
</sst>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mmmm\ yyyy"/>
    <numFmt numFmtId="166" formatCode="#,##0,"/>
    <numFmt numFmtId="167" formatCode="_(* #,##0_);_(* \(#,##0\);_(* &quot;-&quot;??_);_(@_)"/>
    <numFmt numFmtId="168" formatCode="#,##0.00000,"/>
    <numFmt numFmtId="169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/>
    <xf numFmtId="3" fontId="4" fillId="0" borderId="0" xfId="0" applyNumberFormat="1" applyFont="1"/>
    <xf numFmtId="0" fontId="3" fillId="2" borderId="0" xfId="0" applyFont="1" applyFill="1" applyAlignment="1">
      <alignment vertical="top"/>
    </xf>
    <xf numFmtId="165" fontId="3" fillId="2" borderId="0" xfId="0" applyNumberFormat="1" applyFont="1" applyFill="1" applyAlignment="1">
      <alignment horizontal="left" vertical="top"/>
    </xf>
    <xf numFmtId="0" fontId="4" fillId="2" borderId="0" xfId="0" applyFont="1" applyFill="1"/>
    <xf numFmtId="3" fontId="4" fillId="2" borderId="0" xfId="0" applyNumberFormat="1" applyFont="1" applyFill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0" xfId="1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167" fontId="4" fillId="3" borderId="0" xfId="1" applyNumberFormat="1" applyFont="1" applyFill="1" applyAlignment="1">
      <alignment horizontal="right"/>
    </xf>
    <xf numFmtId="9" fontId="4" fillId="3" borderId="0" xfId="2" applyFont="1" applyFill="1" applyAlignment="1">
      <alignment horizontal="right"/>
    </xf>
    <xf numFmtId="168" fontId="3" fillId="3" borderId="0" xfId="0" applyNumberFormat="1" applyFont="1" applyFill="1" applyAlignment="1">
      <alignment horizontal="right"/>
    </xf>
    <xf numFmtId="169" fontId="4" fillId="3" borderId="0" xfId="2" applyNumberFormat="1" applyFont="1" applyFill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 wrapText="1"/>
    </xf>
    <xf numFmtId="166" fontId="5" fillId="0" borderId="1" xfId="3" applyNumberFormat="1" applyFont="1" applyBorder="1" applyAlignment="1">
      <alignment horizontal="left"/>
    </xf>
    <xf numFmtId="166" fontId="3" fillId="0" borderId="0" xfId="3" applyNumberFormat="1" applyAlignment="1">
      <alignment horizontal="right"/>
    </xf>
    <xf numFmtId="166" fontId="3" fillId="3" borderId="0" xfId="3" applyNumberFormat="1" applyFill="1" applyAlignment="1">
      <alignment horizontal="right"/>
    </xf>
    <xf numFmtId="0" fontId="2" fillId="0" borderId="0" xfId="0" applyFont="1" applyAlignment="1">
      <alignment vertical="center" wrapText="1"/>
    </xf>
  </cellXfs>
  <cellStyles count="4">
    <cellStyle name="Comma" xfId="1" builtinId="3"/>
    <cellStyle name="Normal" xfId="0" builtinId="0"/>
    <cellStyle name="Normal 2" xfId="3" xr:uid="{7C7D513A-D959-43A9-A970-C2E89230C8D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5A28-6DF5-458D-BE1B-1FD29A6815FA}">
  <dimension ref="A1:E323"/>
  <sheetViews>
    <sheetView tabSelected="1" workbookViewId="0"/>
  </sheetViews>
  <sheetFormatPr defaultRowHeight="14.45"/>
  <cols>
    <col min="1" max="1" width="14.140625" customWidth="1"/>
    <col min="2" max="2" width="17.28515625" customWidth="1"/>
    <col min="3" max="3" width="12" customWidth="1"/>
    <col min="4" max="4" width="21.140625" customWidth="1"/>
    <col min="5" max="5" width="13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43617</v>
      </c>
      <c r="C2" s="4" t="s">
        <v>6</v>
      </c>
      <c r="D2" s="4" t="s">
        <v>7</v>
      </c>
      <c r="E2" s="5">
        <v>56000</v>
      </c>
    </row>
    <row r="3" spans="1:5">
      <c r="A3" s="2" t="s">
        <v>8</v>
      </c>
      <c r="B3" s="3">
        <v>43709</v>
      </c>
      <c r="C3" s="4" t="s">
        <v>6</v>
      </c>
      <c r="D3" s="4" t="s">
        <v>7</v>
      </c>
      <c r="E3" s="5">
        <v>59000</v>
      </c>
    </row>
    <row r="4" spans="1:5">
      <c r="A4" s="2" t="s">
        <v>9</v>
      </c>
      <c r="B4" s="3">
        <v>43800</v>
      </c>
      <c r="C4" s="4" t="s">
        <v>6</v>
      </c>
      <c r="D4" s="4" t="s">
        <v>7</v>
      </c>
      <c r="E4" s="5">
        <v>62000</v>
      </c>
    </row>
    <row r="5" spans="1:5">
      <c r="A5" s="2" t="s">
        <v>10</v>
      </c>
      <c r="B5" s="3">
        <v>43891</v>
      </c>
      <c r="C5" s="4" t="s">
        <v>6</v>
      </c>
      <c r="D5" s="4" t="s">
        <v>7</v>
      </c>
      <c r="E5" s="5">
        <v>63000</v>
      </c>
    </row>
    <row r="6" spans="1:5">
      <c r="A6" s="2" t="s">
        <v>11</v>
      </c>
      <c r="B6" s="3">
        <v>43983</v>
      </c>
      <c r="C6" s="4" t="s">
        <v>6</v>
      </c>
      <c r="D6" s="4" t="s">
        <v>7</v>
      </c>
      <c r="E6" s="5">
        <v>49000</v>
      </c>
    </row>
    <row r="7" spans="1:5">
      <c r="A7" s="2" t="s">
        <v>12</v>
      </c>
      <c r="B7" s="3">
        <v>44075</v>
      </c>
      <c r="C7" s="4" t="s">
        <v>6</v>
      </c>
      <c r="D7" s="4" t="s">
        <v>7</v>
      </c>
      <c r="E7" s="5">
        <v>42000</v>
      </c>
    </row>
    <row r="8" spans="1:5">
      <c r="A8" s="2" t="s">
        <v>13</v>
      </c>
      <c r="B8" s="3">
        <v>44166</v>
      </c>
      <c r="C8" s="4" t="s">
        <v>6</v>
      </c>
      <c r="D8" s="4" t="s">
        <v>7</v>
      </c>
      <c r="E8" s="5">
        <v>42000</v>
      </c>
    </row>
    <row r="9" spans="1:5">
      <c r="A9" s="2" t="s">
        <v>14</v>
      </c>
      <c r="B9" s="3">
        <v>44256</v>
      </c>
      <c r="C9" s="4" t="s">
        <v>6</v>
      </c>
      <c r="D9" s="4" t="s">
        <v>7</v>
      </c>
      <c r="E9" s="5">
        <v>40000</v>
      </c>
    </row>
    <row r="10" spans="1:5">
      <c r="A10" s="2" t="s">
        <v>15</v>
      </c>
      <c r="B10" s="3">
        <v>44348</v>
      </c>
      <c r="C10" s="4" t="s">
        <v>6</v>
      </c>
      <c r="D10" s="4" t="s">
        <v>7</v>
      </c>
      <c r="E10" s="5">
        <v>55000</v>
      </c>
    </row>
    <row r="11" spans="1:5">
      <c r="A11" s="2" t="s">
        <v>16</v>
      </c>
      <c r="B11" s="3">
        <v>44440</v>
      </c>
      <c r="C11" s="4" t="s">
        <v>6</v>
      </c>
      <c r="D11" s="4" t="s">
        <v>7</v>
      </c>
      <c r="E11" s="5">
        <v>68000</v>
      </c>
    </row>
    <row r="12" spans="1:5">
      <c r="A12" s="2" t="s">
        <v>17</v>
      </c>
      <c r="B12" s="3">
        <v>44531</v>
      </c>
      <c r="C12" s="4" t="s">
        <v>6</v>
      </c>
      <c r="D12" s="4" t="s">
        <v>7</v>
      </c>
      <c r="E12" s="5">
        <v>81000</v>
      </c>
    </row>
    <row r="13" spans="1:5">
      <c r="A13" s="2" t="s">
        <v>18</v>
      </c>
      <c r="B13" s="3">
        <v>44621</v>
      </c>
      <c r="C13" s="4" t="s">
        <v>6</v>
      </c>
      <c r="D13" s="4" t="s">
        <v>7</v>
      </c>
      <c r="E13" s="5">
        <v>100000</v>
      </c>
    </row>
    <row r="14" spans="1:5">
      <c r="A14" s="2" t="s">
        <v>19</v>
      </c>
      <c r="B14" s="3">
        <v>44713</v>
      </c>
      <c r="C14" s="4" t="s">
        <v>6</v>
      </c>
      <c r="D14" s="4" t="s">
        <v>7</v>
      </c>
      <c r="E14" s="5">
        <v>117000</v>
      </c>
    </row>
    <row r="15" spans="1:5">
      <c r="A15" s="2" t="s">
        <v>20</v>
      </c>
      <c r="B15" s="3">
        <v>44805</v>
      </c>
      <c r="C15" s="4" t="s">
        <v>6</v>
      </c>
      <c r="D15" s="4" t="s">
        <v>7</v>
      </c>
      <c r="E15" s="5">
        <v>141000</v>
      </c>
    </row>
    <row r="16" spans="1:5">
      <c r="A16" s="2" t="s">
        <v>21</v>
      </c>
      <c r="B16" s="3">
        <v>44896</v>
      </c>
      <c r="C16" s="4" t="s">
        <v>6</v>
      </c>
      <c r="D16" s="4" t="s">
        <v>7</v>
      </c>
      <c r="E16" s="5">
        <v>156000</v>
      </c>
    </row>
    <row r="17" spans="1:5">
      <c r="A17" s="2" t="s">
        <v>22</v>
      </c>
      <c r="B17" s="3">
        <v>44986</v>
      </c>
      <c r="C17" s="4" t="s">
        <v>6</v>
      </c>
      <c r="D17" s="4" t="s">
        <v>7</v>
      </c>
      <c r="E17" s="5">
        <v>163000</v>
      </c>
    </row>
    <row r="18" spans="1:5">
      <c r="A18" s="2" t="s">
        <v>23</v>
      </c>
      <c r="B18" s="3">
        <v>45078</v>
      </c>
      <c r="C18" s="4" t="s">
        <v>6</v>
      </c>
      <c r="D18" s="4" t="s">
        <v>7</v>
      </c>
      <c r="E18" s="5">
        <v>189000</v>
      </c>
    </row>
    <row r="19" spans="1:5">
      <c r="A19" s="2" t="s">
        <v>24</v>
      </c>
      <c r="B19" s="3">
        <v>45170</v>
      </c>
      <c r="C19" s="4" t="s">
        <v>6</v>
      </c>
      <c r="D19" s="4" t="s">
        <v>7</v>
      </c>
      <c r="E19" s="5">
        <v>204000</v>
      </c>
    </row>
    <row r="20" spans="1:5">
      <c r="A20" s="2" t="s">
        <v>25</v>
      </c>
      <c r="B20" s="3">
        <v>45261</v>
      </c>
      <c r="C20" s="4" t="s">
        <v>6</v>
      </c>
      <c r="D20" s="4" t="s">
        <v>7</v>
      </c>
      <c r="E20" s="5">
        <v>221000</v>
      </c>
    </row>
    <row r="21" spans="1:5">
      <c r="A21" s="2" t="s">
        <v>26</v>
      </c>
      <c r="B21" s="3">
        <v>45352</v>
      </c>
      <c r="C21" s="4" t="s">
        <v>6</v>
      </c>
      <c r="D21" s="4" t="s">
        <v>7</v>
      </c>
      <c r="E21" s="5">
        <v>216000</v>
      </c>
    </row>
    <row r="22" spans="1:5">
      <c r="A22" s="2" t="s">
        <v>27</v>
      </c>
      <c r="B22" s="3">
        <v>45444</v>
      </c>
      <c r="C22" s="4" t="s">
        <v>6</v>
      </c>
      <c r="D22" s="4" t="s">
        <v>7</v>
      </c>
      <c r="E22" s="5">
        <v>188000</v>
      </c>
    </row>
    <row r="23" spans="1:5">
      <c r="A23" s="2" t="s">
        <v>28</v>
      </c>
      <c r="B23" s="3">
        <v>45536</v>
      </c>
      <c r="C23" s="4" t="s">
        <v>6</v>
      </c>
      <c r="D23" s="4" t="s">
        <v>7</v>
      </c>
      <c r="E23" s="5">
        <v>155000</v>
      </c>
    </row>
    <row r="24" spans="1:5">
      <c r="A24" s="2" t="s">
        <v>29</v>
      </c>
      <c r="B24" s="3">
        <v>45627</v>
      </c>
      <c r="C24" s="4" t="s">
        <v>6</v>
      </c>
      <c r="D24" s="4" t="s">
        <v>7</v>
      </c>
      <c r="E24" s="5">
        <v>113000</v>
      </c>
    </row>
    <row r="25" spans="1:5">
      <c r="A25" s="6" t="s">
        <v>5</v>
      </c>
      <c r="B25" s="7">
        <v>43617</v>
      </c>
      <c r="C25" s="8" t="s">
        <v>6</v>
      </c>
      <c r="D25" s="8" t="s">
        <v>30</v>
      </c>
      <c r="E25" s="9">
        <v>89000</v>
      </c>
    </row>
    <row r="26" spans="1:5">
      <c r="A26" s="6" t="s">
        <v>8</v>
      </c>
      <c r="B26" s="7">
        <v>43709</v>
      </c>
      <c r="C26" s="8" t="s">
        <v>6</v>
      </c>
      <c r="D26" s="8" t="s">
        <v>30</v>
      </c>
      <c r="E26" s="9">
        <v>94000</v>
      </c>
    </row>
    <row r="27" spans="1:5">
      <c r="A27" s="6" t="s">
        <v>9</v>
      </c>
      <c r="B27" s="7">
        <v>43800</v>
      </c>
      <c r="C27" s="8" t="s">
        <v>6</v>
      </c>
      <c r="D27" s="8" t="s">
        <v>30</v>
      </c>
      <c r="E27" s="9">
        <v>99000</v>
      </c>
    </row>
    <row r="28" spans="1:5">
      <c r="A28" s="6" t="s">
        <v>10</v>
      </c>
      <c r="B28" s="7">
        <v>43891</v>
      </c>
      <c r="C28" s="8" t="s">
        <v>6</v>
      </c>
      <c r="D28" s="8" t="s">
        <v>30</v>
      </c>
      <c r="E28" s="9">
        <v>102000</v>
      </c>
    </row>
    <row r="29" spans="1:5">
      <c r="A29" s="6" t="s">
        <v>11</v>
      </c>
      <c r="B29" s="7">
        <v>43983</v>
      </c>
      <c r="C29" s="8" t="s">
        <v>6</v>
      </c>
      <c r="D29" s="8" t="s">
        <v>30</v>
      </c>
      <c r="E29" s="9">
        <v>79000</v>
      </c>
    </row>
    <row r="30" spans="1:5">
      <c r="A30" s="6" t="s">
        <v>12</v>
      </c>
      <c r="B30" s="7">
        <v>44075</v>
      </c>
      <c r="C30" s="8" t="s">
        <v>6</v>
      </c>
      <c r="D30" s="8" t="s">
        <v>30</v>
      </c>
      <c r="E30" s="9">
        <v>68000</v>
      </c>
    </row>
    <row r="31" spans="1:5">
      <c r="A31" s="6" t="s">
        <v>13</v>
      </c>
      <c r="B31" s="7">
        <v>44166</v>
      </c>
      <c r="C31" s="8" t="s">
        <v>6</v>
      </c>
      <c r="D31" s="8" t="s">
        <v>30</v>
      </c>
      <c r="E31" s="9">
        <v>71000</v>
      </c>
    </row>
    <row r="32" spans="1:5">
      <c r="A32" s="6" t="s">
        <v>14</v>
      </c>
      <c r="B32" s="7">
        <v>44256</v>
      </c>
      <c r="C32" s="8" t="s">
        <v>6</v>
      </c>
      <c r="D32" s="8" t="s">
        <v>30</v>
      </c>
      <c r="E32" s="9">
        <v>70000</v>
      </c>
    </row>
    <row r="33" spans="1:5">
      <c r="A33" s="6" t="s">
        <v>15</v>
      </c>
      <c r="B33" s="7">
        <v>44348</v>
      </c>
      <c r="C33" s="8" t="s">
        <v>6</v>
      </c>
      <c r="D33" s="8" t="s">
        <v>30</v>
      </c>
      <c r="E33" s="9">
        <v>96000</v>
      </c>
    </row>
    <row r="34" spans="1:5">
      <c r="A34" s="6" t="s">
        <v>16</v>
      </c>
      <c r="B34" s="7">
        <v>44440</v>
      </c>
      <c r="C34" s="8" t="s">
        <v>6</v>
      </c>
      <c r="D34" s="8" t="s">
        <v>30</v>
      </c>
      <c r="E34" s="9">
        <v>120000</v>
      </c>
    </row>
    <row r="35" spans="1:5">
      <c r="A35" s="6" t="s">
        <v>17</v>
      </c>
      <c r="B35" s="7">
        <v>44531</v>
      </c>
      <c r="C35" s="8" t="s">
        <v>6</v>
      </c>
      <c r="D35" s="8" t="s">
        <v>30</v>
      </c>
      <c r="E35" s="9">
        <v>143000</v>
      </c>
    </row>
    <row r="36" spans="1:5">
      <c r="A36" s="6" t="s">
        <v>18</v>
      </c>
      <c r="B36" s="7">
        <v>44621</v>
      </c>
      <c r="C36" s="8" t="s">
        <v>6</v>
      </c>
      <c r="D36" s="8" t="s">
        <v>30</v>
      </c>
      <c r="E36" s="9">
        <v>175000</v>
      </c>
    </row>
    <row r="37" spans="1:5">
      <c r="A37" s="6" t="s">
        <v>19</v>
      </c>
      <c r="B37" s="7">
        <v>44713</v>
      </c>
      <c r="C37" s="8" t="s">
        <v>6</v>
      </c>
      <c r="D37" s="8" t="s">
        <v>30</v>
      </c>
      <c r="E37" s="9">
        <v>205000</v>
      </c>
    </row>
    <row r="38" spans="1:5">
      <c r="A38" s="6" t="s">
        <v>20</v>
      </c>
      <c r="B38" s="7">
        <v>44805</v>
      </c>
      <c r="C38" s="8" t="s">
        <v>6</v>
      </c>
      <c r="D38" s="8" t="s">
        <v>30</v>
      </c>
      <c r="E38" s="9">
        <v>247000</v>
      </c>
    </row>
    <row r="39" spans="1:5">
      <c r="A39" s="6" t="s">
        <v>21</v>
      </c>
      <c r="B39" s="7">
        <v>44896</v>
      </c>
      <c r="C39" s="8" t="s">
        <v>6</v>
      </c>
      <c r="D39" s="8" t="s">
        <v>30</v>
      </c>
      <c r="E39" s="9">
        <v>280000</v>
      </c>
    </row>
    <row r="40" spans="1:5">
      <c r="A40" s="6" t="s">
        <v>22</v>
      </c>
      <c r="B40" s="7">
        <v>44986</v>
      </c>
      <c r="C40" s="8" t="s">
        <v>6</v>
      </c>
      <c r="D40" s="8" t="s">
        <v>30</v>
      </c>
      <c r="E40" s="9">
        <v>297000</v>
      </c>
    </row>
    <row r="41" spans="1:5">
      <c r="A41" s="6" t="s">
        <v>23</v>
      </c>
      <c r="B41" s="7">
        <v>45078</v>
      </c>
      <c r="C41" s="8" t="s">
        <v>6</v>
      </c>
      <c r="D41" s="8" t="s">
        <v>30</v>
      </c>
      <c r="E41" s="9">
        <v>355000</v>
      </c>
    </row>
    <row r="42" spans="1:5">
      <c r="A42" s="6" t="s">
        <v>24</v>
      </c>
      <c r="B42" s="7">
        <v>45170</v>
      </c>
      <c r="C42" s="8" t="s">
        <v>6</v>
      </c>
      <c r="D42" s="8" t="s">
        <v>30</v>
      </c>
      <c r="E42" s="9">
        <v>398000</v>
      </c>
    </row>
    <row r="43" spans="1:5">
      <c r="A43" s="6" t="s">
        <v>25</v>
      </c>
      <c r="B43" s="7">
        <v>45261</v>
      </c>
      <c r="C43" s="8" t="s">
        <v>6</v>
      </c>
      <c r="D43" s="8" t="s">
        <v>30</v>
      </c>
      <c r="E43" s="9">
        <v>451000</v>
      </c>
    </row>
    <row r="44" spans="1:5">
      <c r="A44" s="6" t="s">
        <v>26</v>
      </c>
      <c r="B44" s="7">
        <v>45352</v>
      </c>
      <c r="C44" s="8" t="s">
        <v>6</v>
      </c>
      <c r="D44" s="8" t="s">
        <v>30</v>
      </c>
      <c r="E44" s="9">
        <v>472000</v>
      </c>
    </row>
    <row r="45" spans="1:5">
      <c r="A45" s="6" t="s">
        <v>27</v>
      </c>
      <c r="B45" s="7">
        <v>45444</v>
      </c>
      <c r="C45" s="8" t="s">
        <v>6</v>
      </c>
      <c r="D45" s="8" t="s">
        <v>30</v>
      </c>
      <c r="E45" s="9">
        <v>431000</v>
      </c>
    </row>
    <row r="46" spans="1:5">
      <c r="A46" s="6" t="s">
        <v>28</v>
      </c>
      <c r="B46" s="7">
        <v>45536</v>
      </c>
      <c r="C46" s="8" t="s">
        <v>6</v>
      </c>
      <c r="D46" s="8" t="s">
        <v>30</v>
      </c>
      <c r="E46" s="9">
        <v>362000</v>
      </c>
    </row>
    <row r="47" spans="1:5">
      <c r="A47" s="6" t="s">
        <v>29</v>
      </c>
      <c r="B47" s="7">
        <v>45627</v>
      </c>
      <c r="C47" s="8" t="s">
        <v>6</v>
      </c>
      <c r="D47" s="8" t="s">
        <v>30</v>
      </c>
      <c r="E47" s="9">
        <v>262000</v>
      </c>
    </row>
    <row r="48" spans="1:5">
      <c r="A48" s="2" t="s">
        <v>5</v>
      </c>
      <c r="B48" s="3">
        <v>43617</v>
      </c>
      <c r="C48" s="4" t="s">
        <v>31</v>
      </c>
      <c r="D48" s="4" t="s">
        <v>7</v>
      </c>
      <c r="E48" s="5">
        <v>119000</v>
      </c>
    </row>
    <row r="49" spans="1:5">
      <c r="A49" s="2" t="s">
        <v>8</v>
      </c>
      <c r="B49" s="3">
        <v>43709</v>
      </c>
      <c r="C49" s="4" t="s">
        <v>31</v>
      </c>
      <c r="D49" s="4" t="s">
        <v>7</v>
      </c>
      <c r="E49" s="5">
        <v>109000</v>
      </c>
    </row>
    <row r="50" spans="1:5">
      <c r="A50" s="2" t="s">
        <v>9</v>
      </c>
      <c r="B50" s="3">
        <v>43800</v>
      </c>
      <c r="C50" s="4" t="s">
        <v>31</v>
      </c>
      <c r="D50" s="4" t="s">
        <v>7</v>
      </c>
      <c r="E50" s="5">
        <v>112000</v>
      </c>
    </row>
    <row r="51" spans="1:5">
      <c r="A51" s="2" t="s">
        <v>10</v>
      </c>
      <c r="B51" s="3">
        <v>43891</v>
      </c>
      <c r="C51" s="4" t="s">
        <v>31</v>
      </c>
      <c r="D51" s="4" t="s">
        <v>7</v>
      </c>
      <c r="E51" s="5">
        <v>124000</v>
      </c>
    </row>
    <row r="52" spans="1:5">
      <c r="A52" s="2" t="s">
        <v>11</v>
      </c>
      <c r="B52" s="3">
        <v>43983</v>
      </c>
      <c r="C52" s="4" t="s">
        <v>31</v>
      </c>
      <c r="D52" s="4" t="s">
        <v>7</v>
      </c>
      <c r="E52" s="5">
        <v>114000</v>
      </c>
    </row>
    <row r="53" spans="1:5">
      <c r="A53" s="2" t="s">
        <v>12</v>
      </c>
      <c r="B53" s="3">
        <v>44075</v>
      </c>
      <c r="C53" s="4" t="s">
        <v>31</v>
      </c>
      <c r="D53" s="4" t="s">
        <v>7</v>
      </c>
      <c r="E53" s="5">
        <v>69000</v>
      </c>
    </row>
    <row r="54" spans="1:5">
      <c r="A54" s="2" t="s">
        <v>13</v>
      </c>
      <c r="B54" s="3">
        <v>44166</v>
      </c>
      <c r="C54" s="4" t="s">
        <v>31</v>
      </c>
      <c r="D54" s="4" t="s">
        <v>7</v>
      </c>
      <c r="E54" s="5">
        <v>100000</v>
      </c>
    </row>
    <row r="55" spans="1:5">
      <c r="A55" s="2" t="s">
        <v>14</v>
      </c>
      <c r="B55" s="3">
        <v>44256</v>
      </c>
      <c r="C55" s="4" t="s">
        <v>31</v>
      </c>
      <c r="D55" s="4" t="s">
        <v>7</v>
      </c>
      <c r="E55" s="5">
        <v>109000</v>
      </c>
    </row>
    <row r="56" spans="1:5">
      <c r="A56" s="2" t="s">
        <v>15</v>
      </c>
      <c r="B56" s="3">
        <v>44348</v>
      </c>
      <c r="C56" s="4" t="s">
        <v>31</v>
      </c>
      <c r="D56" s="4" t="s">
        <v>7</v>
      </c>
      <c r="E56" s="5">
        <v>114000</v>
      </c>
    </row>
    <row r="57" spans="1:5">
      <c r="A57" s="2" t="s">
        <v>16</v>
      </c>
      <c r="B57" s="3">
        <v>44440</v>
      </c>
      <c r="C57" s="4" t="s">
        <v>31</v>
      </c>
      <c r="D57" s="4" t="s">
        <v>7</v>
      </c>
      <c r="E57" s="5">
        <v>200000</v>
      </c>
    </row>
    <row r="58" spans="1:5">
      <c r="A58" s="2" t="s">
        <v>17</v>
      </c>
      <c r="B58" s="3">
        <v>44531</v>
      </c>
      <c r="C58" s="4" t="s">
        <v>31</v>
      </c>
      <c r="D58" s="4" t="s">
        <v>7</v>
      </c>
      <c r="E58" s="5">
        <v>224000</v>
      </c>
    </row>
    <row r="59" spans="1:5">
      <c r="A59" s="2" t="s">
        <v>18</v>
      </c>
      <c r="B59" s="3">
        <v>44621</v>
      </c>
      <c r="C59" s="4" t="s">
        <v>31</v>
      </c>
      <c r="D59" s="4" t="s">
        <v>7</v>
      </c>
      <c r="E59" s="5">
        <v>254000</v>
      </c>
    </row>
    <row r="60" spans="1:5">
      <c r="A60" s="2" t="s">
        <v>19</v>
      </c>
      <c r="B60" s="3">
        <v>44713</v>
      </c>
      <c r="C60" s="4" t="s">
        <v>31</v>
      </c>
      <c r="D60" s="4" t="s">
        <v>7</v>
      </c>
      <c r="E60" s="5">
        <v>260000</v>
      </c>
    </row>
    <row r="61" spans="1:5">
      <c r="A61" s="2" t="s">
        <v>20</v>
      </c>
      <c r="B61" s="3">
        <v>44805</v>
      </c>
      <c r="C61" s="4" t="s">
        <v>31</v>
      </c>
      <c r="D61" s="4" t="s">
        <v>7</v>
      </c>
      <c r="E61" s="5">
        <v>327000</v>
      </c>
    </row>
    <row r="62" spans="1:5">
      <c r="A62" s="2" t="s">
        <v>21</v>
      </c>
      <c r="B62" s="3">
        <v>44896</v>
      </c>
      <c r="C62" s="4" t="s">
        <v>31</v>
      </c>
      <c r="D62" s="4" t="s">
        <v>7</v>
      </c>
      <c r="E62" s="5">
        <v>321000</v>
      </c>
    </row>
    <row r="63" spans="1:5">
      <c r="A63" s="2" t="s">
        <v>22</v>
      </c>
      <c r="B63" s="3">
        <v>44986</v>
      </c>
      <c r="C63" s="4" t="s">
        <v>31</v>
      </c>
      <c r="D63" s="4" t="s">
        <v>7</v>
      </c>
      <c r="E63" s="5">
        <v>297000</v>
      </c>
    </row>
    <row r="64" spans="1:5">
      <c r="A64" s="2" t="s">
        <v>23</v>
      </c>
      <c r="B64" s="3">
        <v>45078</v>
      </c>
      <c r="C64" s="4" t="s">
        <v>31</v>
      </c>
      <c r="D64" s="4" t="s">
        <v>7</v>
      </c>
      <c r="E64" s="5">
        <v>302000</v>
      </c>
    </row>
    <row r="65" spans="1:5">
      <c r="A65" s="2" t="s">
        <v>24</v>
      </c>
      <c r="B65" s="3">
        <v>45170</v>
      </c>
      <c r="C65" s="4" t="s">
        <v>31</v>
      </c>
      <c r="D65" s="4" t="s">
        <v>7</v>
      </c>
      <c r="E65" s="5">
        <v>316000</v>
      </c>
    </row>
    <row r="66" spans="1:5">
      <c r="A66" s="2" t="s">
        <v>25</v>
      </c>
      <c r="B66" s="3">
        <v>45261</v>
      </c>
      <c r="C66" s="4" t="s">
        <v>31</v>
      </c>
      <c r="D66" s="4" t="s">
        <v>7</v>
      </c>
      <c r="E66" s="5">
        <v>302000</v>
      </c>
    </row>
    <row r="67" spans="1:5">
      <c r="A67" s="2" t="s">
        <v>26</v>
      </c>
      <c r="B67" s="3">
        <v>45352</v>
      </c>
      <c r="C67" s="4" t="s">
        <v>31</v>
      </c>
      <c r="D67" s="4" t="s">
        <v>7</v>
      </c>
      <c r="E67" s="5">
        <v>303000</v>
      </c>
    </row>
    <row r="68" spans="1:5">
      <c r="A68" s="2" t="s">
        <v>27</v>
      </c>
      <c r="B68" s="3">
        <v>45444</v>
      </c>
      <c r="C68" s="4" t="s">
        <v>31</v>
      </c>
      <c r="D68" s="4" t="s">
        <v>7</v>
      </c>
      <c r="E68" s="5">
        <v>296000</v>
      </c>
    </row>
    <row r="69" spans="1:5">
      <c r="A69" s="2" t="s">
        <v>28</v>
      </c>
      <c r="B69" s="3">
        <v>45536</v>
      </c>
      <c r="C69" s="4" t="s">
        <v>31</v>
      </c>
      <c r="D69" s="4" t="s">
        <v>7</v>
      </c>
      <c r="E69" s="5">
        <v>263000</v>
      </c>
    </row>
    <row r="70" spans="1:5">
      <c r="A70" s="2" t="s">
        <v>29</v>
      </c>
      <c r="B70" s="3">
        <v>45627</v>
      </c>
      <c r="C70" s="4" t="s">
        <v>31</v>
      </c>
      <c r="D70" s="4" t="s">
        <v>7</v>
      </c>
      <c r="E70" s="5">
        <v>249000</v>
      </c>
    </row>
    <row r="71" spans="1:5">
      <c r="A71" s="6" t="s">
        <v>5</v>
      </c>
      <c r="B71" s="7">
        <v>43617</v>
      </c>
      <c r="C71" s="8" t="s">
        <v>31</v>
      </c>
      <c r="D71" s="8" t="s">
        <v>30</v>
      </c>
      <c r="E71" s="9">
        <v>126000</v>
      </c>
    </row>
    <row r="72" spans="1:5">
      <c r="A72" s="6" t="s">
        <v>8</v>
      </c>
      <c r="B72" s="7">
        <v>43709</v>
      </c>
      <c r="C72" s="8" t="s">
        <v>31</v>
      </c>
      <c r="D72" s="8" t="s">
        <v>30</v>
      </c>
      <c r="E72" s="9">
        <v>117000</v>
      </c>
    </row>
    <row r="73" spans="1:5">
      <c r="A73" s="6" t="s">
        <v>9</v>
      </c>
      <c r="B73" s="7">
        <v>43800</v>
      </c>
      <c r="C73" s="8" t="s">
        <v>31</v>
      </c>
      <c r="D73" s="8" t="s">
        <v>30</v>
      </c>
      <c r="E73" s="9">
        <v>121000</v>
      </c>
    </row>
    <row r="74" spans="1:5">
      <c r="A74" s="6" t="s">
        <v>10</v>
      </c>
      <c r="B74" s="7">
        <v>43891</v>
      </c>
      <c r="C74" s="8" t="s">
        <v>31</v>
      </c>
      <c r="D74" s="8" t="s">
        <v>30</v>
      </c>
      <c r="E74" s="9">
        <v>135000</v>
      </c>
    </row>
    <row r="75" spans="1:5">
      <c r="A75" s="6" t="s">
        <v>11</v>
      </c>
      <c r="B75" s="7">
        <v>43983</v>
      </c>
      <c r="C75" s="8" t="s">
        <v>31</v>
      </c>
      <c r="D75" s="8" t="s">
        <v>30</v>
      </c>
      <c r="E75" s="9">
        <v>124000</v>
      </c>
    </row>
    <row r="76" spans="1:5">
      <c r="A76" s="6" t="s">
        <v>12</v>
      </c>
      <c r="B76" s="7">
        <v>44075</v>
      </c>
      <c r="C76" s="8" t="s">
        <v>31</v>
      </c>
      <c r="D76" s="8" t="s">
        <v>30</v>
      </c>
      <c r="E76" s="9">
        <v>77000</v>
      </c>
    </row>
    <row r="77" spans="1:5">
      <c r="A77" s="6" t="s">
        <v>13</v>
      </c>
      <c r="B77" s="7">
        <v>44166</v>
      </c>
      <c r="C77" s="8" t="s">
        <v>31</v>
      </c>
      <c r="D77" s="8" t="s">
        <v>30</v>
      </c>
      <c r="E77" s="9">
        <v>112000</v>
      </c>
    </row>
    <row r="78" spans="1:5">
      <c r="A78" s="6" t="s">
        <v>14</v>
      </c>
      <c r="B78" s="7">
        <v>44256</v>
      </c>
      <c r="C78" s="8" t="s">
        <v>31</v>
      </c>
      <c r="D78" s="8" t="s">
        <v>30</v>
      </c>
      <c r="E78" s="9">
        <v>124000</v>
      </c>
    </row>
    <row r="79" spans="1:5">
      <c r="A79" s="6" t="s">
        <v>15</v>
      </c>
      <c r="B79" s="7">
        <v>44348</v>
      </c>
      <c r="C79" s="8" t="s">
        <v>31</v>
      </c>
      <c r="D79" s="8" t="s">
        <v>30</v>
      </c>
      <c r="E79" s="9">
        <v>133000</v>
      </c>
    </row>
    <row r="80" spans="1:5">
      <c r="A80" s="6" t="s">
        <v>16</v>
      </c>
      <c r="B80" s="7">
        <v>44440</v>
      </c>
      <c r="C80" s="8" t="s">
        <v>31</v>
      </c>
      <c r="D80" s="8" t="s">
        <v>30</v>
      </c>
      <c r="E80" s="9">
        <v>227000</v>
      </c>
    </row>
    <row r="81" spans="1:5">
      <c r="A81" s="6" t="s">
        <v>17</v>
      </c>
      <c r="B81" s="7">
        <v>44531</v>
      </c>
      <c r="C81" s="8" t="s">
        <v>31</v>
      </c>
      <c r="D81" s="8" t="s">
        <v>30</v>
      </c>
      <c r="E81" s="9">
        <v>262000</v>
      </c>
    </row>
    <row r="82" spans="1:5">
      <c r="A82" s="6" t="s">
        <v>18</v>
      </c>
      <c r="B82" s="7">
        <v>44621</v>
      </c>
      <c r="C82" s="8" t="s">
        <v>31</v>
      </c>
      <c r="D82" s="8" t="s">
        <v>30</v>
      </c>
      <c r="E82" s="9">
        <v>308000</v>
      </c>
    </row>
    <row r="83" spans="1:5">
      <c r="A83" s="6" t="s">
        <v>19</v>
      </c>
      <c r="B83" s="7">
        <v>44713</v>
      </c>
      <c r="C83" s="8" t="s">
        <v>31</v>
      </c>
      <c r="D83" s="8" t="s">
        <v>30</v>
      </c>
      <c r="E83" s="9">
        <v>319000</v>
      </c>
    </row>
    <row r="84" spans="1:5">
      <c r="A84" s="6" t="s">
        <v>20</v>
      </c>
      <c r="B84" s="7">
        <v>44805</v>
      </c>
      <c r="C84" s="8" t="s">
        <v>31</v>
      </c>
      <c r="D84" s="8" t="s">
        <v>30</v>
      </c>
      <c r="E84" s="9">
        <v>405000</v>
      </c>
    </row>
    <row r="85" spans="1:5">
      <c r="A85" s="6" t="s">
        <v>21</v>
      </c>
      <c r="B85" s="7">
        <v>44896</v>
      </c>
      <c r="C85" s="8" t="s">
        <v>31</v>
      </c>
      <c r="D85" s="8" t="s">
        <v>30</v>
      </c>
      <c r="E85" s="9">
        <v>425000</v>
      </c>
    </row>
    <row r="86" spans="1:5">
      <c r="A86" s="6" t="s">
        <v>22</v>
      </c>
      <c r="B86" s="7">
        <v>44986</v>
      </c>
      <c r="C86" s="8" t="s">
        <v>31</v>
      </c>
      <c r="D86" s="8" t="s">
        <v>30</v>
      </c>
      <c r="E86" s="9">
        <v>405000</v>
      </c>
    </row>
    <row r="87" spans="1:5">
      <c r="A87" s="6" t="s">
        <v>23</v>
      </c>
      <c r="B87" s="7">
        <v>45078</v>
      </c>
      <c r="C87" s="8" t="s">
        <v>31</v>
      </c>
      <c r="D87" s="8" t="s">
        <v>30</v>
      </c>
      <c r="E87" s="9">
        <v>417000</v>
      </c>
    </row>
    <row r="88" spans="1:5">
      <c r="A88" s="6" t="s">
        <v>24</v>
      </c>
      <c r="B88" s="7">
        <v>45170</v>
      </c>
      <c r="C88" s="8" t="s">
        <v>31</v>
      </c>
      <c r="D88" s="8" t="s">
        <v>30</v>
      </c>
      <c r="E88" s="9">
        <v>439000</v>
      </c>
    </row>
    <row r="89" spans="1:5">
      <c r="A89" s="6" t="s">
        <v>25</v>
      </c>
      <c r="B89" s="7">
        <v>45261</v>
      </c>
      <c r="C89" s="8" t="s">
        <v>31</v>
      </c>
      <c r="D89" s="8" t="s">
        <v>30</v>
      </c>
      <c r="E89" s="9">
        <v>423000</v>
      </c>
    </row>
    <row r="90" spans="1:5">
      <c r="A90" s="6" t="s">
        <v>26</v>
      </c>
      <c r="B90" s="7">
        <v>45352</v>
      </c>
      <c r="C90" s="8" t="s">
        <v>31</v>
      </c>
      <c r="D90" s="8" t="s">
        <v>30</v>
      </c>
      <c r="E90" s="9">
        <v>403000</v>
      </c>
    </row>
    <row r="91" spans="1:5">
      <c r="A91" s="6" t="s">
        <v>27</v>
      </c>
      <c r="B91" s="7">
        <v>45444</v>
      </c>
      <c r="C91" s="8" t="s">
        <v>31</v>
      </c>
      <c r="D91" s="8" t="s">
        <v>30</v>
      </c>
      <c r="E91" s="9">
        <v>382000</v>
      </c>
    </row>
    <row r="92" spans="1:5">
      <c r="A92" s="6" t="s">
        <v>28</v>
      </c>
      <c r="B92" s="7">
        <v>45536</v>
      </c>
      <c r="C92" s="8" t="s">
        <v>31</v>
      </c>
      <c r="D92" s="8" t="s">
        <v>30</v>
      </c>
      <c r="E92" s="9">
        <v>317000</v>
      </c>
    </row>
    <row r="93" spans="1:5">
      <c r="A93" s="6" t="s">
        <v>29</v>
      </c>
      <c r="B93" s="7">
        <v>45627</v>
      </c>
      <c r="C93" s="8" t="s">
        <v>31</v>
      </c>
      <c r="D93" s="8" t="s">
        <v>30</v>
      </c>
      <c r="E93" s="9">
        <v>266000</v>
      </c>
    </row>
    <row r="94" spans="1:5">
      <c r="A94" s="2" t="s">
        <v>5</v>
      </c>
      <c r="B94" s="3">
        <v>43617</v>
      </c>
      <c r="C94" s="4" t="s">
        <v>32</v>
      </c>
      <c r="D94" s="4" t="s">
        <v>7</v>
      </c>
      <c r="E94" s="5">
        <v>65000</v>
      </c>
    </row>
    <row r="95" spans="1:5">
      <c r="A95" s="2" t="s">
        <v>8</v>
      </c>
      <c r="B95" s="3">
        <v>43709</v>
      </c>
      <c r="C95" s="4" t="s">
        <v>32</v>
      </c>
      <c r="D95" s="4" t="s">
        <v>7</v>
      </c>
      <c r="E95" s="5">
        <v>71000</v>
      </c>
    </row>
    <row r="96" spans="1:5">
      <c r="A96" s="2" t="s">
        <v>9</v>
      </c>
      <c r="B96" s="3">
        <v>43800</v>
      </c>
      <c r="C96" s="4" t="s">
        <v>32</v>
      </c>
      <c r="D96" s="4" t="s">
        <v>7</v>
      </c>
      <c r="E96" s="5">
        <v>78000</v>
      </c>
    </row>
    <row r="97" spans="1:5">
      <c r="A97" s="2" t="s">
        <v>10</v>
      </c>
      <c r="B97" s="3">
        <v>43891</v>
      </c>
      <c r="C97" s="4" t="s">
        <v>32</v>
      </c>
      <c r="D97" s="4" t="s">
        <v>7</v>
      </c>
      <c r="E97" s="5">
        <v>82000</v>
      </c>
    </row>
    <row r="98" spans="1:5">
      <c r="A98" s="2" t="s">
        <v>11</v>
      </c>
      <c r="B98" s="3">
        <v>43983</v>
      </c>
      <c r="C98" s="4" t="s">
        <v>32</v>
      </c>
      <c r="D98" s="4" t="s">
        <v>7</v>
      </c>
      <c r="E98" s="5">
        <v>68000</v>
      </c>
    </row>
    <row r="99" spans="1:5">
      <c r="A99" s="2" t="s">
        <v>12</v>
      </c>
      <c r="B99" s="3">
        <v>44075</v>
      </c>
      <c r="C99" s="4" t="s">
        <v>32</v>
      </c>
      <c r="D99" s="4" t="s">
        <v>7</v>
      </c>
      <c r="E99" s="5">
        <v>59000</v>
      </c>
    </row>
    <row r="100" spans="1:5">
      <c r="A100" s="2" t="s">
        <v>13</v>
      </c>
      <c r="B100" s="3">
        <v>44166</v>
      </c>
      <c r="C100" s="4" t="s">
        <v>32</v>
      </c>
      <c r="D100" s="4" t="s">
        <v>7</v>
      </c>
      <c r="E100" s="5">
        <v>56000</v>
      </c>
    </row>
    <row r="101" spans="1:5">
      <c r="A101" s="2" t="s">
        <v>14</v>
      </c>
      <c r="B101" s="3">
        <v>44256</v>
      </c>
      <c r="C101" s="4" t="s">
        <v>32</v>
      </c>
      <c r="D101" s="4" t="s">
        <v>7</v>
      </c>
      <c r="E101" s="5">
        <v>51000</v>
      </c>
    </row>
    <row r="102" spans="1:5">
      <c r="A102" s="2" t="s">
        <v>15</v>
      </c>
      <c r="B102" s="3">
        <v>44348</v>
      </c>
      <c r="C102" s="4" t="s">
        <v>32</v>
      </c>
      <c r="D102" s="4" t="s">
        <v>7</v>
      </c>
      <c r="E102" s="5">
        <v>67000</v>
      </c>
    </row>
    <row r="103" spans="1:5">
      <c r="A103" s="2" t="s">
        <v>16</v>
      </c>
      <c r="B103" s="3">
        <v>44440</v>
      </c>
      <c r="C103" s="4" t="s">
        <v>32</v>
      </c>
      <c r="D103" s="4" t="s">
        <v>7</v>
      </c>
      <c r="E103" s="5">
        <v>72000</v>
      </c>
    </row>
    <row r="104" spans="1:5">
      <c r="A104" s="2" t="s">
        <v>17</v>
      </c>
      <c r="B104" s="3">
        <v>44531</v>
      </c>
      <c r="C104" s="4" t="s">
        <v>32</v>
      </c>
      <c r="D104" s="4" t="s">
        <v>7</v>
      </c>
      <c r="E104" s="5">
        <v>70000</v>
      </c>
    </row>
    <row r="105" spans="1:5">
      <c r="A105" s="2" t="s">
        <v>18</v>
      </c>
      <c r="B105" s="3">
        <v>44621</v>
      </c>
      <c r="C105" s="4" t="s">
        <v>32</v>
      </c>
      <c r="D105" s="4" t="s">
        <v>7</v>
      </c>
      <c r="E105" s="5">
        <v>72000</v>
      </c>
    </row>
    <row r="106" spans="1:5">
      <c r="A106" s="2" t="s">
        <v>19</v>
      </c>
      <c r="B106" s="3">
        <v>44713</v>
      </c>
      <c r="C106" s="4" t="s">
        <v>32</v>
      </c>
      <c r="D106" s="4" t="s">
        <v>7</v>
      </c>
      <c r="E106" s="5">
        <v>64000</v>
      </c>
    </row>
    <row r="107" spans="1:5">
      <c r="A107" s="2" t="s">
        <v>20</v>
      </c>
      <c r="B107" s="3">
        <v>44805</v>
      </c>
      <c r="C107" s="4" t="s">
        <v>32</v>
      </c>
      <c r="D107" s="4" t="s">
        <v>7</v>
      </c>
      <c r="E107" s="5">
        <v>62000</v>
      </c>
    </row>
    <row r="108" spans="1:5">
      <c r="A108" s="2" t="s">
        <v>21</v>
      </c>
      <c r="B108" s="3">
        <v>44896</v>
      </c>
      <c r="C108" s="4" t="s">
        <v>32</v>
      </c>
      <c r="D108" s="4" t="s">
        <v>7</v>
      </c>
      <c r="E108" s="5">
        <v>68000</v>
      </c>
    </row>
    <row r="109" spans="1:5">
      <c r="A109" s="2" t="s">
        <v>22</v>
      </c>
      <c r="B109" s="3">
        <v>44986</v>
      </c>
      <c r="C109" s="4" t="s">
        <v>32</v>
      </c>
      <c r="D109" s="4" t="s">
        <v>7</v>
      </c>
      <c r="E109" s="5">
        <v>75000</v>
      </c>
    </row>
    <row r="110" spans="1:5">
      <c r="A110" s="2" t="s">
        <v>23</v>
      </c>
      <c r="B110" s="3">
        <v>45078</v>
      </c>
      <c r="C110" s="4" t="s">
        <v>32</v>
      </c>
      <c r="D110" s="4" t="s">
        <v>7</v>
      </c>
      <c r="E110" s="5">
        <v>85000</v>
      </c>
    </row>
    <row r="111" spans="1:5">
      <c r="A111" s="2" t="s">
        <v>24</v>
      </c>
      <c r="B111" s="3">
        <v>45170</v>
      </c>
      <c r="C111" s="4" t="s">
        <v>32</v>
      </c>
      <c r="D111" s="4" t="s">
        <v>7</v>
      </c>
      <c r="E111" s="5">
        <v>89000</v>
      </c>
    </row>
    <row r="112" spans="1:5">
      <c r="A112" s="2" t="s">
        <v>25</v>
      </c>
      <c r="B112" s="3">
        <v>45261</v>
      </c>
      <c r="C112" s="4" t="s">
        <v>32</v>
      </c>
      <c r="D112" s="4" t="s">
        <v>7</v>
      </c>
      <c r="E112" s="5">
        <v>86000</v>
      </c>
    </row>
    <row r="113" spans="1:5">
      <c r="A113" s="2" t="s">
        <v>26</v>
      </c>
      <c r="B113" s="3">
        <v>45352</v>
      </c>
      <c r="C113" s="4" t="s">
        <v>32</v>
      </c>
      <c r="D113" s="4" t="s">
        <v>7</v>
      </c>
      <c r="E113" s="5">
        <v>81000</v>
      </c>
    </row>
    <row r="114" spans="1:5">
      <c r="A114" s="2" t="s">
        <v>27</v>
      </c>
      <c r="B114" s="3">
        <v>45444</v>
      </c>
      <c r="C114" s="4" t="s">
        <v>32</v>
      </c>
      <c r="D114" s="4" t="s">
        <v>7</v>
      </c>
      <c r="E114" s="5">
        <v>81000</v>
      </c>
    </row>
    <row r="115" spans="1:5">
      <c r="A115" s="2" t="s">
        <v>28</v>
      </c>
      <c r="B115" s="3">
        <v>45536</v>
      </c>
      <c r="C115" s="4" t="s">
        <v>32</v>
      </c>
      <c r="D115" s="4" t="s">
        <v>7</v>
      </c>
      <c r="E115" s="5">
        <v>81000</v>
      </c>
    </row>
    <row r="116" spans="1:5">
      <c r="A116" s="2" t="s">
        <v>29</v>
      </c>
      <c r="B116" s="3">
        <v>45627</v>
      </c>
      <c r="C116" s="4" t="s">
        <v>32</v>
      </c>
      <c r="D116" s="4" t="s">
        <v>7</v>
      </c>
      <c r="E116" s="5">
        <v>76000</v>
      </c>
    </row>
    <row r="117" spans="1:5">
      <c r="A117" s="6" t="s">
        <v>5</v>
      </c>
      <c r="B117" s="7">
        <v>43617</v>
      </c>
      <c r="C117" s="8" t="s">
        <v>32</v>
      </c>
      <c r="D117" s="8" t="s">
        <v>30</v>
      </c>
      <c r="E117" s="9">
        <v>65000</v>
      </c>
    </row>
    <row r="118" spans="1:5">
      <c r="A118" s="6" t="s">
        <v>8</v>
      </c>
      <c r="B118" s="7">
        <v>43709</v>
      </c>
      <c r="C118" s="8" t="s">
        <v>32</v>
      </c>
      <c r="D118" s="8" t="s">
        <v>30</v>
      </c>
      <c r="E118" s="9">
        <v>71000</v>
      </c>
    </row>
    <row r="119" spans="1:5">
      <c r="A119" s="6" t="s">
        <v>9</v>
      </c>
      <c r="B119" s="7">
        <v>43800</v>
      </c>
      <c r="C119" s="8" t="s">
        <v>32</v>
      </c>
      <c r="D119" s="8" t="s">
        <v>30</v>
      </c>
      <c r="E119" s="9">
        <v>78000</v>
      </c>
    </row>
    <row r="120" spans="1:5">
      <c r="A120" s="6" t="s">
        <v>10</v>
      </c>
      <c r="B120" s="7">
        <v>43891</v>
      </c>
      <c r="C120" s="8" t="s">
        <v>32</v>
      </c>
      <c r="D120" s="8" t="s">
        <v>30</v>
      </c>
      <c r="E120" s="9">
        <v>82000</v>
      </c>
    </row>
    <row r="121" spans="1:5">
      <c r="A121" s="6" t="s">
        <v>11</v>
      </c>
      <c r="B121" s="7">
        <v>43983</v>
      </c>
      <c r="C121" s="8" t="s">
        <v>32</v>
      </c>
      <c r="D121" s="8" t="s">
        <v>30</v>
      </c>
      <c r="E121" s="9">
        <v>68000</v>
      </c>
    </row>
    <row r="122" spans="1:5">
      <c r="A122" s="6" t="s">
        <v>12</v>
      </c>
      <c r="B122" s="7">
        <v>44075</v>
      </c>
      <c r="C122" s="8" t="s">
        <v>32</v>
      </c>
      <c r="D122" s="8" t="s">
        <v>30</v>
      </c>
      <c r="E122" s="9">
        <v>59000</v>
      </c>
    </row>
    <row r="123" spans="1:5">
      <c r="A123" s="6" t="s">
        <v>13</v>
      </c>
      <c r="B123" s="7">
        <v>44166</v>
      </c>
      <c r="C123" s="8" t="s">
        <v>32</v>
      </c>
      <c r="D123" s="8" t="s">
        <v>30</v>
      </c>
      <c r="E123" s="9">
        <v>56000</v>
      </c>
    </row>
    <row r="124" spans="1:5">
      <c r="A124" s="6" t="s">
        <v>14</v>
      </c>
      <c r="B124" s="7">
        <v>44256</v>
      </c>
      <c r="C124" s="8" t="s">
        <v>32</v>
      </c>
      <c r="D124" s="8" t="s">
        <v>30</v>
      </c>
      <c r="E124" s="9">
        <v>51000</v>
      </c>
    </row>
    <row r="125" spans="1:5">
      <c r="A125" s="6" t="s">
        <v>15</v>
      </c>
      <c r="B125" s="7">
        <v>44348</v>
      </c>
      <c r="C125" s="8" t="s">
        <v>32</v>
      </c>
      <c r="D125" s="8" t="s">
        <v>30</v>
      </c>
      <c r="E125" s="9">
        <v>67000</v>
      </c>
    </row>
    <row r="126" spans="1:5">
      <c r="A126" s="6" t="s">
        <v>16</v>
      </c>
      <c r="B126" s="7">
        <v>44440</v>
      </c>
      <c r="C126" s="8" t="s">
        <v>32</v>
      </c>
      <c r="D126" s="8" t="s">
        <v>30</v>
      </c>
      <c r="E126" s="9">
        <v>72000</v>
      </c>
    </row>
    <row r="127" spans="1:5">
      <c r="A127" s="6" t="s">
        <v>17</v>
      </c>
      <c r="B127" s="7">
        <v>44531</v>
      </c>
      <c r="C127" s="8" t="s">
        <v>32</v>
      </c>
      <c r="D127" s="8" t="s">
        <v>30</v>
      </c>
      <c r="E127" s="9">
        <v>70000</v>
      </c>
    </row>
    <row r="128" spans="1:5">
      <c r="A128" s="6" t="s">
        <v>18</v>
      </c>
      <c r="B128" s="7">
        <v>44621</v>
      </c>
      <c r="C128" s="8" t="s">
        <v>32</v>
      </c>
      <c r="D128" s="8" t="s">
        <v>30</v>
      </c>
      <c r="E128" s="9">
        <v>72000</v>
      </c>
    </row>
    <row r="129" spans="1:5">
      <c r="A129" s="6" t="s">
        <v>19</v>
      </c>
      <c r="B129" s="7">
        <v>44713</v>
      </c>
      <c r="C129" s="8" t="s">
        <v>32</v>
      </c>
      <c r="D129" s="8" t="s">
        <v>30</v>
      </c>
      <c r="E129" s="9">
        <v>64000</v>
      </c>
    </row>
    <row r="130" spans="1:5">
      <c r="A130" s="6" t="s">
        <v>20</v>
      </c>
      <c r="B130" s="7">
        <v>44805</v>
      </c>
      <c r="C130" s="8" t="s">
        <v>32</v>
      </c>
      <c r="D130" s="8" t="s">
        <v>30</v>
      </c>
      <c r="E130" s="9">
        <v>62000</v>
      </c>
    </row>
    <row r="131" spans="1:5">
      <c r="A131" s="6" t="s">
        <v>21</v>
      </c>
      <c r="B131" s="7">
        <v>44896</v>
      </c>
      <c r="C131" s="8" t="s">
        <v>32</v>
      </c>
      <c r="D131" s="8" t="s">
        <v>30</v>
      </c>
      <c r="E131" s="9">
        <v>68000</v>
      </c>
    </row>
    <row r="132" spans="1:5">
      <c r="A132" s="6" t="s">
        <v>22</v>
      </c>
      <c r="B132" s="7">
        <v>44986</v>
      </c>
      <c r="C132" s="8" t="s">
        <v>32</v>
      </c>
      <c r="D132" s="8" t="s">
        <v>30</v>
      </c>
      <c r="E132" s="9">
        <v>75000</v>
      </c>
    </row>
    <row r="133" spans="1:5">
      <c r="A133" s="6" t="s">
        <v>23</v>
      </c>
      <c r="B133" s="7">
        <v>45078</v>
      </c>
      <c r="C133" s="8" t="s">
        <v>32</v>
      </c>
      <c r="D133" s="8" t="s">
        <v>30</v>
      </c>
      <c r="E133" s="9">
        <v>85000</v>
      </c>
    </row>
    <row r="134" spans="1:5">
      <c r="A134" s="6" t="s">
        <v>24</v>
      </c>
      <c r="B134" s="7">
        <v>45170</v>
      </c>
      <c r="C134" s="8" t="s">
        <v>32</v>
      </c>
      <c r="D134" s="8" t="s">
        <v>30</v>
      </c>
      <c r="E134" s="9">
        <v>89000</v>
      </c>
    </row>
    <row r="135" spans="1:5">
      <c r="A135" s="6" t="s">
        <v>25</v>
      </c>
      <c r="B135" s="7">
        <v>45261</v>
      </c>
      <c r="C135" s="8" t="s">
        <v>32</v>
      </c>
      <c r="D135" s="8" t="s">
        <v>30</v>
      </c>
      <c r="E135" s="9">
        <v>86000</v>
      </c>
    </row>
    <row r="136" spans="1:5">
      <c r="A136" s="6" t="s">
        <v>26</v>
      </c>
      <c r="B136" s="7">
        <v>45352</v>
      </c>
      <c r="C136" s="8" t="s">
        <v>32</v>
      </c>
      <c r="D136" s="8" t="s">
        <v>30</v>
      </c>
      <c r="E136" s="9">
        <v>81000</v>
      </c>
    </row>
    <row r="137" spans="1:5">
      <c r="A137" s="6" t="s">
        <v>27</v>
      </c>
      <c r="B137" s="7">
        <v>45444</v>
      </c>
      <c r="C137" s="8" t="s">
        <v>32</v>
      </c>
      <c r="D137" s="8" t="s">
        <v>30</v>
      </c>
      <c r="E137" s="9">
        <v>81000</v>
      </c>
    </row>
    <row r="138" spans="1:5">
      <c r="A138" s="6" t="s">
        <v>28</v>
      </c>
      <c r="B138" s="7">
        <v>45536</v>
      </c>
      <c r="C138" s="8" t="s">
        <v>32</v>
      </c>
      <c r="D138" s="8" t="s">
        <v>30</v>
      </c>
      <c r="E138" s="9">
        <v>81000</v>
      </c>
    </row>
    <row r="139" spans="1:5">
      <c r="A139" s="6" t="s">
        <v>29</v>
      </c>
      <c r="B139" s="7">
        <v>45627</v>
      </c>
      <c r="C139" s="8" t="s">
        <v>32</v>
      </c>
      <c r="D139" s="8" t="s">
        <v>30</v>
      </c>
      <c r="E139" s="9">
        <v>76000</v>
      </c>
    </row>
    <row r="140" spans="1:5">
      <c r="A140" s="2" t="s">
        <v>5</v>
      </c>
      <c r="B140" s="3">
        <v>43617</v>
      </c>
      <c r="C140" s="4" t="s">
        <v>33</v>
      </c>
      <c r="D140" s="4" t="s">
        <v>7</v>
      </c>
      <c r="E140" s="5">
        <v>6000</v>
      </c>
    </row>
    <row r="141" spans="1:5">
      <c r="A141" s="2" t="s">
        <v>8</v>
      </c>
      <c r="B141" s="3">
        <v>43709</v>
      </c>
      <c r="C141" s="4" t="s">
        <v>33</v>
      </c>
      <c r="D141" s="4" t="s">
        <v>7</v>
      </c>
      <c r="E141" s="5">
        <v>6000</v>
      </c>
    </row>
    <row r="142" spans="1:5">
      <c r="A142" s="2" t="s">
        <v>9</v>
      </c>
      <c r="B142" s="3">
        <v>43800</v>
      </c>
      <c r="C142" s="4" t="s">
        <v>33</v>
      </c>
      <c r="D142" s="4" t="s">
        <v>7</v>
      </c>
      <c r="E142" s="5">
        <v>6000</v>
      </c>
    </row>
    <row r="143" spans="1:5">
      <c r="A143" s="2" t="s">
        <v>10</v>
      </c>
      <c r="B143" s="3">
        <v>43891</v>
      </c>
      <c r="C143" s="4" t="s">
        <v>33</v>
      </c>
      <c r="D143" s="4" t="s">
        <v>7</v>
      </c>
      <c r="E143" s="5">
        <v>5000</v>
      </c>
    </row>
    <row r="144" spans="1:5">
      <c r="A144" s="2" t="s">
        <v>11</v>
      </c>
      <c r="B144" s="3">
        <v>43983</v>
      </c>
      <c r="C144" s="4" t="s">
        <v>33</v>
      </c>
      <c r="D144" s="4" t="s">
        <v>7</v>
      </c>
      <c r="E144" s="5">
        <v>4000</v>
      </c>
    </row>
    <row r="145" spans="1:5">
      <c r="A145" s="2" t="s">
        <v>12</v>
      </c>
      <c r="B145" s="3">
        <v>44075</v>
      </c>
      <c r="C145" s="4" t="s">
        <v>33</v>
      </c>
      <c r="D145" s="4" t="s">
        <v>7</v>
      </c>
      <c r="E145" s="5">
        <v>2000</v>
      </c>
    </row>
    <row r="146" spans="1:5">
      <c r="A146" s="2" t="s">
        <v>13</v>
      </c>
      <c r="B146" s="3">
        <v>44166</v>
      </c>
      <c r="C146" s="4" t="s">
        <v>33</v>
      </c>
      <c r="D146" s="4" t="s">
        <v>7</v>
      </c>
      <c r="E146" s="5">
        <v>1000</v>
      </c>
    </row>
    <row r="147" spans="1:5">
      <c r="A147" s="2" t="s">
        <v>14</v>
      </c>
      <c r="B147" s="3">
        <v>44256</v>
      </c>
      <c r="C147" s="4" t="s">
        <v>33</v>
      </c>
      <c r="D147" s="4" t="s">
        <v>7</v>
      </c>
      <c r="E147" s="5">
        <v>0</v>
      </c>
    </row>
    <row r="148" spans="1:5">
      <c r="A148" s="2" t="s">
        <v>15</v>
      </c>
      <c r="B148" s="3">
        <v>44348</v>
      </c>
      <c r="C148" s="4" t="s">
        <v>33</v>
      </c>
      <c r="D148" s="4" t="s">
        <v>7</v>
      </c>
      <c r="E148" s="5">
        <v>10000</v>
      </c>
    </row>
    <row r="149" spans="1:5">
      <c r="A149" s="2" t="s">
        <v>16</v>
      </c>
      <c r="B149" s="3">
        <v>44440</v>
      </c>
      <c r="C149" s="4" t="s">
        <v>33</v>
      </c>
      <c r="D149" s="4" t="s">
        <v>7</v>
      </c>
      <c r="E149" s="5">
        <v>44000</v>
      </c>
    </row>
    <row r="150" spans="1:5">
      <c r="A150" s="2" t="s">
        <v>17</v>
      </c>
      <c r="B150" s="3">
        <v>44531</v>
      </c>
      <c r="C150" s="4" t="s">
        <v>33</v>
      </c>
      <c r="D150" s="4" t="s">
        <v>7</v>
      </c>
      <c r="E150" s="5">
        <v>57000</v>
      </c>
    </row>
    <row r="151" spans="1:5">
      <c r="A151" s="2" t="s">
        <v>18</v>
      </c>
      <c r="B151" s="3">
        <v>44621</v>
      </c>
      <c r="C151" s="4" t="s">
        <v>33</v>
      </c>
      <c r="D151" s="4" t="s">
        <v>7</v>
      </c>
      <c r="E151" s="5">
        <v>76000</v>
      </c>
    </row>
    <row r="152" spans="1:5">
      <c r="A152" s="2" t="s">
        <v>19</v>
      </c>
      <c r="B152" s="3">
        <v>44713</v>
      </c>
      <c r="C152" s="4" t="s">
        <v>33</v>
      </c>
      <c r="D152" s="4" t="s">
        <v>7</v>
      </c>
      <c r="E152" s="5">
        <v>150000</v>
      </c>
    </row>
    <row r="153" spans="1:5">
      <c r="A153" s="2" t="s">
        <v>20</v>
      </c>
      <c r="B153" s="3">
        <v>44805</v>
      </c>
      <c r="C153" s="4" t="s">
        <v>33</v>
      </c>
      <c r="D153" s="4" t="s">
        <v>7</v>
      </c>
      <c r="E153" s="5">
        <v>172000</v>
      </c>
    </row>
    <row r="154" spans="1:5">
      <c r="A154" s="2" t="s">
        <v>21</v>
      </c>
      <c r="B154" s="3">
        <v>44896</v>
      </c>
      <c r="C154" s="4" t="s">
        <v>33</v>
      </c>
      <c r="D154" s="4" t="s">
        <v>7</v>
      </c>
      <c r="E154" s="5">
        <v>188000</v>
      </c>
    </row>
    <row r="155" spans="1:5">
      <c r="A155" s="2" t="s">
        <v>22</v>
      </c>
      <c r="B155" s="3">
        <v>44986</v>
      </c>
      <c r="C155" s="4" t="s">
        <v>33</v>
      </c>
      <c r="D155" s="4" t="s">
        <v>7</v>
      </c>
      <c r="E155" s="5">
        <v>187000</v>
      </c>
    </row>
    <row r="156" spans="1:5">
      <c r="A156" s="2" t="s">
        <v>23</v>
      </c>
      <c r="B156" s="3">
        <v>45078</v>
      </c>
      <c r="C156" s="4" t="s">
        <v>33</v>
      </c>
      <c r="D156" s="4" t="s">
        <v>7</v>
      </c>
      <c r="E156" s="5">
        <v>125000</v>
      </c>
    </row>
    <row r="157" spans="1:5">
      <c r="A157" s="2" t="s">
        <v>24</v>
      </c>
      <c r="B157" s="3">
        <v>45170</v>
      </c>
      <c r="C157" s="4" t="s">
        <v>33</v>
      </c>
      <c r="D157" s="4" t="s">
        <v>7</v>
      </c>
      <c r="E157" s="5">
        <v>88000</v>
      </c>
    </row>
    <row r="158" spans="1:5">
      <c r="A158" s="2" t="s">
        <v>25</v>
      </c>
      <c r="B158" s="3">
        <v>45261</v>
      </c>
      <c r="C158" s="4" t="s">
        <v>33</v>
      </c>
      <c r="D158" s="4" t="s">
        <v>7</v>
      </c>
      <c r="E158" s="5">
        <v>76000</v>
      </c>
    </row>
    <row r="159" spans="1:5">
      <c r="A159" s="2" t="s">
        <v>26</v>
      </c>
      <c r="B159" s="3">
        <v>45352</v>
      </c>
      <c r="C159" s="4" t="s">
        <v>33</v>
      </c>
      <c r="D159" s="4" t="s">
        <v>7</v>
      </c>
      <c r="E159" s="5">
        <v>70000</v>
      </c>
    </row>
    <row r="160" spans="1:5">
      <c r="A160" s="2" t="s">
        <v>27</v>
      </c>
      <c r="B160" s="3">
        <v>45444</v>
      </c>
      <c r="C160" s="4" t="s">
        <v>33</v>
      </c>
      <c r="D160" s="4" t="s">
        <v>7</v>
      </c>
      <c r="E160" s="5">
        <v>64000</v>
      </c>
    </row>
    <row r="161" spans="1:5">
      <c r="A161" s="2" t="s">
        <v>28</v>
      </c>
      <c r="B161" s="3">
        <v>45536</v>
      </c>
      <c r="C161" s="4" t="s">
        <v>33</v>
      </c>
      <c r="D161" s="4" t="s">
        <v>7</v>
      </c>
      <c r="E161" s="5">
        <v>59000</v>
      </c>
    </row>
    <row r="162" spans="1:5">
      <c r="A162" s="2" t="s">
        <v>29</v>
      </c>
      <c r="B162" s="3">
        <v>45627</v>
      </c>
      <c r="C162" s="4" t="s">
        <v>33</v>
      </c>
      <c r="D162" s="4" t="s">
        <v>7</v>
      </c>
      <c r="E162" s="5">
        <v>51000</v>
      </c>
    </row>
    <row r="163" spans="1:5">
      <c r="A163" s="6" t="s">
        <v>5</v>
      </c>
      <c r="B163" s="7">
        <v>43617</v>
      </c>
      <c r="C163" s="8" t="s">
        <v>33</v>
      </c>
      <c r="D163" s="8" t="s">
        <v>30</v>
      </c>
      <c r="E163" s="9">
        <v>6000</v>
      </c>
    </row>
    <row r="164" spans="1:5">
      <c r="A164" s="6" t="s">
        <v>8</v>
      </c>
      <c r="B164" s="7">
        <v>43709</v>
      </c>
      <c r="C164" s="8" t="s">
        <v>33</v>
      </c>
      <c r="D164" s="8" t="s">
        <v>30</v>
      </c>
      <c r="E164" s="9">
        <v>6000</v>
      </c>
    </row>
    <row r="165" spans="1:5">
      <c r="A165" s="6" t="s">
        <v>9</v>
      </c>
      <c r="B165" s="7">
        <v>43800</v>
      </c>
      <c r="C165" s="8" t="s">
        <v>33</v>
      </c>
      <c r="D165" s="8" t="s">
        <v>30</v>
      </c>
      <c r="E165" s="9">
        <v>6000</v>
      </c>
    </row>
    <row r="166" spans="1:5">
      <c r="A166" s="6" t="s">
        <v>10</v>
      </c>
      <c r="B166" s="7">
        <v>43891</v>
      </c>
      <c r="C166" s="8" t="s">
        <v>33</v>
      </c>
      <c r="D166" s="8" t="s">
        <v>30</v>
      </c>
      <c r="E166" s="9">
        <v>5000</v>
      </c>
    </row>
    <row r="167" spans="1:5">
      <c r="A167" s="6" t="s">
        <v>11</v>
      </c>
      <c r="B167" s="7">
        <v>43983</v>
      </c>
      <c r="C167" s="8" t="s">
        <v>33</v>
      </c>
      <c r="D167" s="8" t="s">
        <v>30</v>
      </c>
      <c r="E167" s="9">
        <v>4000</v>
      </c>
    </row>
    <row r="168" spans="1:5">
      <c r="A168" s="6" t="s">
        <v>12</v>
      </c>
      <c r="B168" s="7">
        <v>44075</v>
      </c>
      <c r="C168" s="8" t="s">
        <v>33</v>
      </c>
      <c r="D168" s="8" t="s">
        <v>30</v>
      </c>
      <c r="E168" s="9">
        <v>2000</v>
      </c>
    </row>
    <row r="169" spans="1:5">
      <c r="A169" s="6" t="s">
        <v>13</v>
      </c>
      <c r="B169" s="7">
        <v>44166</v>
      </c>
      <c r="C169" s="8" t="s">
        <v>33</v>
      </c>
      <c r="D169" s="8" t="s">
        <v>30</v>
      </c>
      <c r="E169" s="9">
        <v>1000</v>
      </c>
    </row>
    <row r="170" spans="1:5">
      <c r="A170" s="6" t="s">
        <v>18</v>
      </c>
      <c r="B170" s="7">
        <v>44621</v>
      </c>
      <c r="C170" s="8" t="s">
        <v>33</v>
      </c>
      <c r="D170" s="8" t="s">
        <v>30</v>
      </c>
      <c r="E170" s="9">
        <v>0</v>
      </c>
    </row>
    <row r="171" spans="1:5">
      <c r="A171" s="6" t="s">
        <v>15</v>
      </c>
      <c r="B171" s="7">
        <v>44348</v>
      </c>
      <c r="C171" s="8" t="s">
        <v>33</v>
      </c>
      <c r="D171" s="8" t="s">
        <v>30</v>
      </c>
      <c r="E171" s="9">
        <v>10000</v>
      </c>
    </row>
    <row r="172" spans="1:5">
      <c r="A172" s="6" t="s">
        <v>16</v>
      </c>
      <c r="B172" s="7">
        <v>44440</v>
      </c>
      <c r="C172" s="8" t="s">
        <v>33</v>
      </c>
      <c r="D172" s="8" t="s">
        <v>30</v>
      </c>
      <c r="E172" s="9">
        <v>44000</v>
      </c>
    </row>
    <row r="173" spans="1:5">
      <c r="A173" s="6" t="s">
        <v>17</v>
      </c>
      <c r="B173" s="7">
        <v>44531</v>
      </c>
      <c r="C173" s="8" t="s">
        <v>33</v>
      </c>
      <c r="D173" s="8" t="s">
        <v>30</v>
      </c>
      <c r="E173" s="9">
        <v>57000</v>
      </c>
    </row>
    <row r="174" spans="1:5">
      <c r="A174" s="6" t="s">
        <v>18</v>
      </c>
      <c r="B174" s="7">
        <v>44621</v>
      </c>
      <c r="C174" s="8" t="s">
        <v>33</v>
      </c>
      <c r="D174" s="8" t="s">
        <v>30</v>
      </c>
      <c r="E174" s="9">
        <v>76000</v>
      </c>
    </row>
    <row r="175" spans="1:5">
      <c r="A175" s="6" t="s">
        <v>19</v>
      </c>
      <c r="B175" s="7">
        <v>44713</v>
      </c>
      <c r="C175" s="8" t="s">
        <v>33</v>
      </c>
      <c r="D175" s="8" t="s">
        <v>30</v>
      </c>
      <c r="E175" s="9">
        <v>150000</v>
      </c>
    </row>
    <row r="176" spans="1:5">
      <c r="A176" s="6" t="s">
        <v>20</v>
      </c>
      <c r="B176" s="7">
        <v>44805</v>
      </c>
      <c r="C176" s="8" t="s">
        <v>33</v>
      </c>
      <c r="D176" s="8" t="s">
        <v>30</v>
      </c>
      <c r="E176" s="9">
        <v>172000</v>
      </c>
    </row>
    <row r="177" spans="1:5">
      <c r="A177" s="6" t="s">
        <v>21</v>
      </c>
      <c r="B177" s="7">
        <v>44896</v>
      </c>
      <c r="C177" s="8" t="s">
        <v>33</v>
      </c>
      <c r="D177" s="8" t="s">
        <v>30</v>
      </c>
      <c r="E177" s="9">
        <v>188000</v>
      </c>
    </row>
    <row r="178" spans="1:5">
      <c r="A178" s="6" t="s">
        <v>22</v>
      </c>
      <c r="B178" s="7">
        <v>44986</v>
      </c>
      <c r="C178" s="8" t="s">
        <v>33</v>
      </c>
      <c r="D178" s="8" t="s">
        <v>30</v>
      </c>
      <c r="E178" s="9">
        <v>187000</v>
      </c>
    </row>
    <row r="179" spans="1:5">
      <c r="A179" s="6" t="s">
        <v>23</v>
      </c>
      <c r="B179" s="7">
        <v>45078</v>
      </c>
      <c r="C179" s="8" t="s">
        <v>33</v>
      </c>
      <c r="D179" s="8" t="s">
        <v>30</v>
      </c>
      <c r="E179" s="9">
        <v>125000</v>
      </c>
    </row>
    <row r="180" spans="1:5">
      <c r="A180" s="6" t="s">
        <v>24</v>
      </c>
      <c r="B180" s="7">
        <v>45170</v>
      </c>
      <c r="C180" s="8" t="s">
        <v>33</v>
      </c>
      <c r="D180" s="8" t="s">
        <v>30</v>
      </c>
      <c r="E180" s="9">
        <v>88000</v>
      </c>
    </row>
    <row r="181" spans="1:5">
      <c r="A181" s="6" t="s">
        <v>25</v>
      </c>
      <c r="B181" s="7">
        <v>45261</v>
      </c>
      <c r="C181" s="8" t="s">
        <v>33</v>
      </c>
      <c r="D181" s="8" t="s">
        <v>30</v>
      </c>
      <c r="E181" s="9">
        <v>76000</v>
      </c>
    </row>
    <row r="182" spans="1:5">
      <c r="A182" s="6" t="s">
        <v>26</v>
      </c>
      <c r="B182" s="7">
        <v>45352</v>
      </c>
      <c r="C182" s="8" t="s">
        <v>33</v>
      </c>
      <c r="D182" s="8" t="s">
        <v>30</v>
      </c>
      <c r="E182" s="9">
        <v>70000</v>
      </c>
    </row>
    <row r="183" spans="1:5">
      <c r="A183" s="6" t="s">
        <v>27</v>
      </c>
      <c r="B183" s="7">
        <v>45444</v>
      </c>
      <c r="C183" s="8" t="s">
        <v>33</v>
      </c>
      <c r="D183" s="8" t="s">
        <v>30</v>
      </c>
      <c r="E183" s="9">
        <v>64000</v>
      </c>
    </row>
    <row r="184" spans="1:5">
      <c r="A184" s="6" t="s">
        <v>28</v>
      </c>
      <c r="B184" s="7">
        <v>45536</v>
      </c>
      <c r="C184" s="8" t="s">
        <v>33</v>
      </c>
      <c r="D184" s="8" t="s">
        <v>30</v>
      </c>
      <c r="E184" s="9">
        <v>59000</v>
      </c>
    </row>
    <row r="185" spans="1:5">
      <c r="A185" s="6" t="s">
        <v>29</v>
      </c>
      <c r="B185" s="7">
        <v>45627</v>
      </c>
      <c r="C185" s="8" t="s">
        <v>33</v>
      </c>
      <c r="D185" s="8" t="s">
        <v>30</v>
      </c>
      <c r="E185" s="9">
        <v>51000</v>
      </c>
    </row>
    <row r="186" spans="1:5">
      <c r="A186" s="2" t="s">
        <v>5</v>
      </c>
      <c r="B186" s="3">
        <v>43617</v>
      </c>
      <c r="C186" s="4" t="s">
        <v>34</v>
      </c>
      <c r="D186" s="4" t="s">
        <v>7</v>
      </c>
      <c r="E186" s="5">
        <v>39000</v>
      </c>
    </row>
    <row r="187" spans="1:5">
      <c r="A187" s="2" t="s">
        <v>8</v>
      </c>
      <c r="B187" s="3">
        <v>43709</v>
      </c>
      <c r="C187" s="4" t="s">
        <v>34</v>
      </c>
      <c r="D187" s="4" t="s">
        <v>7</v>
      </c>
      <c r="E187" s="5">
        <v>41000</v>
      </c>
    </row>
    <row r="188" spans="1:5">
      <c r="A188" s="2" t="s">
        <v>9</v>
      </c>
      <c r="B188" s="3">
        <v>43800</v>
      </c>
      <c r="C188" s="4" t="s">
        <v>34</v>
      </c>
      <c r="D188" s="4" t="s">
        <v>7</v>
      </c>
      <c r="E188" s="5">
        <v>42000</v>
      </c>
    </row>
    <row r="189" spans="1:5">
      <c r="A189" s="2" t="s">
        <v>10</v>
      </c>
      <c r="B189" s="3">
        <v>43891</v>
      </c>
      <c r="C189" s="4" t="s">
        <v>34</v>
      </c>
      <c r="D189" s="4" t="s">
        <v>7</v>
      </c>
      <c r="E189" s="5">
        <v>42000</v>
      </c>
    </row>
    <row r="190" spans="1:5">
      <c r="A190" s="2" t="s">
        <v>11</v>
      </c>
      <c r="B190" s="3">
        <v>43983</v>
      </c>
      <c r="C190" s="4" t="s">
        <v>34</v>
      </c>
      <c r="D190" s="4" t="s">
        <v>7</v>
      </c>
      <c r="E190" s="5">
        <v>38000</v>
      </c>
    </row>
    <row r="191" spans="1:5">
      <c r="A191" s="2" t="s">
        <v>12</v>
      </c>
      <c r="B191" s="3">
        <v>44075</v>
      </c>
      <c r="C191" s="4" t="s">
        <v>34</v>
      </c>
      <c r="D191" s="4" t="s">
        <v>7</v>
      </c>
      <c r="E191" s="5">
        <v>37000</v>
      </c>
    </row>
    <row r="192" spans="1:5">
      <c r="A192" s="2" t="s">
        <v>13</v>
      </c>
      <c r="B192" s="3">
        <v>44166</v>
      </c>
      <c r="C192" s="4" t="s">
        <v>34</v>
      </c>
      <c r="D192" s="4" t="s">
        <v>7</v>
      </c>
      <c r="E192" s="5">
        <v>35000</v>
      </c>
    </row>
    <row r="193" spans="1:5">
      <c r="A193" s="2" t="s">
        <v>14</v>
      </c>
      <c r="B193" s="3">
        <v>44256</v>
      </c>
      <c r="C193" s="4" t="s">
        <v>34</v>
      </c>
      <c r="D193" s="4" t="s">
        <v>7</v>
      </c>
      <c r="E193" s="5">
        <v>31000</v>
      </c>
    </row>
    <row r="194" spans="1:5">
      <c r="A194" s="2" t="s">
        <v>15</v>
      </c>
      <c r="B194" s="3">
        <v>44348</v>
      </c>
      <c r="C194" s="4" t="s">
        <v>34</v>
      </c>
      <c r="D194" s="4" t="s">
        <v>7</v>
      </c>
      <c r="E194" s="5">
        <v>38000</v>
      </c>
    </row>
    <row r="195" spans="1:5">
      <c r="A195" s="2" t="s">
        <v>16</v>
      </c>
      <c r="B195" s="3">
        <v>44440</v>
      </c>
      <c r="C195" s="4" t="s">
        <v>34</v>
      </c>
      <c r="D195" s="4" t="s">
        <v>7</v>
      </c>
      <c r="E195" s="5">
        <v>46000</v>
      </c>
    </row>
    <row r="196" spans="1:5">
      <c r="A196" s="2" t="s">
        <v>17</v>
      </c>
      <c r="B196" s="3">
        <v>44531</v>
      </c>
      <c r="C196" s="4" t="s">
        <v>34</v>
      </c>
      <c r="D196" s="4" t="s">
        <v>7</v>
      </c>
      <c r="E196" s="5">
        <v>59000</v>
      </c>
    </row>
    <row r="197" spans="1:5">
      <c r="A197" s="2" t="s">
        <v>18</v>
      </c>
      <c r="B197" s="3">
        <v>44621</v>
      </c>
      <c r="C197" s="4" t="s">
        <v>34</v>
      </c>
      <c r="D197" s="4" t="s">
        <v>7</v>
      </c>
      <c r="E197" s="5">
        <v>68000</v>
      </c>
    </row>
    <row r="198" spans="1:5">
      <c r="A198" s="2" t="s">
        <v>19</v>
      </c>
      <c r="B198" s="3">
        <v>44713</v>
      </c>
      <c r="C198" s="4" t="s">
        <v>34</v>
      </c>
      <c r="D198" s="4" t="s">
        <v>7</v>
      </c>
      <c r="E198" s="5">
        <v>76000</v>
      </c>
    </row>
    <row r="199" spans="1:5">
      <c r="A199" s="2" t="s">
        <v>20</v>
      </c>
      <c r="B199" s="3">
        <v>44805</v>
      </c>
      <c r="C199" s="4" t="s">
        <v>34</v>
      </c>
      <c r="D199" s="4" t="s">
        <v>7</v>
      </c>
      <c r="E199" s="5">
        <v>87000</v>
      </c>
    </row>
    <row r="200" spans="1:5">
      <c r="A200" s="2" t="s">
        <v>21</v>
      </c>
      <c r="B200" s="3">
        <v>44896</v>
      </c>
      <c r="C200" s="4" t="s">
        <v>34</v>
      </c>
      <c r="D200" s="4" t="s">
        <v>7</v>
      </c>
      <c r="E200" s="5">
        <v>90000</v>
      </c>
    </row>
    <row r="201" spans="1:5">
      <c r="A201" s="2" t="s">
        <v>22</v>
      </c>
      <c r="B201" s="3">
        <v>44986</v>
      </c>
      <c r="C201" s="4" t="s">
        <v>34</v>
      </c>
      <c r="D201" s="4" t="s">
        <v>7</v>
      </c>
      <c r="E201" s="5">
        <v>92000</v>
      </c>
    </row>
    <row r="202" spans="1:5">
      <c r="A202" s="2" t="s">
        <v>23</v>
      </c>
      <c r="B202" s="3">
        <v>45078</v>
      </c>
      <c r="C202" s="4" t="s">
        <v>34</v>
      </c>
      <c r="D202" s="4" t="s">
        <v>7</v>
      </c>
      <c r="E202" s="5">
        <v>91000</v>
      </c>
    </row>
    <row r="203" spans="1:5">
      <c r="A203" s="2" t="s">
        <v>24</v>
      </c>
      <c r="B203" s="3">
        <v>45170</v>
      </c>
      <c r="C203" s="4" t="s">
        <v>34</v>
      </c>
      <c r="D203" s="4" t="s">
        <v>7</v>
      </c>
      <c r="E203" s="5">
        <v>88000</v>
      </c>
    </row>
    <row r="204" spans="1:5">
      <c r="A204" s="2" t="s">
        <v>25</v>
      </c>
      <c r="B204" s="3">
        <v>45261</v>
      </c>
      <c r="C204" s="4" t="s">
        <v>34</v>
      </c>
      <c r="D204" s="4" t="s">
        <v>7</v>
      </c>
      <c r="E204" s="5">
        <v>80000</v>
      </c>
    </row>
    <row r="205" spans="1:5">
      <c r="A205" s="2" t="s">
        <v>26</v>
      </c>
      <c r="B205" s="3">
        <v>45352</v>
      </c>
      <c r="C205" s="4" t="s">
        <v>34</v>
      </c>
      <c r="D205" s="4" t="s">
        <v>7</v>
      </c>
      <c r="E205" s="5">
        <v>81000</v>
      </c>
    </row>
    <row r="206" spans="1:5">
      <c r="A206" s="2" t="s">
        <v>27</v>
      </c>
      <c r="B206" s="3">
        <v>45444</v>
      </c>
      <c r="C206" s="4" t="s">
        <v>34</v>
      </c>
      <c r="D206" s="4" t="s">
        <v>7</v>
      </c>
      <c r="E206" s="5">
        <v>83000</v>
      </c>
    </row>
    <row r="207" spans="1:5">
      <c r="A207" s="2" t="s">
        <v>28</v>
      </c>
      <c r="B207" s="3">
        <v>45536</v>
      </c>
      <c r="C207" s="4" t="s">
        <v>34</v>
      </c>
      <c r="D207" s="4" t="s">
        <v>7</v>
      </c>
      <c r="E207" s="5">
        <v>86000</v>
      </c>
    </row>
    <row r="208" spans="1:5">
      <c r="A208" s="2" t="s">
        <v>29</v>
      </c>
      <c r="B208" s="3">
        <v>45627</v>
      </c>
      <c r="C208" s="4" t="s">
        <v>34</v>
      </c>
      <c r="D208" s="4" t="s">
        <v>7</v>
      </c>
      <c r="E208" s="5">
        <v>95000</v>
      </c>
    </row>
    <row r="209" spans="1:5">
      <c r="A209" s="6" t="s">
        <v>5</v>
      </c>
      <c r="B209" s="7">
        <v>43617</v>
      </c>
      <c r="C209" s="8" t="s">
        <v>34</v>
      </c>
      <c r="D209" s="8" t="s">
        <v>30</v>
      </c>
      <c r="E209" s="9">
        <v>39000</v>
      </c>
    </row>
    <row r="210" spans="1:5">
      <c r="A210" s="6" t="s">
        <v>8</v>
      </c>
      <c r="B210" s="7">
        <v>43709</v>
      </c>
      <c r="C210" s="8" t="s">
        <v>34</v>
      </c>
      <c r="D210" s="8" t="s">
        <v>30</v>
      </c>
      <c r="E210" s="9">
        <v>41000</v>
      </c>
    </row>
    <row r="211" spans="1:5">
      <c r="A211" s="6" t="s">
        <v>9</v>
      </c>
      <c r="B211" s="7">
        <v>43800</v>
      </c>
      <c r="C211" s="8" t="s">
        <v>34</v>
      </c>
      <c r="D211" s="8" t="s">
        <v>30</v>
      </c>
      <c r="E211" s="9">
        <v>42000</v>
      </c>
    </row>
    <row r="212" spans="1:5">
      <c r="A212" s="6" t="s">
        <v>10</v>
      </c>
      <c r="B212" s="7">
        <v>43891</v>
      </c>
      <c r="C212" s="8" t="s">
        <v>34</v>
      </c>
      <c r="D212" s="8" t="s">
        <v>30</v>
      </c>
      <c r="E212" s="9">
        <v>42000</v>
      </c>
    </row>
    <row r="213" spans="1:5">
      <c r="A213" s="6" t="s">
        <v>11</v>
      </c>
      <c r="B213" s="7">
        <v>43983</v>
      </c>
      <c r="C213" s="8" t="s">
        <v>34</v>
      </c>
      <c r="D213" s="8" t="s">
        <v>30</v>
      </c>
      <c r="E213" s="9">
        <v>38000</v>
      </c>
    </row>
    <row r="214" spans="1:5">
      <c r="A214" s="6" t="s">
        <v>12</v>
      </c>
      <c r="B214" s="7">
        <v>44075</v>
      </c>
      <c r="C214" s="8" t="s">
        <v>34</v>
      </c>
      <c r="D214" s="8" t="s">
        <v>30</v>
      </c>
      <c r="E214" s="9">
        <v>37000</v>
      </c>
    </row>
    <row r="215" spans="1:5">
      <c r="A215" s="6" t="s">
        <v>13</v>
      </c>
      <c r="B215" s="7">
        <v>44166</v>
      </c>
      <c r="C215" s="8" t="s">
        <v>34</v>
      </c>
      <c r="D215" s="8" t="s">
        <v>30</v>
      </c>
      <c r="E215" s="9">
        <v>35000</v>
      </c>
    </row>
    <row r="216" spans="1:5">
      <c r="A216" s="6" t="s">
        <v>14</v>
      </c>
      <c r="B216" s="7">
        <v>44256</v>
      </c>
      <c r="C216" s="8" t="s">
        <v>34</v>
      </c>
      <c r="D216" s="8" t="s">
        <v>30</v>
      </c>
      <c r="E216" s="9">
        <v>31000</v>
      </c>
    </row>
    <row r="217" spans="1:5">
      <c r="A217" s="6" t="s">
        <v>15</v>
      </c>
      <c r="B217" s="7">
        <v>44348</v>
      </c>
      <c r="C217" s="8" t="s">
        <v>34</v>
      </c>
      <c r="D217" s="8" t="s">
        <v>30</v>
      </c>
      <c r="E217" s="9">
        <v>38000</v>
      </c>
    </row>
    <row r="218" spans="1:5">
      <c r="A218" s="6" t="s">
        <v>16</v>
      </c>
      <c r="B218" s="7">
        <v>44440</v>
      </c>
      <c r="C218" s="8" t="s">
        <v>34</v>
      </c>
      <c r="D218" s="8" t="s">
        <v>30</v>
      </c>
      <c r="E218" s="9">
        <v>46000</v>
      </c>
    </row>
    <row r="219" spans="1:5">
      <c r="A219" s="6" t="s">
        <v>17</v>
      </c>
      <c r="B219" s="7">
        <v>44531</v>
      </c>
      <c r="C219" s="8" t="s">
        <v>34</v>
      </c>
      <c r="D219" s="8" t="s">
        <v>30</v>
      </c>
      <c r="E219" s="9">
        <v>59000</v>
      </c>
    </row>
    <row r="220" spans="1:5">
      <c r="A220" s="6" t="s">
        <v>18</v>
      </c>
      <c r="B220" s="7">
        <v>44621</v>
      </c>
      <c r="C220" s="8" t="s">
        <v>34</v>
      </c>
      <c r="D220" s="8" t="s">
        <v>30</v>
      </c>
      <c r="E220" s="9">
        <v>68000</v>
      </c>
    </row>
    <row r="221" spans="1:5">
      <c r="A221" s="6" t="s">
        <v>19</v>
      </c>
      <c r="B221" s="7">
        <v>44713</v>
      </c>
      <c r="C221" s="8" t="s">
        <v>34</v>
      </c>
      <c r="D221" s="8" t="s">
        <v>30</v>
      </c>
      <c r="E221" s="9">
        <v>76000</v>
      </c>
    </row>
    <row r="222" spans="1:5">
      <c r="A222" s="6" t="s">
        <v>20</v>
      </c>
      <c r="B222" s="7">
        <v>44805</v>
      </c>
      <c r="C222" s="8" t="s">
        <v>34</v>
      </c>
      <c r="D222" s="8" t="s">
        <v>30</v>
      </c>
      <c r="E222" s="9">
        <v>87000</v>
      </c>
    </row>
    <row r="223" spans="1:5">
      <c r="A223" s="6" t="s">
        <v>21</v>
      </c>
      <c r="B223" s="7">
        <v>44896</v>
      </c>
      <c r="C223" s="8" t="s">
        <v>34</v>
      </c>
      <c r="D223" s="8" t="s">
        <v>30</v>
      </c>
      <c r="E223" s="9">
        <v>90000</v>
      </c>
    </row>
    <row r="224" spans="1:5">
      <c r="A224" s="6" t="s">
        <v>22</v>
      </c>
      <c r="B224" s="7">
        <v>44986</v>
      </c>
      <c r="C224" s="8" t="s">
        <v>34</v>
      </c>
      <c r="D224" s="8" t="s">
        <v>30</v>
      </c>
      <c r="E224" s="9">
        <v>92000</v>
      </c>
    </row>
    <row r="225" spans="1:5">
      <c r="A225" s="6" t="s">
        <v>23</v>
      </c>
      <c r="B225" s="7">
        <v>45078</v>
      </c>
      <c r="C225" s="8" t="s">
        <v>34</v>
      </c>
      <c r="D225" s="8" t="s">
        <v>30</v>
      </c>
      <c r="E225" s="9">
        <v>91000</v>
      </c>
    </row>
    <row r="226" spans="1:5">
      <c r="A226" s="6" t="s">
        <v>24</v>
      </c>
      <c r="B226" s="7">
        <v>45170</v>
      </c>
      <c r="C226" s="8" t="s">
        <v>34</v>
      </c>
      <c r="D226" s="8" t="s">
        <v>30</v>
      </c>
      <c r="E226" s="9">
        <v>88000</v>
      </c>
    </row>
    <row r="227" spans="1:5">
      <c r="A227" s="6" t="s">
        <v>25</v>
      </c>
      <c r="B227" s="7">
        <v>45261</v>
      </c>
      <c r="C227" s="8" t="s">
        <v>34</v>
      </c>
      <c r="D227" s="8" t="s">
        <v>30</v>
      </c>
      <c r="E227" s="9">
        <v>80000</v>
      </c>
    </row>
    <row r="228" spans="1:5">
      <c r="A228" s="6" t="s">
        <v>26</v>
      </c>
      <c r="B228" s="7">
        <v>45352</v>
      </c>
      <c r="C228" s="8" t="s">
        <v>34</v>
      </c>
      <c r="D228" s="8" t="s">
        <v>30</v>
      </c>
      <c r="E228" s="9">
        <v>81000</v>
      </c>
    </row>
    <row r="229" spans="1:5">
      <c r="A229" s="6" t="s">
        <v>27</v>
      </c>
      <c r="B229" s="7">
        <v>45444</v>
      </c>
      <c r="C229" s="8" t="s">
        <v>34</v>
      </c>
      <c r="D229" s="8" t="s">
        <v>30</v>
      </c>
      <c r="E229" s="9">
        <v>83000</v>
      </c>
    </row>
    <row r="230" spans="1:5">
      <c r="A230" s="6" t="s">
        <v>28</v>
      </c>
      <c r="B230" s="7">
        <v>45536</v>
      </c>
      <c r="C230" s="8" t="s">
        <v>34</v>
      </c>
      <c r="D230" s="8" t="s">
        <v>30</v>
      </c>
      <c r="E230" s="9">
        <v>86000</v>
      </c>
    </row>
    <row r="231" spans="1:5">
      <c r="A231" s="6" t="s">
        <v>29</v>
      </c>
      <c r="B231" s="7">
        <v>45627</v>
      </c>
      <c r="C231" s="8" t="s">
        <v>34</v>
      </c>
      <c r="D231" s="8" t="s">
        <v>30</v>
      </c>
      <c r="E231" s="9">
        <v>95000</v>
      </c>
    </row>
    <row r="232" spans="1:5">
      <c r="A232" s="2" t="s">
        <v>5</v>
      </c>
      <c r="B232" s="3">
        <v>43617</v>
      </c>
      <c r="C232" s="4" t="s">
        <v>35</v>
      </c>
      <c r="D232" s="4" t="s">
        <v>7</v>
      </c>
      <c r="E232" s="5">
        <v>22000</v>
      </c>
    </row>
    <row r="233" spans="1:5">
      <c r="A233" s="2" t="s">
        <v>8</v>
      </c>
      <c r="B233" s="3">
        <v>43709</v>
      </c>
      <c r="C233" s="4" t="s">
        <v>35</v>
      </c>
      <c r="D233" s="4" t="s">
        <v>7</v>
      </c>
      <c r="E233" s="5">
        <v>22000</v>
      </c>
    </row>
    <row r="234" spans="1:5">
      <c r="A234" s="2" t="s">
        <v>9</v>
      </c>
      <c r="B234" s="3">
        <v>43800</v>
      </c>
      <c r="C234" s="4" t="s">
        <v>35</v>
      </c>
      <c r="D234" s="4" t="s">
        <v>7</v>
      </c>
      <c r="E234" s="5">
        <v>23000</v>
      </c>
    </row>
    <row r="235" spans="1:5">
      <c r="A235" s="2" t="s">
        <v>10</v>
      </c>
      <c r="B235" s="3">
        <v>43891</v>
      </c>
      <c r="C235" s="4" t="s">
        <v>35</v>
      </c>
      <c r="D235" s="4" t="s">
        <v>7</v>
      </c>
      <c r="E235" s="5">
        <v>23000</v>
      </c>
    </row>
    <row r="236" spans="1:5">
      <c r="A236" s="2" t="s">
        <v>11</v>
      </c>
      <c r="B236" s="3">
        <v>43983</v>
      </c>
      <c r="C236" s="4" t="s">
        <v>35</v>
      </c>
      <c r="D236" s="4" t="s">
        <v>7</v>
      </c>
      <c r="E236" s="5">
        <v>17000</v>
      </c>
    </row>
    <row r="237" spans="1:5">
      <c r="A237" s="2" t="s">
        <v>12</v>
      </c>
      <c r="B237" s="3">
        <v>44075</v>
      </c>
      <c r="C237" s="4" t="s">
        <v>35</v>
      </c>
      <c r="D237" s="4" t="s">
        <v>7</v>
      </c>
      <c r="E237" s="5">
        <v>16000</v>
      </c>
    </row>
    <row r="238" spans="1:5">
      <c r="A238" s="2" t="s">
        <v>13</v>
      </c>
      <c r="B238" s="3">
        <v>44166</v>
      </c>
      <c r="C238" s="4" t="s">
        <v>35</v>
      </c>
      <c r="D238" s="4" t="s">
        <v>7</v>
      </c>
      <c r="E238" s="5">
        <v>20000</v>
      </c>
    </row>
    <row r="239" spans="1:5">
      <c r="A239" s="2" t="s">
        <v>14</v>
      </c>
      <c r="B239" s="3">
        <v>44256</v>
      </c>
      <c r="C239" s="4" t="s">
        <v>35</v>
      </c>
      <c r="D239" s="4" t="s">
        <v>7</v>
      </c>
      <c r="E239" s="5">
        <v>21000</v>
      </c>
    </row>
    <row r="240" spans="1:5">
      <c r="A240" s="2" t="s">
        <v>15</v>
      </c>
      <c r="B240" s="3">
        <v>44348</v>
      </c>
      <c r="C240" s="4" t="s">
        <v>35</v>
      </c>
      <c r="D240" s="4" t="s">
        <v>7</v>
      </c>
      <c r="E240" s="5">
        <v>28000</v>
      </c>
    </row>
    <row r="241" spans="1:5">
      <c r="A241" s="2" t="s">
        <v>16</v>
      </c>
      <c r="B241" s="3">
        <v>44440</v>
      </c>
      <c r="C241" s="4" t="s">
        <v>35</v>
      </c>
      <c r="D241" s="4" t="s">
        <v>7</v>
      </c>
      <c r="E241" s="5">
        <v>30000</v>
      </c>
    </row>
    <row r="242" spans="1:5">
      <c r="A242" s="2" t="s">
        <v>17</v>
      </c>
      <c r="B242" s="3">
        <v>44531</v>
      </c>
      <c r="C242" s="4" t="s">
        <v>35</v>
      </c>
      <c r="D242" s="4" t="s">
        <v>7</v>
      </c>
      <c r="E242" s="5">
        <v>28000</v>
      </c>
    </row>
    <row r="243" spans="1:5">
      <c r="A243" s="2" t="s">
        <v>18</v>
      </c>
      <c r="B243" s="3">
        <v>44621</v>
      </c>
      <c r="C243" s="4" t="s">
        <v>35</v>
      </c>
      <c r="D243" s="4" t="s">
        <v>7</v>
      </c>
      <c r="E243" s="5">
        <v>28000</v>
      </c>
    </row>
    <row r="244" spans="1:5">
      <c r="A244" s="2" t="s">
        <v>19</v>
      </c>
      <c r="B244" s="3">
        <v>44713</v>
      </c>
      <c r="C244" s="4" t="s">
        <v>35</v>
      </c>
      <c r="D244" s="4" t="s">
        <v>7</v>
      </c>
      <c r="E244" s="5">
        <v>30000</v>
      </c>
    </row>
    <row r="245" spans="1:5">
      <c r="A245" s="2" t="s">
        <v>20</v>
      </c>
      <c r="B245" s="3">
        <v>44805</v>
      </c>
      <c r="C245" s="4" t="s">
        <v>35</v>
      </c>
      <c r="D245" s="4" t="s">
        <v>7</v>
      </c>
      <c r="E245" s="5">
        <v>30000</v>
      </c>
    </row>
    <row r="246" spans="1:5">
      <c r="A246" s="2" t="s">
        <v>21</v>
      </c>
      <c r="B246" s="3">
        <v>44896</v>
      </c>
      <c r="C246" s="4" t="s">
        <v>35</v>
      </c>
      <c r="D246" s="4" t="s">
        <v>7</v>
      </c>
      <c r="E246" s="5">
        <v>28000</v>
      </c>
    </row>
    <row r="247" spans="1:5">
      <c r="A247" s="2" t="s">
        <v>22</v>
      </c>
      <c r="B247" s="3">
        <v>44986</v>
      </c>
      <c r="C247" s="4" t="s">
        <v>35</v>
      </c>
      <c r="D247" s="4" t="s">
        <v>7</v>
      </c>
      <c r="E247" s="5">
        <v>25000</v>
      </c>
    </row>
    <row r="248" spans="1:5">
      <c r="A248" s="2" t="s">
        <v>23</v>
      </c>
      <c r="B248" s="3">
        <v>45078</v>
      </c>
      <c r="C248" s="4" t="s">
        <v>35</v>
      </c>
      <c r="D248" s="4" t="s">
        <v>7</v>
      </c>
      <c r="E248" s="5">
        <v>21000</v>
      </c>
    </row>
    <row r="249" spans="1:5">
      <c r="A249" s="2" t="s">
        <v>24</v>
      </c>
      <c r="B249" s="3">
        <v>45170</v>
      </c>
      <c r="C249" s="4" t="s">
        <v>35</v>
      </c>
      <c r="D249" s="4" t="s">
        <v>7</v>
      </c>
      <c r="E249" s="5">
        <v>18000</v>
      </c>
    </row>
    <row r="250" spans="1:5">
      <c r="A250" s="2" t="s">
        <v>25</v>
      </c>
      <c r="B250" s="3">
        <v>45261</v>
      </c>
      <c r="C250" s="4" t="s">
        <v>35</v>
      </c>
      <c r="D250" s="4" t="s">
        <v>7</v>
      </c>
      <c r="E250" s="5">
        <v>16000</v>
      </c>
    </row>
    <row r="251" spans="1:5">
      <c r="A251" s="2" t="s">
        <v>26</v>
      </c>
      <c r="B251" s="3">
        <v>45352</v>
      </c>
      <c r="C251" s="4" t="s">
        <v>35</v>
      </c>
      <c r="D251" s="4" t="s">
        <v>7</v>
      </c>
      <c r="E251" s="5">
        <v>15000</v>
      </c>
    </row>
    <row r="252" spans="1:5">
      <c r="A252" s="2" t="s">
        <v>27</v>
      </c>
      <c r="B252" s="3">
        <v>45444</v>
      </c>
      <c r="C252" s="4" t="s">
        <v>35</v>
      </c>
      <c r="D252" s="4" t="s">
        <v>7</v>
      </c>
      <c r="E252" s="5">
        <v>15000</v>
      </c>
    </row>
    <row r="253" spans="1:5">
      <c r="A253" s="2" t="s">
        <v>28</v>
      </c>
      <c r="B253" s="3">
        <v>45536</v>
      </c>
      <c r="C253" s="4" t="s">
        <v>35</v>
      </c>
      <c r="D253" s="4" t="s">
        <v>7</v>
      </c>
      <c r="E253" s="5">
        <v>15000</v>
      </c>
    </row>
    <row r="254" spans="1:5">
      <c r="A254" s="2" t="s">
        <v>29</v>
      </c>
      <c r="B254" s="3">
        <v>45627</v>
      </c>
      <c r="C254" s="4" t="s">
        <v>35</v>
      </c>
      <c r="D254" s="4" t="s">
        <v>7</v>
      </c>
      <c r="E254" s="5">
        <v>15000</v>
      </c>
    </row>
    <row r="255" spans="1:5">
      <c r="A255" s="6" t="s">
        <v>5</v>
      </c>
      <c r="B255" s="7">
        <v>43617</v>
      </c>
      <c r="C255" s="8" t="s">
        <v>35</v>
      </c>
      <c r="D255" s="8" t="s">
        <v>30</v>
      </c>
      <c r="E255" s="9">
        <v>22000</v>
      </c>
    </row>
    <row r="256" spans="1:5">
      <c r="A256" s="6" t="s">
        <v>8</v>
      </c>
      <c r="B256" s="7">
        <v>43709</v>
      </c>
      <c r="C256" s="8" t="s">
        <v>35</v>
      </c>
      <c r="D256" s="8" t="s">
        <v>30</v>
      </c>
      <c r="E256" s="9">
        <v>22000</v>
      </c>
    </row>
    <row r="257" spans="1:5">
      <c r="A257" s="6" t="s">
        <v>9</v>
      </c>
      <c r="B257" s="7">
        <v>43800</v>
      </c>
      <c r="C257" s="8" t="s">
        <v>35</v>
      </c>
      <c r="D257" s="8" t="s">
        <v>30</v>
      </c>
      <c r="E257" s="9">
        <v>23000</v>
      </c>
    </row>
    <row r="258" spans="1:5">
      <c r="A258" s="6" t="s">
        <v>10</v>
      </c>
      <c r="B258" s="7">
        <v>43891</v>
      </c>
      <c r="C258" s="8" t="s">
        <v>35</v>
      </c>
      <c r="D258" s="8" t="s">
        <v>30</v>
      </c>
      <c r="E258" s="9">
        <v>23000</v>
      </c>
    </row>
    <row r="259" spans="1:5">
      <c r="A259" s="6" t="s">
        <v>11</v>
      </c>
      <c r="B259" s="7">
        <v>43983</v>
      </c>
      <c r="C259" s="8" t="s">
        <v>35</v>
      </c>
      <c r="D259" s="8" t="s">
        <v>30</v>
      </c>
      <c r="E259" s="9">
        <v>17000</v>
      </c>
    </row>
    <row r="260" spans="1:5">
      <c r="A260" s="6" t="s">
        <v>12</v>
      </c>
      <c r="B260" s="7">
        <v>44075</v>
      </c>
      <c r="C260" s="8" t="s">
        <v>35</v>
      </c>
      <c r="D260" s="8" t="s">
        <v>30</v>
      </c>
      <c r="E260" s="9">
        <v>16000</v>
      </c>
    </row>
    <row r="261" spans="1:5">
      <c r="A261" s="6" t="s">
        <v>13</v>
      </c>
      <c r="B261" s="7">
        <v>44166</v>
      </c>
      <c r="C261" s="8" t="s">
        <v>35</v>
      </c>
      <c r="D261" s="8" t="s">
        <v>30</v>
      </c>
      <c r="E261" s="9">
        <v>20000</v>
      </c>
    </row>
    <row r="262" spans="1:5">
      <c r="A262" s="6" t="s">
        <v>14</v>
      </c>
      <c r="B262" s="7">
        <v>44256</v>
      </c>
      <c r="C262" s="8" t="s">
        <v>35</v>
      </c>
      <c r="D262" s="8" t="s">
        <v>30</v>
      </c>
      <c r="E262" s="9">
        <v>21000</v>
      </c>
    </row>
    <row r="263" spans="1:5">
      <c r="A263" s="6" t="s">
        <v>15</v>
      </c>
      <c r="B263" s="7">
        <v>44348</v>
      </c>
      <c r="C263" s="8" t="s">
        <v>35</v>
      </c>
      <c r="D263" s="8" t="s">
        <v>30</v>
      </c>
      <c r="E263" s="9">
        <v>28000</v>
      </c>
    </row>
    <row r="264" spans="1:5">
      <c r="A264" s="6" t="s">
        <v>16</v>
      </c>
      <c r="B264" s="7">
        <v>44440</v>
      </c>
      <c r="C264" s="8" t="s">
        <v>35</v>
      </c>
      <c r="D264" s="8" t="s">
        <v>30</v>
      </c>
      <c r="E264" s="9">
        <v>30000</v>
      </c>
    </row>
    <row r="265" spans="1:5">
      <c r="A265" s="6" t="s">
        <v>17</v>
      </c>
      <c r="B265" s="7">
        <v>44531</v>
      </c>
      <c r="C265" s="8" t="s">
        <v>35</v>
      </c>
      <c r="D265" s="8" t="s">
        <v>30</v>
      </c>
      <c r="E265" s="9">
        <v>28000</v>
      </c>
    </row>
    <row r="266" spans="1:5">
      <c r="A266" s="6" t="s">
        <v>18</v>
      </c>
      <c r="B266" s="7">
        <v>44621</v>
      </c>
      <c r="C266" s="8" t="s">
        <v>35</v>
      </c>
      <c r="D266" s="8" t="s">
        <v>30</v>
      </c>
      <c r="E266" s="9">
        <v>28000</v>
      </c>
    </row>
    <row r="267" spans="1:5">
      <c r="A267" s="6" t="s">
        <v>19</v>
      </c>
      <c r="B267" s="7">
        <v>44713</v>
      </c>
      <c r="C267" s="8" t="s">
        <v>35</v>
      </c>
      <c r="D267" s="8" t="s">
        <v>30</v>
      </c>
      <c r="E267" s="9">
        <v>30000</v>
      </c>
    </row>
    <row r="268" spans="1:5">
      <c r="A268" s="6" t="s">
        <v>20</v>
      </c>
      <c r="B268" s="7">
        <v>44805</v>
      </c>
      <c r="C268" s="8" t="s">
        <v>35</v>
      </c>
      <c r="D268" s="8" t="s">
        <v>30</v>
      </c>
      <c r="E268" s="9">
        <v>30000</v>
      </c>
    </row>
    <row r="269" spans="1:5">
      <c r="A269" s="6" t="s">
        <v>21</v>
      </c>
      <c r="B269" s="7">
        <v>44896</v>
      </c>
      <c r="C269" s="8" t="s">
        <v>35</v>
      </c>
      <c r="D269" s="8" t="s">
        <v>30</v>
      </c>
      <c r="E269" s="9">
        <v>28000</v>
      </c>
    </row>
    <row r="270" spans="1:5">
      <c r="A270" s="6" t="s">
        <v>22</v>
      </c>
      <c r="B270" s="7">
        <v>44986</v>
      </c>
      <c r="C270" s="8" t="s">
        <v>35</v>
      </c>
      <c r="D270" s="8" t="s">
        <v>30</v>
      </c>
      <c r="E270" s="9">
        <v>25000</v>
      </c>
    </row>
    <row r="271" spans="1:5">
      <c r="A271" s="6" t="s">
        <v>23</v>
      </c>
      <c r="B271" s="7">
        <v>45078</v>
      </c>
      <c r="C271" s="8" t="s">
        <v>35</v>
      </c>
      <c r="D271" s="8" t="s">
        <v>30</v>
      </c>
      <c r="E271" s="9">
        <v>21000</v>
      </c>
    </row>
    <row r="272" spans="1:5">
      <c r="A272" s="6" t="s">
        <v>24</v>
      </c>
      <c r="B272" s="7">
        <v>45170</v>
      </c>
      <c r="C272" s="8" t="s">
        <v>35</v>
      </c>
      <c r="D272" s="8" t="s">
        <v>30</v>
      </c>
      <c r="E272" s="9">
        <v>18000</v>
      </c>
    </row>
    <row r="273" spans="1:5">
      <c r="A273" s="6" t="s">
        <v>25</v>
      </c>
      <c r="B273" s="7">
        <v>45261</v>
      </c>
      <c r="C273" s="8" t="s">
        <v>35</v>
      </c>
      <c r="D273" s="8" t="s">
        <v>30</v>
      </c>
      <c r="E273" s="9">
        <v>16000</v>
      </c>
    </row>
    <row r="274" spans="1:5">
      <c r="A274" s="6" t="s">
        <v>26</v>
      </c>
      <c r="B274" s="7">
        <v>45352</v>
      </c>
      <c r="C274" s="8" t="s">
        <v>35</v>
      </c>
      <c r="D274" s="8" t="s">
        <v>30</v>
      </c>
      <c r="E274" s="9">
        <v>15000</v>
      </c>
    </row>
    <row r="275" spans="1:5">
      <c r="A275" s="6" t="s">
        <v>27</v>
      </c>
      <c r="B275" s="7">
        <v>45444</v>
      </c>
      <c r="C275" s="8" t="s">
        <v>35</v>
      </c>
      <c r="D275" s="8" t="s">
        <v>30</v>
      </c>
      <c r="E275" s="9">
        <v>15000</v>
      </c>
    </row>
    <row r="276" spans="1:5">
      <c r="A276" s="6" t="s">
        <v>28</v>
      </c>
      <c r="B276" s="7">
        <v>45536</v>
      </c>
      <c r="C276" s="8" t="s">
        <v>35</v>
      </c>
      <c r="D276" s="8" t="s">
        <v>30</v>
      </c>
      <c r="E276" s="9">
        <v>15000</v>
      </c>
    </row>
    <row r="277" spans="1:5">
      <c r="A277" s="6" t="s">
        <v>29</v>
      </c>
      <c r="B277" s="7">
        <v>45627</v>
      </c>
      <c r="C277" s="8" t="s">
        <v>35</v>
      </c>
      <c r="D277" s="8" t="s">
        <v>30</v>
      </c>
      <c r="E277" s="9">
        <v>15000</v>
      </c>
    </row>
    <row r="278" spans="1:5">
      <c r="A278" s="2" t="s">
        <v>5</v>
      </c>
      <c r="B278" s="3">
        <v>43617</v>
      </c>
      <c r="C278" s="4" t="s">
        <v>36</v>
      </c>
      <c r="D278" s="4" t="s">
        <v>7</v>
      </c>
      <c r="E278" s="5">
        <v>307000</v>
      </c>
    </row>
    <row r="279" spans="1:5">
      <c r="A279" s="2" t="s">
        <v>8</v>
      </c>
      <c r="B279" s="3">
        <v>43709</v>
      </c>
      <c r="C279" s="4" t="s">
        <v>36</v>
      </c>
      <c r="D279" s="4" t="s">
        <v>7</v>
      </c>
      <c r="E279" s="5">
        <v>308000</v>
      </c>
    </row>
    <row r="280" spans="1:5">
      <c r="A280" s="2" t="s">
        <v>9</v>
      </c>
      <c r="B280" s="3">
        <v>43800</v>
      </c>
      <c r="C280" s="4" t="s">
        <v>36</v>
      </c>
      <c r="D280" s="4" t="s">
        <v>7</v>
      </c>
      <c r="E280" s="5">
        <v>322000</v>
      </c>
    </row>
    <row r="281" spans="1:5">
      <c r="A281" s="2" t="s">
        <v>10</v>
      </c>
      <c r="B281" s="3">
        <v>43891</v>
      </c>
      <c r="C281" s="4" t="s">
        <v>36</v>
      </c>
      <c r="D281" s="4" t="s">
        <v>7</v>
      </c>
      <c r="E281" s="5">
        <v>338000</v>
      </c>
    </row>
    <row r="282" spans="1:5">
      <c r="A282" s="2" t="s">
        <v>11</v>
      </c>
      <c r="B282" s="3">
        <v>43983</v>
      </c>
      <c r="C282" s="4" t="s">
        <v>36</v>
      </c>
      <c r="D282" s="4" t="s">
        <v>7</v>
      </c>
      <c r="E282" s="5">
        <v>291000</v>
      </c>
    </row>
    <row r="283" spans="1:5">
      <c r="A283" s="2" t="s">
        <v>12</v>
      </c>
      <c r="B283" s="3">
        <v>44075</v>
      </c>
      <c r="C283" s="4" t="s">
        <v>36</v>
      </c>
      <c r="D283" s="4" t="s">
        <v>7</v>
      </c>
      <c r="E283" s="5">
        <v>226000</v>
      </c>
    </row>
    <row r="284" spans="1:5">
      <c r="A284" s="2" t="s">
        <v>13</v>
      </c>
      <c r="B284" s="3">
        <v>44166</v>
      </c>
      <c r="C284" s="4" t="s">
        <v>36</v>
      </c>
      <c r="D284" s="4" t="s">
        <v>7</v>
      </c>
      <c r="E284" s="5">
        <v>253000</v>
      </c>
    </row>
    <row r="285" spans="1:5">
      <c r="A285" s="2" t="s">
        <v>14</v>
      </c>
      <c r="B285" s="3">
        <v>44256</v>
      </c>
      <c r="C285" s="4" t="s">
        <v>36</v>
      </c>
      <c r="D285" s="4" t="s">
        <v>7</v>
      </c>
      <c r="E285" s="5">
        <v>252000</v>
      </c>
    </row>
    <row r="286" spans="1:5">
      <c r="A286" s="2" t="s">
        <v>15</v>
      </c>
      <c r="B286" s="3">
        <v>44348</v>
      </c>
      <c r="C286" s="4" t="s">
        <v>36</v>
      </c>
      <c r="D286" s="4" t="s">
        <v>7</v>
      </c>
      <c r="E286" s="5">
        <v>311000</v>
      </c>
    </row>
    <row r="287" spans="1:5">
      <c r="A287" s="2" t="s">
        <v>16</v>
      </c>
      <c r="B287" s="3">
        <v>44440</v>
      </c>
      <c r="C287" s="4" t="s">
        <v>36</v>
      </c>
      <c r="D287" s="4" t="s">
        <v>7</v>
      </c>
      <c r="E287" s="5">
        <v>460000</v>
      </c>
    </row>
    <row r="288" spans="1:5">
      <c r="A288" s="2" t="s">
        <v>17</v>
      </c>
      <c r="B288" s="3">
        <v>44531</v>
      </c>
      <c r="C288" s="4" t="s">
        <v>36</v>
      </c>
      <c r="D288" s="4" t="s">
        <v>7</v>
      </c>
      <c r="E288" s="5">
        <v>517000</v>
      </c>
    </row>
    <row r="289" spans="1:5">
      <c r="A289" s="2" t="s">
        <v>18</v>
      </c>
      <c r="B289" s="3">
        <v>44621</v>
      </c>
      <c r="C289" s="4" t="s">
        <v>36</v>
      </c>
      <c r="D289" s="4" t="s">
        <v>7</v>
      </c>
      <c r="E289" s="5">
        <v>598000</v>
      </c>
    </row>
    <row r="290" spans="1:5">
      <c r="A290" s="2" t="s">
        <v>19</v>
      </c>
      <c r="B290" s="3">
        <v>44713</v>
      </c>
      <c r="C290" s="4" t="s">
        <v>36</v>
      </c>
      <c r="D290" s="4" t="s">
        <v>7</v>
      </c>
      <c r="E290" s="5">
        <v>698000</v>
      </c>
    </row>
    <row r="291" spans="1:5">
      <c r="A291" s="2" t="s">
        <v>20</v>
      </c>
      <c r="B291" s="3">
        <v>44805</v>
      </c>
      <c r="C291" s="4" t="s">
        <v>36</v>
      </c>
      <c r="D291" s="4" t="s">
        <v>7</v>
      </c>
      <c r="E291" s="5">
        <v>819000</v>
      </c>
    </row>
    <row r="292" spans="1:5">
      <c r="A292" s="2" t="s">
        <v>21</v>
      </c>
      <c r="B292" s="3">
        <v>44896</v>
      </c>
      <c r="C292" s="4" t="s">
        <v>36</v>
      </c>
      <c r="D292" s="4" t="s">
        <v>7</v>
      </c>
      <c r="E292" s="5">
        <v>850000</v>
      </c>
    </row>
    <row r="293" spans="1:5">
      <c r="A293" s="2" t="s">
        <v>22</v>
      </c>
      <c r="B293" s="3">
        <v>44986</v>
      </c>
      <c r="C293" s="4" t="s">
        <v>36</v>
      </c>
      <c r="D293" s="4" t="s">
        <v>7</v>
      </c>
      <c r="E293" s="5">
        <v>841000</v>
      </c>
    </row>
    <row r="294" spans="1:5">
      <c r="A294" s="2" t="s">
        <v>23</v>
      </c>
      <c r="B294" s="3">
        <v>45078</v>
      </c>
      <c r="C294" s="4" t="s">
        <v>36</v>
      </c>
      <c r="D294" s="4" t="s">
        <v>7</v>
      </c>
      <c r="E294" s="5">
        <v>814000</v>
      </c>
    </row>
    <row r="295" spans="1:5">
      <c r="A295" s="2" t="s">
        <v>24</v>
      </c>
      <c r="B295" s="3">
        <v>45170</v>
      </c>
      <c r="C295" s="4" t="s">
        <v>36</v>
      </c>
      <c r="D295" s="4" t="s">
        <v>7</v>
      </c>
      <c r="E295" s="5">
        <v>802000</v>
      </c>
    </row>
    <row r="296" spans="1:5">
      <c r="A296" s="2" t="s">
        <v>25</v>
      </c>
      <c r="B296" s="3">
        <v>45261</v>
      </c>
      <c r="C296" s="4" t="s">
        <v>36</v>
      </c>
      <c r="D296" s="4" t="s">
        <v>7</v>
      </c>
      <c r="E296" s="5">
        <v>781000</v>
      </c>
    </row>
    <row r="297" spans="1:5">
      <c r="A297" s="2" t="s">
        <v>26</v>
      </c>
      <c r="B297" s="3">
        <v>45352</v>
      </c>
      <c r="C297" s="4" t="s">
        <v>36</v>
      </c>
      <c r="D297" s="4" t="s">
        <v>7</v>
      </c>
      <c r="E297" s="5">
        <v>766000</v>
      </c>
    </row>
    <row r="298" spans="1:5">
      <c r="A298" s="2" t="s">
        <v>27</v>
      </c>
      <c r="B298" s="3">
        <v>45444</v>
      </c>
      <c r="C298" s="4" t="s">
        <v>36</v>
      </c>
      <c r="D298" s="4" t="s">
        <v>7</v>
      </c>
      <c r="E298" s="5">
        <v>728000</v>
      </c>
    </row>
    <row r="299" spans="1:5">
      <c r="A299" s="2" t="s">
        <v>28</v>
      </c>
      <c r="B299" s="3">
        <v>45536</v>
      </c>
      <c r="C299" s="4" t="s">
        <v>36</v>
      </c>
      <c r="D299" s="4" t="s">
        <v>7</v>
      </c>
      <c r="E299" s="5">
        <v>658000</v>
      </c>
    </row>
    <row r="300" spans="1:5">
      <c r="A300" s="2" t="s">
        <v>29</v>
      </c>
      <c r="B300" s="3">
        <v>45627</v>
      </c>
      <c r="C300" s="4" t="s">
        <v>36</v>
      </c>
      <c r="D300" s="4" t="s">
        <v>7</v>
      </c>
      <c r="E300" s="5">
        <v>600000</v>
      </c>
    </row>
    <row r="301" spans="1:5">
      <c r="A301" s="6" t="s">
        <v>5</v>
      </c>
      <c r="B301" s="7">
        <v>43617</v>
      </c>
      <c r="C301" s="8" t="s">
        <v>36</v>
      </c>
      <c r="D301" s="8" t="s">
        <v>30</v>
      </c>
      <c r="E301" s="9">
        <v>347000</v>
      </c>
    </row>
    <row r="302" spans="1:5">
      <c r="A302" s="6" t="s">
        <v>8</v>
      </c>
      <c r="B302" s="7">
        <v>43709</v>
      </c>
      <c r="C302" s="8" t="s">
        <v>36</v>
      </c>
      <c r="D302" s="8" t="s">
        <v>30</v>
      </c>
      <c r="E302" s="9">
        <v>351000</v>
      </c>
    </row>
    <row r="303" spans="1:5">
      <c r="A303" s="6" t="s">
        <v>9</v>
      </c>
      <c r="B303" s="7">
        <v>43800</v>
      </c>
      <c r="C303" s="8" t="s">
        <v>36</v>
      </c>
      <c r="D303" s="8" t="s">
        <v>30</v>
      </c>
      <c r="E303" s="9">
        <v>368000</v>
      </c>
    </row>
    <row r="304" spans="1:5">
      <c r="A304" s="6" t="s">
        <v>10</v>
      </c>
      <c r="B304" s="7">
        <v>43891</v>
      </c>
      <c r="C304" s="8" t="s">
        <v>36</v>
      </c>
      <c r="D304" s="8" t="s">
        <v>30</v>
      </c>
      <c r="E304" s="9">
        <v>388000</v>
      </c>
    </row>
    <row r="305" spans="1:5">
      <c r="A305" s="6" t="s">
        <v>11</v>
      </c>
      <c r="B305" s="7">
        <v>43983</v>
      </c>
      <c r="C305" s="8" t="s">
        <v>36</v>
      </c>
      <c r="D305" s="8" t="s">
        <v>30</v>
      </c>
      <c r="E305" s="9">
        <v>331000</v>
      </c>
    </row>
    <row r="306" spans="1:5">
      <c r="A306" s="6" t="s">
        <v>12</v>
      </c>
      <c r="B306" s="7">
        <v>44075</v>
      </c>
      <c r="C306" s="8" t="s">
        <v>36</v>
      </c>
      <c r="D306" s="8" t="s">
        <v>30</v>
      </c>
      <c r="E306" s="9">
        <v>260000</v>
      </c>
    </row>
    <row r="307" spans="1:5">
      <c r="A307" s="6" t="s">
        <v>13</v>
      </c>
      <c r="B307" s="7">
        <v>44166</v>
      </c>
      <c r="C307" s="8" t="s">
        <v>36</v>
      </c>
      <c r="D307" s="8" t="s">
        <v>30</v>
      </c>
      <c r="E307" s="9">
        <v>294000</v>
      </c>
    </row>
    <row r="308" spans="1:5">
      <c r="A308" s="6" t="s">
        <v>14</v>
      </c>
      <c r="B308" s="7">
        <v>44256</v>
      </c>
      <c r="C308" s="8" t="s">
        <v>36</v>
      </c>
      <c r="D308" s="8" t="s">
        <v>30</v>
      </c>
      <c r="E308" s="9">
        <v>297000</v>
      </c>
    </row>
    <row r="309" spans="1:5">
      <c r="A309" s="6" t="s">
        <v>15</v>
      </c>
      <c r="B309" s="7">
        <v>44348</v>
      </c>
      <c r="C309" s="8" t="s">
        <v>36</v>
      </c>
      <c r="D309" s="8" t="s">
        <v>30</v>
      </c>
      <c r="E309" s="9">
        <v>371000</v>
      </c>
    </row>
    <row r="310" spans="1:5">
      <c r="A310" s="6" t="s">
        <v>16</v>
      </c>
      <c r="B310" s="7">
        <v>44440</v>
      </c>
      <c r="C310" s="8" t="s">
        <v>36</v>
      </c>
      <c r="D310" s="8" t="s">
        <v>30</v>
      </c>
      <c r="E310" s="9">
        <v>539000</v>
      </c>
    </row>
    <row r="311" spans="1:5">
      <c r="A311" s="6" t="s">
        <v>17</v>
      </c>
      <c r="B311" s="7">
        <v>44531</v>
      </c>
      <c r="C311" s="8" t="s">
        <v>36</v>
      </c>
      <c r="D311" s="8" t="s">
        <v>30</v>
      </c>
      <c r="E311" s="9">
        <v>617000</v>
      </c>
    </row>
    <row r="312" spans="1:5">
      <c r="A312" s="6" t="s">
        <v>18</v>
      </c>
      <c r="B312" s="7">
        <v>44621</v>
      </c>
      <c r="C312" s="8" t="s">
        <v>36</v>
      </c>
      <c r="D312" s="8" t="s">
        <v>30</v>
      </c>
      <c r="E312" s="9">
        <v>727000</v>
      </c>
    </row>
    <row r="313" spans="1:5">
      <c r="A313" s="6" t="s">
        <v>19</v>
      </c>
      <c r="B313" s="7">
        <v>44713</v>
      </c>
      <c r="C313" s="8" t="s">
        <v>36</v>
      </c>
      <c r="D313" s="8" t="s">
        <v>30</v>
      </c>
      <c r="E313" s="9">
        <v>845000</v>
      </c>
    </row>
    <row r="314" spans="1:5">
      <c r="A314" s="6" t="s">
        <v>20</v>
      </c>
      <c r="B314" s="7">
        <v>44805</v>
      </c>
      <c r="C314" s="8" t="s">
        <v>36</v>
      </c>
      <c r="D314" s="8" t="s">
        <v>30</v>
      </c>
      <c r="E314" s="9">
        <v>1003000</v>
      </c>
    </row>
    <row r="315" spans="1:5">
      <c r="A315" s="6" t="s">
        <v>21</v>
      </c>
      <c r="B315" s="7">
        <v>44896</v>
      </c>
      <c r="C315" s="8" t="s">
        <v>36</v>
      </c>
      <c r="D315" s="8" t="s">
        <v>30</v>
      </c>
      <c r="E315" s="9">
        <v>1078000</v>
      </c>
    </row>
    <row r="316" spans="1:5">
      <c r="A316" s="6" t="s">
        <v>22</v>
      </c>
      <c r="B316" s="7">
        <v>44986</v>
      </c>
      <c r="C316" s="8" t="s">
        <v>36</v>
      </c>
      <c r="D316" s="8" t="s">
        <v>30</v>
      </c>
      <c r="E316" s="9">
        <v>1083000</v>
      </c>
    </row>
    <row r="317" spans="1:5">
      <c r="A317" s="6" t="s">
        <v>23</v>
      </c>
      <c r="B317" s="7">
        <v>45078</v>
      </c>
      <c r="C317" s="8" t="s">
        <v>36</v>
      </c>
      <c r="D317" s="8" t="s">
        <v>30</v>
      </c>
      <c r="E317" s="9">
        <v>1095000</v>
      </c>
    </row>
    <row r="318" spans="1:5">
      <c r="A318" s="6" t="s">
        <v>24</v>
      </c>
      <c r="B318" s="7">
        <v>45170</v>
      </c>
      <c r="C318" s="8" t="s">
        <v>36</v>
      </c>
      <c r="D318" s="8" t="s">
        <v>30</v>
      </c>
      <c r="E318" s="9">
        <v>1119000</v>
      </c>
    </row>
    <row r="319" spans="1:5">
      <c r="A319" s="6" t="s">
        <v>25</v>
      </c>
      <c r="B319" s="7">
        <v>45261</v>
      </c>
      <c r="C319" s="8" t="s">
        <v>36</v>
      </c>
      <c r="D319" s="8" t="s">
        <v>30</v>
      </c>
      <c r="E319" s="9">
        <v>1132000</v>
      </c>
    </row>
    <row r="320" spans="1:5">
      <c r="A320" s="6" t="s">
        <v>26</v>
      </c>
      <c r="B320" s="7">
        <v>45352</v>
      </c>
      <c r="C320" s="8" t="s">
        <v>36</v>
      </c>
      <c r="D320" s="8" t="s">
        <v>30</v>
      </c>
      <c r="E320" s="9">
        <v>1122000</v>
      </c>
    </row>
    <row r="321" spans="1:5">
      <c r="A321" s="6" t="s">
        <v>27</v>
      </c>
      <c r="B321" s="7">
        <v>45444</v>
      </c>
      <c r="C321" s="8" t="s">
        <v>36</v>
      </c>
      <c r="D321" s="8" t="s">
        <v>30</v>
      </c>
      <c r="E321" s="9">
        <v>1057000</v>
      </c>
    </row>
    <row r="322" spans="1:5">
      <c r="A322" s="6" t="s">
        <v>28</v>
      </c>
      <c r="B322" s="7">
        <v>45536</v>
      </c>
      <c r="C322" s="8" t="s">
        <v>36</v>
      </c>
      <c r="D322" s="8" t="s">
        <v>30</v>
      </c>
      <c r="E322" s="9">
        <v>919000</v>
      </c>
    </row>
    <row r="323" spans="1:5">
      <c r="A323" s="6" t="s">
        <v>29</v>
      </c>
      <c r="B323" s="7">
        <v>45627</v>
      </c>
      <c r="C323" s="8" t="s">
        <v>36</v>
      </c>
      <c r="D323" s="8" t="s">
        <v>30</v>
      </c>
      <c r="E323" s="9">
        <v>766000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7F89-AB59-4CB6-8C68-35C515342CBB}">
  <dimension ref="A1:J253"/>
  <sheetViews>
    <sheetView workbookViewId="0">
      <selection activeCell="F2" sqref="F2"/>
    </sheetView>
  </sheetViews>
  <sheetFormatPr defaultColWidth="8.7109375" defaultRowHeight="12.6"/>
  <cols>
    <col min="1" max="1" width="13" style="4" customWidth="1"/>
    <col min="2" max="2" width="19.85546875" style="4" bestFit="1" customWidth="1"/>
    <col min="3" max="3" width="8.7109375" style="4"/>
    <col min="4" max="4" width="14.7109375" style="4" customWidth="1"/>
    <col min="5" max="5" width="8.85546875" style="4" bestFit="1" customWidth="1"/>
    <col min="6" max="6" width="19.42578125" style="4" customWidth="1"/>
    <col min="7" max="7" width="17" style="4" customWidth="1"/>
    <col min="8" max="8" width="15.85546875" style="4" customWidth="1"/>
    <col min="9" max="10" width="14.140625" style="4" customWidth="1"/>
    <col min="11" max="16384" width="8.7109375" style="4"/>
  </cols>
  <sheetData>
    <row r="1" spans="1:10" ht="12.95">
      <c r="A1" s="10" t="s">
        <v>37</v>
      </c>
      <c r="B1" s="10" t="s">
        <v>38</v>
      </c>
      <c r="C1" s="11" t="s">
        <v>39</v>
      </c>
      <c r="D1" s="12" t="s">
        <v>40</v>
      </c>
      <c r="E1" s="12" t="s">
        <v>41</v>
      </c>
      <c r="F1" s="26" t="s">
        <v>0</v>
      </c>
      <c r="G1" s="11" t="s">
        <v>36</v>
      </c>
      <c r="H1" s="11" t="s">
        <v>42</v>
      </c>
      <c r="I1" s="11" t="s">
        <v>43</v>
      </c>
      <c r="J1" s="11" t="s">
        <v>44</v>
      </c>
    </row>
    <row r="2" spans="1:10">
      <c r="A2" s="22" t="s">
        <v>45</v>
      </c>
      <c r="B2" s="22" t="s">
        <v>46</v>
      </c>
      <c r="C2" s="23" t="s">
        <v>47</v>
      </c>
      <c r="D2" s="13" t="s">
        <v>48</v>
      </c>
      <c r="E2" s="13">
        <v>2014</v>
      </c>
      <c r="F2" s="27" t="str">
        <f>D2&amp;" "&amp;E2</f>
        <v>July 2014</v>
      </c>
      <c r="G2" s="14">
        <v>28394400</v>
      </c>
      <c r="H2" s="14">
        <f>I2+J2</f>
        <v>3524200</v>
      </c>
      <c r="I2" s="14">
        <v>1839100</v>
      </c>
      <c r="J2" s="15">
        <v>1685100</v>
      </c>
    </row>
    <row r="3" spans="1:10">
      <c r="A3" s="22" t="s">
        <v>45</v>
      </c>
      <c r="B3" s="22" t="s">
        <v>46</v>
      </c>
      <c r="C3" s="23" t="s">
        <v>47</v>
      </c>
      <c r="D3" s="13" t="s">
        <v>49</v>
      </c>
      <c r="E3" s="13">
        <v>2014</v>
      </c>
      <c r="F3" s="27" t="str">
        <f t="shared" ref="F3:F66" si="0">D3&amp;" "&amp;E3</f>
        <v>August 2014</v>
      </c>
      <c r="G3" s="14">
        <v>28337300</v>
      </c>
      <c r="H3" s="14">
        <f t="shared" ref="H3:H66" si="1">I3+J3</f>
        <v>3520600</v>
      </c>
      <c r="I3" s="14">
        <v>1844100</v>
      </c>
      <c r="J3" s="15">
        <v>1676500</v>
      </c>
    </row>
    <row r="4" spans="1:10">
      <c r="A4" s="22" t="s">
        <v>45</v>
      </c>
      <c r="B4" s="22" t="s">
        <v>46</v>
      </c>
      <c r="C4" s="23" t="s">
        <v>47</v>
      </c>
      <c r="D4" s="13" t="s">
        <v>50</v>
      </c>
      <c r="E4" s="13">
        <v>2014</v>
      </c>
      <c r="F4" s="27" t="str">
        <f t="shared" si="0"/>
        <v>September 2014</v>
      </c>
      <c r="G4" s="14">
        <v>28430400</v>
      </c>
      <c r="H4" s="14">
        <f t="shared" si="1"/>
        <v>3554800</v>
      </c>
      <c r="I4" s="14">
        <v>1869400</v>
      </c>
      <c r="J4" s="15">
        <v>1685400</v>
      </c>
    </row>
    <row r="5" spans="1:10">
      <c r="A5" s="22" t="s">
        <v>45</v>
      </c>
      <c r="B5" s="22" t="s">
        <v>46</v>
      </c>
      <c r="C5" s="23" t="s">
        <v>47</v>
      </c>
      <c r="D5" s="13" t="s">
        <v>51</v>
      </c>
      <c r="E5" s="13">
        <v>2014</v>
      </c>
      <c r="F5" s="27" t="str">
        <f t="shared" si="0"/>
        <v>October 2014</v>
      </c>
      <c r="G5" s="14">
        <v>28455700</v>
      </c>
      <c r="H5" s="14">
        <f t="shared" si="1"/>
        <v>3589300</v>
      </c>
      <c r="I5" s="14">
        <v>1896000</v>
      </c>
      <c r="J5" s="15">
        <v>1693300</v>
      </c>
    </row>
    <row r="6" spans="1:10">
      <c r="A6" s="22" t="s">
        <v>45</v>
      </c>
      <c r="B6" s="22" t="s">
        <v>46</v>
      </c>
      <c r="C6" s="23" t="s">
        <v>47</v>
      </c>
      <c r="D6" s="13" t="s">
        <v>52</v>
      </c>
      <c r="E6" s="13">
        <v>2014</v>
      </c>
      <c r="F6" s="27" t="str">
        <f t="shared" si="0"/>
        <v>November 2014</v>
      </c>
      <c r="G6" s="14">
        <v>28694800</v>
      </c>
      <c r="H6" s="14">
        <f t="shared" si="1"/>
        <v>3643100</v>
      </c>
      <c r="I6" s="14">
        <v>1935400</v>
      </c>
      <c r="J6" s="15">
        <v>1707700</v>
      </c>
    </row>
    <row r="7" spans="1:10">
      <c r="A7" s="22" t="s">
        <v>45</v>
      </c>
      <c r="B7" s="22" t="s">
        <v>46</v>
      </c>
      <c r="C7" s="23" t="s">
        <v>47</v>
      </c>
      <c r="D7" s="13" t="s">
        <v>53</v>
      </c>
      <c r="E7" s="13">
        <v>2014</v>
      </c>
      <c r="F7" s="27" t="str">
        <f t="shared" si="0"/>
        <v>December 2014</v>
      </c>
      <c r="G7" s="14">
        <v>28479800</v>
      </c>
      <c r="H7" s="14">
        <f t="shared" si="1"/>
        <v>3623900</v>
      </c>
      <c r="I7" s="14">
        <v>1926100</v>
      </c>
      <c r="J7" s="15">
        <v>1697800</v>
      </c>
    </row>
    <row r="8" spans="1:10">
      <c r="A8" s="22" t="s">
        <v>45</v>
      </c>
      <c r="B8" s="22" t="s">
        <v>46</v>
      </c>
      <c r="C8" s="23" t="s">
        <v>47</v>
      </c>
      <c r="D8" s="13" t="s">
        <v>54</v>
      </c>
      <c r="E8" s="13">
        <v>2015</v>
      </c>
      <c r="F8" s="27" t="str">
        <f t="shared" si="0"/>
        <v>January 2015</v>
      </c>
      <c r="G8" s="14">
        <v>28418500</v>
      </c>
      <c r="H8" s="14">
        <f t="shared" si="1"/>
        <v>3604000</v>
      </c>
      <c r="I8" s="14">
        <v>1915700</v>
      </c>
      <c r="J8" s="15">
        <v>1688300</v>
      </c>
    </row>
    <row r="9" spans="1:10">
      <c r="A9" s="22" t="s">
        <v>45</v>
      </c>
      <c r="B9" s="22" t="s">
        <v>46</v>
      </c>
      <c r="C9" s="23" t="s">
        <v>47</v>
      </c>
      <c r="D9" s="13" t="s">
        <v>55</v>
      </c>
      <c r="E9" s="13">
        <v>2015</v>
      </c>
      <c r="F9" s="27" t="str">
        <f t="shared" si="0"/>
        <v>February 2015</v>
      </c>
      <c r="G9" s="14">
        <v>28477200</v>
      </c>
      <c r="H9" s="14">
        <f t="shared" si="1"/>
        <v>3651500</v>
      </c>
      <c r="I9" s="14">
        <v>1953900</v>
      </c>
      <c r="J9" s="15">
        <v>1697600</v>
      </c>
    </row>
    <row r="10" spans="1:10">
      <c r="A10" s="22" t="s">
        <v>45</v>
      </c>
      <c r="B10" s="22" t="s">
        <v>46</v>
      </c>
      <c r="C10" s="23" t="s">
        <v>47</v>
      </c>
      <c r="D10" s="13" t="s">
        <v>56</v>
      </c>
      <c r="E10" s="13">
        <v>2015</v>
      </c>
      <c r="F10" s="27" t="str">
        <f t="shared" si="0"/>
        <v>March 2015</v>
      </c>
      <c r="G10" s="14">
        <v>28644500</v>
      </c>
      <c r="H10" s="14">
        <f t="shared" si="1"/>
        <v>3703200</v>
      </c>
      <c r="I10" s="14">
        <v>1995100</v>
      </c>
      <c r="J10" s="15">
        <v>1708100</v>
      </c>
    </row>
    <row r="11" spans="1:10">
      <c r="A11" s="22" t="s">
        <v>45</v>
      </c>
      <c r="B11" s="22" t="s">
        <v>46</v>
      </c>
      <c r="C11" s="23" t="s">
        <v>47</v>
      </c>
      <c r="D11" s="13" t="s">
        <v>57</v>
      </c>
      <c r="E11" s="13">
        <v>2015</v>
      </c>
      <c r="F11" s="27" t="str">
        <f t="shared" si="0"/>
        <v>April 2015</v>
      </c>
      <c r="G11" s="14">
        <v>28738200</v>
      </c>
      <c r="H11" s="14">
        <f t="shared" si="1"/>
        <v>3741400</v>
      </c>
      <c r="I11" s="14">
        <v>2027100</v>
      </c>
      <c r="J11" s="15">
        <v>1714300</v>
      </c>
    </row>
    <row r="12" spans="1:10">
      <c r="A12" s="22" t="s">
        <v>45</v>
      </c>
      <c r="B12" s="22" t="s">
        <v>46</v>
      </c>
      <c r="C12" s="23" t="s">
        <v>47</v>
      </c>
      <c r="D12" s="13" t="s">
        <v>58</v>
      </c>
      <c r="E12" s="13">
        <v>2015</v>
      </c>
      <c r="F12" s="27" t="str">
        <f t="shared" si="0"/>
        <v>May 2015</v>
      </c>
      <c r="G12" s="14">
        <v>28911100</v>
      </c>
      <c r="H12" s="14">
        <f t="shared" si="1"/>
        <v>3793800</v>
      </c>
      <c r="I12" s="14">
        <v>2065100</v>
      </c>
      <c r="J12" s="15">
        <v>1728700</v>
      </c>
    </row>
    <row r="13" spans="1:10">
      <c r="A13" s="22" t="s">
        <v>45</v>
      </c>
      <c r="B13" s="22" t="s">
        <v>46</v>
      </c>
      <c r="C13" s="23" t="s">
        <v>47</v>
      </c>
      <c r="D13" s="13" t="s">
        <v>59</v>
      </c>
      <c r="E13" s="13">
        <v>2015</v>
      </c>
      <c r="F13" s="27" t="str">
        <f t="shared" si="0"/>
        <v>June 2015</v>
      </c>
      <c r="G13" s="14">
        <v>29097300</v>
      </c>
      <c r="H13" s="14">
        <f t="shared" si="1"/>
        <v>3847800</v>
      </c>
      <c r="I13" s="14">
        <v>2106300</v>
      </c>
      <c r="J13" s="15">
        <v>1741500</v>
      </c>
    </row>
    <row r="14" spans="1:10">
      <c r="A14" s="22" t="s">
        <v>45</v>
      </c>
      <c r="B14" s="22" t="s">
        <v>46</v>
      </c>
      <c r="C14" s="23" t="s">
        <v>47</v>
      </c>
      <c r="D14" s="13" t="s">
        <v>48</v>
      </c>
      <c r="E14" s="13">
        <v>2015</v>
      </c>
      <c r="F14" s="27" t="str">
        <f t="shared" si="0"/>
        <v>July 2015</v>
      </c>
      <c r="G14" s="14">
        <v>29194500</v>
      </c>
      <c r="H14" s="14">
        <f t="shared" si="1"/>
        <v>3874000</v>
      </c>
      <c r="I14" s="14">
        <v>2132200</v>
      </c>
      <c r="J14" s="15">
        <v>1741800</v>
      </c>
    </row>
    <row r="15" spans="1:10">
      <c r="A15" s="22" t="s">
        <v>45</v>
      </c>
      <c r="B15" s="22" t="s">
        <v>46</v>
      </c>
      <c r="C15" s="23" t="s">
        <v>47</v>
      </c>
      <c r="D15" s="13" t="s">
        <v>49</v>
      </c>
      <c r="E15" s="13">
        <v>2015</v>
      </c>
      <c r="F15" s="27" t="str">
        <f t="shared" si="0"/>
        <v>August 2015</v>
      </c>
      <c r="G15" s="14">
        <v>29089800</v>
      </c>
      <c r="H15" s="14">
        <f t="shared" si="1"/>
        <v>3865200</v>
      </c>
      <c r="I15" s="14">
        <v>2132500</v>
      </c>
      <c r="J15" s="15">
        <v>1732700</v>
      </c>
    </row>
    <row r="16" spans="1:10">
      <c r="A16" s="22" t="s">
        <v>45</v>
      </c>
      <c r="B16" s="22" t="s">
        <v>46</v>
      </c>
      <c r="C16" s="23" t="s">
        <v>47</v>
      </c>
      <c r="D16" s="13" t="s">
        <v>50</v>
      </c>
      <c r="E16" s="13">
        <v>2015</v>
      </c>
      <c r="F16" s="27" t="str">
        <f t="shared" si="0"/>
        <v>September 2015</v>
      </c>
      <c r="G16" s="14">
        <v>29181100</v>
      </c>
      <c r="H16" s="14">
        <f t="shared" si="1"/>
        <v>3909100</v>
      </c>
      <c r="I16" s="14">
        <v>2161400</v>
      </c>
      <c r="J16" s="15">
        <v>1747700</v>
      </c>
    </row>
    <row r="17" spans="1:10">
      <c r="A17" s="22" t="s">
        <v>45</v>
      </c>
      <c r="B17" s="22" t="s">
        <v>46</v>
      </c>
      <c r="C17" s="23" t="s">
        <v>47</v>
      </c>
      <c r="D17" s="13" t="s">
        <v>51</v>
      </c>
      <c r="E17" s="13">
        <v>2015</v>
      </c>
      <c r="F17" s="27" t="str">
        <f t="shared" si="0"/>
        <v>October 2015</v>
      </c>
      <c r="G17" s="14">
        <v>29263300</v>
      </c>
      <c r="H17" s="14">
        <f t="shared" si="1"/>
        <v>3956000</v>
      </c>
      <c r="I17" s="14">
        <v>2195800</v>
      </c>
      <c r="J17" s="15">
        <v>1760200</v>
      </c>
    </row>
    <row r="18" spans="1:10">
      <c r="A18" s="22" t="s">
        <v>45</v>
      </c>
      <c r="B18" s="22" t="s">
        <v>46</v>
      </c>
      <c r="C18" s="23" t="s">
        <v>47</v>
      </c>
      <c r="D18" s="13" t="s">
        <v>52</v>
      </c>
      <c r="E18" s="13">
        <v>2015</v>
      </c>
      <c r="F18" s="27" t="str">
        <f t="shared" si="0"/>
        <v>November 2015</v>
      </c>
      <c r="G18" s="14">
        <v>29440000</v>
      </c>
      <c r="H18" s="14">
        <f t="shared" si="1"/>
        <v>3999400</v>
      </c>
      <c r="I18" s="14">
        <v>2228700</v>
      </c>
      <c r="J18" s="15">
        <v>1770700</v>
      </c>
    </row>
    <row r="19" spans="1:10">
      <c r="A19" s="22" t="s">
        <v>45</v>
      </c>
      <c r="B19" s="22" t="s">
        <v>46</v>
      </c>
      <c r="C19" s="23" t="s">
        <v>47</v>
      </c>
      <c r="D19" s="13" t="s">
        <v>53</v>
      </c>
      <c r="E19" s="13">
        <v>2015</v>
      </c>
      <c r="F19" s="27" t="str">
        <f t="shared" si="0"/>
        <v>December 2015</v>
      </c>
      <c r="G19" s="14">
        <v>29190800</v>
      </c>
      <c r="H19" s="14">
        <f t="shared" si="1"/>
        <v>3971900</v>
      </c>
      <c r="I19" s="14">
        <v>2212800</v>
      </c>
      <c r="J19" s="15">
        <v>1759100</v>
      </c>
    </row>
    <row r="20" spans="1:10">
      <c r="A20" s="22" t="s">
        <v>45</v>
      </c>
      <c r="B20" s="22" t="s">
        <v>46</v>
      </c>
      <c r="C20" s="23" t="s">
        <v>47</v>
      </c>
      <c r="D20" s="13" t="s">
        <v>54</v>
      </c>
      <c r="E20" s="13">
        <v>2016</v>
      </c>
      <c r="F20" s="27" t="str">
        <f t="shared" si="0"/>
        <v>January 2016</v>
      </c>
      <c r="G20" s="14">
        <v>29034200</v>
      </c>
      <c r="H20" s="14">
        <f t="shared" si="1"/>
        <v>3936700</v>
      </c>
      <c r="I20" s="14">
        <v>2187100</v>
      </c>
      <c r="J20" s="15">
        <v>1749600</v>
      </c>
    </row>
    <row r="21" spans="1:10">
      <c r="A21" s="22" t="s">
        <v>45</v>
      </c>
      <c r="B21" s="22" t="s">
        <v>46</v>
      </c>
      <c r="C21" s="23" t="s">
        <v>47</v>
      </c>
      <c r="D21" s="13" t="s">
        <v>55</v>
      </c>
      <c r="E21" s="13">
        <v>2016</v>
      </c>
      <c r="F21" s="27" t="str">
        <f t="shared" si="0"/>
        <v>February 2016</v>
      </c>
      <c r="G21" s="14">
        <v>29061300</v>
      </c>
      <c r="H21" s="14">
        <f t="shared" si="1"/>
        <v>3980400</v>
      </c>
      <c r="I21" s="14">
        <v>2221900</v>
      </c>
      <c r="J21" s="15">
        <v>1758500</v>
      </c>
    </row>
    <row r="22" spans="1:10">
      <c r="A22" s="22" t="s">
        <v>45</v>
      </c>
      <c r="B22" s="22" t="s">
        <v>46</v>
      </c>
      <c r="C22" s="23" t="s">
        <v>47</v>
      </c>
      <c r="D22" s="13" t="s">
        <v>56</v>
      </c>
      <c r="E22" s="13">
        <v>2016</v>
      </c>
      <c r="F22" s="27" t="str">
        <f t="shared" si="0"/>
        <v>March 2016</v>
      </c>
      <c r="G22" s="14">
        <v>29156900</v>
      </c>
      <c r="H22" s="14">
        <f t="shared" si="1"/>
        <v>4019200</v>
      </c>
      <c r="I22" s="14">
        <v>2254400</v>
      </c>
      <c r="J22" s="15">
        <v>1764800</v>
      </c>
    </row>
    <row r="23" spans="1:10">
      <c r="A23" s="22" t="s">
        <v>45</v>
      </c>
      <c r="B23" s="22" t="s">
        <v>46</v>
      </c>
      <c r="C23" s="23" t="s">
        <v>47</v>
      </c>
      <c r="D23" s="13" t="s">
        <v>57</v>
      </c>
      <c r="E23" s="13">
        <v>2016</v>
      </c>
      <c r="F23" s="27" t="str">
        <f t="shared" si="0"/>
        <v>April 2016</v>
      </c>
      <c r="G23" s="14">
        <v>29230300</v>
      </c>
      <c r="H23" s="14">
        <f t="shared" si="1"/>
        <v>4042000</v>
      </c>
      <c r="I23" s="14">
        <v>2276700</v>
      </c>
      <c r="J23" s="15">
        <v>1765300</v>
      </c>
    </row>
    <row r="24" spans="1:10">
      <c r="A24" s="22" t="s">
        <v>45</v>
      </c>
      <c r="B24" s="22" t="s">
        <v>46</v>
      </c>
      <c r="C24" s="23" t="s">
        <v>47</v>
      </c>
      <c r="D24" s="13" t="s">
        <v>58</v>
      </c>
      <c r="E24" s="13">
        <v>2016</v>
      </c>
      <c r="F24" s="27" t="str">
        <f t="shared" si="0"/>
        <v>May 2016</v>
      </c>
      <c r="G24" s="14">
        <v>29388700</v>
      </c>
      <c r="H24" s="14">
        <f t="shared" si="1"/>
        <v>4090000</v>
      </c>
      <c r="I24" s="14">
        <v>2312600</v>
      </c>
      <c r="J24" s="15">
        <v>1777400</v>
      </c>
    </row>
    <row r="25" spans="1:10">
      <c r="A25" s="22" t="s">
        <v>45</v>
      </c>
      <c r="B25" s="22" t="s">
        <v>46</v>
      </c>
      <c r="C25" s="23" t="s">
        <v>47</v>
      </c>
      <c r="D25" s="13" t="s">
        <v>59</v>
      </c>
      <c r="E25" s="13">
        <v>2016</v>
      </c>
      <c r="F25" s="27" t="str">
        <f t="shared" si="0"/>
        <v>June 2016</v>
      </c>
      <c r="G25" s="14">
        <v>29604100</v>
      </c>
      <c r="H25" s="14">
        <f t="shared" si="1"/>
        <v>4139200</v>
      </c>
      <c r="I25" s="14">
        <v>2349600</v>
      </c>
      <c r="J25" s="15">
        <v>1789600</v>
      </c>
    </row>
    <row r="26" spans="1:10">
      <c r="A26" s="22" t="s">
        <v>45</v>
      </c>
      <c r="B26" s="22" t="s">
        <v>46</v>
      </c>
      <c r="C26" s="23" t="s">
        <v>47</v>
      </c>
      <c r="D26" s="13" t="s">
        <v>48</v>
      </c>
      <c r="E26" s="13">
        <v>2016</v>
      </c>
      <c r="F26" s="27" t="str">
        <f t="shared" si="0"/>
        <v>July 2016</v>
      </c>
      <c r="G26" s="14">
        <v>29704300</v>
      </c>
      <c r="H26" s="14">
        <f t="shared" si="1"/>
        <v>4154600</v>
      </c>
      <c r="I26" s="14">
        <v>2365500</v>
      </c>
      <c r="J26" s="15">
        <v>1789100</v>
      </c>
    </row>
    <row r="27" spans="1:10">
      <c r="A27" s="22" t="s">
        <v>45</v>
      </c>
      <c r="B27" s="22" t="s">
        <v>46</v>
      </c>
      <c r="C27" s="23" t="s">
        <v>47</v>
      </c>
      <c r="D27" s="13" t="s">
        <v>49</v>
      </c>
      <c r="E27" s="13">
        <v>2016</v>
      </c>
      <c r="F27" s="27" t="str">
        <f t="shared" si="0"/>
        <v>August 2016</v>
      </c>
      <c r="G27" s="14">
        <v>29498000</v>
      </c>
      <c r="H27" s="14">
        <f t="shared" si="1"/>
        <v>4134300</v>
      </c>
      <c r="I27" s="14">
        <v>2356800</v>
      </c>
      <c r="J27" s="15">
        <v>1777500</v>
      </c>
    </row>
    <row r="28" spans="1:10">
      <c r="A28" s="22" t="s">
        <v>45</v>
      </c>
      <c r="B28" s="22" t="s">
        <v>46</v>
      </c>
      <c r="C28" s="23" t="s">
        <v>47</v>
      </c>
      <c r="D28" s="13" t="s">
        <v>50</v>
      </c>
      <c r="E28" s="13">
        <v>2016</v>
      </c>
      <c r="F28" s="27" t="str">
        <f t="shared" si="0"/>
        <v>September 2016</v>
      </c>
      <c r="G28" s="14">
        <v>29574900</v>
      </c>
      <c r="H28" s="14">
        <f t="shared" si="1"/>
        <v>4169700</v>
      </c>
      <c r="I28" s="14">
        <v>2377700</v>
      </c>
      <c r="J28" s="15">
        <v>1792000</v>
      </c>
    </row>
    <row r="29" spans="1:10">
      <c r="A29" s="22" t="s">
        <v>45</v>
      </c>
      <c r="B29" s="22" t="s">
        <v>46</v>
      </c>
      <c r="C29" s="23" t="s">
        <v>47</v>
      </c>
      <c r="D29" s="13" t="s">
        <v>51</v>
      </c>
      <c r="E29" s="13">
        <v>2016</v>
      </c>
      <c r="F29" s="27" t="str">
        <f t="shared" si="0"/>
        <v>October 2016</v>
      </c>
      <c r="G29" s="14">
        <v>29616400</v>
      </c>
      <c r="H29" s="14">
        <f t="shared" si="1"/>
        <v>4204300</v>
      </c>
      <c r="I29" s="14">
        <v>2398800</v>
      </c>
      <c r="J29" s="15">
        <v>1805500</v>
      </c>
    </row>
    <row r="30" spans="1:10">
      <c r="A30" s="22" t="s">
        <v>45</v>
      </c>
      <c r="B30" s="22" t="s">
        <v>46</v>
      </c>
      <c r="C30" s="23" t="s">
        <v>47</v>
      </c>
      <c r="D30" s="13" t="s">
        <v>52</v>
      </c>
      <c r="E30" s="13">
        <v>2016</v>
      </c>
      <c r="F30" s="27" t="str">
        <f t="shared" si="0"/>
        <v>November 2016</v>
      </c>
      <c r="G30" s="14">
        <v>29788900</v>
      </c>
      <c r="H30" s="14">
        <f t="shared" si="1"/>
        <v>4244600</v>
      </c>
      <c r="I30" s="14">
        <v>2424400</v>
      </c>
      <c r="J30" s="15">
        <v>1820200</v>
      </c>
    </row>
    <row r="31" spans="1:10">
      <c r="A31" s="22" t="s">
        <v>45</v>
      </c>
      <c r="B31" s="22" t="s">
        <v>46</v>
      </c>
      <c r="C31" s="23" t="s">
        <v>47</v>
      </c>
      <c r="D31" s="13" t="s">
        <v>53</v>
      </c>
      <c r="E31" s="13">
        <v>2016</v>
      </c>
      <c r="F31" s="27" t="str">
        <f t="shared" si="0"/>
        <v>December 2016</v>
      </c>
      <c r="G31" s="14">
        <v>29606800</v>
      </c>
      <c r="H31" s="14">
        <f t="shared" si="1"/>
        <v>4218500</v>
      </c>
      <c r="I31" s="14">
        <v>2405900</v>
      </c>
      <c r="J31" s="15">
        <v>1812600</v>
      </c>
    </row>
    <row r="32" spans="1:10">
      <c r="A32" s="22" t="s">
        <v>45</v>
      </c>
      <c r="B32" s="22" t="s">
        <v>46</v>
      </c>
      <c r="C32" s="23" t="s">
        <v>47</v>
      </c>
      <c r="D32" s="13" t="s">
        <v>54</v>
      </c>
      <c r="E32" s="13">
        <v>2017</v>
      </c>
      <c r="F32" s="27" t="str">
        <f t="shared" si="0"/>
        <v>January 2017</v>
      </c>
      <c r="G32" s="14">
        <v>29384300</v>
      </c>
      <c r="H32" s="14">
        <f t="shared" si="1"/>
        <v>4168800</v>
      </c>
      <c r="I32" s="14">
        <v>2368400</v>
      </c>
      <c r="J32" s="15">
        <v>1800400</v>
      </c>
    </row>
    <row r="33" spans="1:10">
      <c r="A33" s="22" t="s">
        <v>45</v>
      </c>
      <c r="B33" s="22" t="s">
        <v>46</v>
      </c>
      <c r="C33" s="23" t="s">
        <v>47</v>
      </c>
      <c r="D33" s="13" t="s">
        <v>55</v>
      </c>
      <c r="E33" s="13">
        <v>2017</v>
      </c>
      <c r="F33" s="27" t="str">
        <f t="shared" si="0"/>
        <v>February 2017</v>
      </c>
      <c r="G33" s="14">
        <v>29435800</v>
      </c>
      <c r="H33" s="14">
        <f t="shared" si="1"/>
        <v>4208100</v>
      </c>
      <c r="I33" s="14">
        <v>2401300</v>
      </c>
      <c r="J33" s="15">
        <v>1806800</v>
      </c>
    </row>
    <row r="34" spans="1:10">
      <c r="A34" s="22" t="s">
        <v>45</v>
      </c>
      <c r="B34" s="22" t="s">
        <v>46</v>
      </c>
      <c r="C34" s="23" t="s">
        <v>47</v>
      </c>
      <c r="D34" s="13" t="s">
        <v>56</v>
      </c>
      <c r="E34" s="13">
        <v>2017</v>
      </c>
      <c r="F34" s="27" t="str">
        <f t="shared" si="0"/>
        <v>March 2017</v>
      </c>
      <c r="G34" s="14">
        <v>29579800</v>
      </c>
      <c r="H34" s="14">
        <f t="shared" si="1"/>
        <v>4253100</v>
      </c>
      <c r="I34" s="14">
        <v>2436000</v>
      </c>
      <c r="J34" s="15">
        <v>1817100</v>
      </c>
    </row>
    <row r="35" spans="1:10">
      <c r="A35" s="22" t="s">
        <v>45</v>
      </c>
      <c r="B35" s="22" t="s">
        <v>46</v>
      </c>
      <c r="C35" s="23" t="s">
        <v>47</v>
      </c>
      <c r="D35" s="13" t="s">
        <v>57</v>
      </c>
      <c r="E35" s="13">
        <v>2017</v>
      </c>
      <c r="F35" s="27" t="str">
        <f t="shared" si="0"/>
        <v>April 2017</v>
      </c>
      <c r="G35" s="14">
        <v>29654000</v>
      </c>
      <c r="H35" s="14">
        <f t="shared" si="1"/>
        <v>4278200</v>
      </c>
      <c r="I35" s="14">
        <v>2451400</v>
      </c>
      <c r="J35" s="15">
        <v>1826800</v>
      </c>
    </row>
    <row r="36" spans="1:10">
      <c r="A36" s="22" t="s">
        <v>45</v>
      </c>
      <c r="B36" s="22" t="s">
        <v>46</v>
      </c>
      <c r="C36" s="23" t="s">
        <v>47</v>
      </c>
      <c r="D36" s="13" t="s">
        <v>58</v>
      </c>
      <c r="E36" s="13">
        <v>2017</v>
      </c>
      <c r="F36" s="27" t="str">
        <f t="shared" si="0"/>
        <v>May 2017</v>
      </c>
      <c r="G36" s="14">
        <v>29806800</v>
      </c>
      <c r="H36" s="14">
        <f t="shared" si="1"/>
        <v>4320600</v>
      </c>
      <c r="I36" s="14">
        <v>2475400</v>
      </c>
      <c r="J36" s="15">
        <v>1845200</v>
      </c>
    </row>
    <row r="37" spans="1:10">
      <c r="A37" s="22" t="s">
        <v>45</v>
      </c>
      <c r="B37" s="22" t="s">
        <v>46</v>
      </c>
      <c r="C37" s="23" t="s">
        <v>47</v>
      </c>
      <c r="D37" s="13" t="s">
        <v>59</v>
      </c>
      <c r="E37" s="13">
        <v>2017</v>
      </c>
      <c r="F37" s="27" t="str">
        <f t="shared" si="0"/>
        <v>June 2017</v>
      </c>
      <c r="G37" s="14">
        <v>30011800</v>
      </c>
      <c r="H37" s="14">
        <f t="shared" si="1"/>
        <v>4360500</v>
      </c>
      <c r="I37" s="14">
        <v>2502500</v>
      </c>
      <c r="J37" s="15">
        <v>1858000</v>
      </c>
    </row>
    <row r="38" spans="1:10">
      <c r="A38" s="22" t="s">
        <v>45</v>
      </c>
      <c r="B38" s="22" t="s">
        <v>46</v>
      </c>
      <c r="C38" s="23" t="s">
        <v>47</v>
      </c>
      <c r="D38" s="13" t="s">
        <v>48</v>
      </c>
      <c r="E38" s="13">
        <v>2017</v>
      </c>
      <c r="F38" s="27" t="str">
        <f t="shared" si="0"/>
        <v>July 2017</v>
      </c>
      <c r="G38" s="14">
        <v>30065700</v>
      </c>
      <c r="H38" s="14">
        <f t="shared" si="1"/>
        <v>4363600</v>
      </c>
      <c r="I38" s="14">
        <v>2504700</v>
      </c>
      <c r="J38" s="15">
        <v>1858900</v>
      </c>
    </row>
    <row r="39" spans="1:10">
      <c r="A39" s="22" t="s">
        <v>45</v>
      </c>
      <c r="B39" s="22" t="s">
        <v>46</v>
      </c>
      <c r="C39" s="23" t="s">
        <v>47</v>
      </c>
      <c r="D39" s="13" t="s">
        <v>49</v>
      </c>
      <c r="E39" s="13">
        <v>2017</v>
      </c>
      <c r="F39" s="27" t="str">
        <f t="shared" si="0"/>
        <v>August 2017</v>
      </c>
      <c r="G39" s="14">
        <v>29937200</v>
      </c>
      <c r="H39" s="14">
        <f t="shared" si="1"/>
        <v>4333400</v>
      </c>
      <c r="I39" s="14">
        <v>2485300</v>
      </c>
      <c r="J39" s="15">
        <v>1848100</v>
      </c>
    </row>
    <row r="40" spans="1:10">
      <c r="A40" s="22" t="s">
        <v>45</v>
      </c>
      <c r="B40" s="22" t="s">
        <v>46</v>
      </c>
      <c r="C40" s="23" t="s">
        <v>47</v>
      </c>
      <c r="D40" s="13" t="s">
        <v>50</v>
      </c>
      <c r="E40" s="13">
        <v>2017</v>
      </c>
      <c r="F40" s="27" t="str">
        <f t="shared" si="0"/>
        <v>September 2017</v>
      </c>
      <c r="G40" s="14">
        <v>30025000</v>
      </c>
      <c r="H40" s="14">
        <f t="shared" si="1"/>
        <v>4362700</v>
      </c>
      <c r="I40" s="14">
        <v>2500200</v>
      </c>
      <c r="J40" s="15">
        <v>1862500</v>
      </c>
    </row>
    <row r="41" spans="1:10">
      <c r="A41" s="22" t="s">
        <v>45</v>
      </c>
      <c r="B41" s="22" t="s">
        <v>46</v>
      </c>
      <c r="C41" s="23" t="s">
        <v>47</v>
      </c>
      <c r="D41" s="13" t="s">
        <v>51</v>
      </c>
      <c r="E41" s="13">
        <v>2017</v>
      </c>
      <c r="F41" s="27" t="str">
        <f t="shared" si="0"/>
        <v>October 2017</v>
      </c>
      <c r="G41" s="14">
        <v>30070800</v>
      </c>
      <c r="H41" s="14">
        <f t="shared" si="1"/>
        <v>4402900</v>
      </c>
      <c r="I41" s="14">
        <v>2524200</v>
      </c>
      <c r="J41" s="15">
        <v>1878700</v>
      </c>
    </row>
    <row r="42" spans="1:10">
      <c r="A42" s="22" t="s">
        <v>45</v>
      </c>
      <c r="B42" s="22" t="s">
        <v>46</v>
      </c>
      <c r="C42" s="23" t="s">
        <v>47</v>
      </c>
      <c r="D42" s="13" t="s">
        <v>52</v>
      </c>
      <c r="E42" s="13">
        <v>2017</v>
      </c>
      <c r="F42" s="27" t="str">
        <f t="shared" si="0"/>
        <v>November 2017</v>
      </c>
      <c r="G42" s="14">
        <v>30235800</v>
      </c>
      <c r="H42" s="14">
        <f t="shared" si="1"/>
        <v>4442200</v>
      </c>
      <c r="I42" s="14">
        <v>2547300</v>
      </c>
      <c r="J42" s="15">
        <v>1894900</v>
      </c>
    </row>
    <row r="43" spans="1:10">
      <c r="A43" s="22" t="s">
        <v>45</v>
      </c>
      <c r="B43" s="22" t="s">
        <v>46</v>
      </c>
      <c r="C43" s="23" t="s">
        <v>47</v>
      </c>
      <c r="D43" s="13" t="s">
        <v>53</v>
      </c>
      <c r="E43" s="13">
        <v>2017</v>
      </c>
      <c r="F43" s="27" t="str">
        <f t="shared" si="0"/>
        <v>December 2017</v>
      </c>
      <c r="G43" s="14">
        <v>30037500</v>
      </c>
      <c r="H43" s="14">
        <f t="shared" si="1"/>
        <v>4406300</v>
      </c>
      <c r="I43" s="14">
        <v>2520700</v>
      </c>
      <c r="J43" s="15">
        <v>1885600</v>
      </c>
    </row>
    <row r="44" spans="1:10">
      <c r="A44" s="22" t="s">
        <v>45</v>
      </c>
      <c r="B44" s="22" t="s">
        <v>46</v>
      </c>
      <c r="C44" s="23" t="s">
        <v>47</v>
      </c>
      <c r="D44" s="13" t="s">
        <v>54</v>
      </c>
      <c r="E44" s="13">
        <v>2018</v>
      </c>
      <c r="F44" s="27" t="str">
        <f t="shared" si="0"/>
        <v>January 2018</v>
      </c>
      <c r="G44" s="14">
        <v>29831800</v>
      </c>
      <c r="H44" s="14">
        <f t="shared" si="1"/>
        <v>4360800</v>
      </c>
      <c r="I44" s="14">
        <v>2482700</v>
      </c>
      <c r="J44" s="15">
        <v>1878100</v>
      </c>
    </row>
    <row r="45" spans="1:10">
      <c r="A45" s="22" t="s">
        <v>45</v>
      </c>
      <c r="B45" s="22" t="s">
        <v>46</v>
      </c>
      <c r="C45" s="23" t="s">
        <v>47</v>
      </c>
      <c r="D45" s="13" t="s">
        <v>55</v>
      </c>
      <c r="E45" s="13">
        <v>2018</v>
      </c>
      <c r="F45" s="27" t="str">
        <f t="shared" si="0"/>
        <v>February 2018</v>
      </c>
      <c r="G45" s="14">
        <v>29845200</v>
      </c>
      <c r="H45" s="14">
        <f t="shared" si="1"/>
        <v>4391900</v>
      </c>
      <c r="I45" s="14">
        <v>2506600</v>
      </c>
      <c r="J45" s="15">
        <v>1885300</v>
      </c>
    </row>
    <row r="46" spans="1:10">
      <c r="A46" s="22" t="s">
        <v>45</v>
      </c>
      <c r="B46" s="22" t="s">
        <v>46</v>
      </c>
      <c r="C46" s="23" t="s">
        <v>47</v>
      </c>
      <c r="D46" s="13" t="s">
        <v>56</v>
      </c>
      <c r="E46" s="13">
        <v>2018</v>
      </c>
      <c r="F46" s="27" t="str">
        <f t="shared" si="0"/>
        <v>March 2018</v>
      </c>
      <c r="G46" s="14">
        <v>29906200</v>
      </c>
      <c r="H46" s="14">
        <f t="shared" si="1"/>
        <v>4418100</v>
      </c>
      <c r="I46" s="14">
        <v>2525500</v>
      </c>
      <c r="J46" s="15">
        <v>1892600</v>
      </c>
    </row>
    <row r="47" spans="1:10">
      <c r="A47" s="22" t="s">
        <v>45</v>
      </c>
      <c r="B47" s="22" t="s">
        <v>46</v>
      </c>
      <c r="C47" s="23" t="s">
        <v>47</v>
      </c>
      <c r="D47" s="13" t="s">
        <v>57</v>
      </c>
      <c r="E47" s="13">
        <v>2018</v>
      </c>
      <c r="F47" s="27" t="str">
        <f t="shared" si="0"/>
        <v>April 2018</v>
      </c>
      <c r="G47" s="14">
        <v>30041000</v>
      </c>
      <c r="H47" s="14">
        <f t="shared" si="1"/>
        <v>4449500</v>
      </c>
      <c r="I47" s="14">
        <v>2545000</v>
      </c>
      <c r="J47" s="15">
        <v>1904500</v>
      </c>
    </row>
    <row r="48" spans="1:10">
      <c r="A48" s="22" t="s">
        <v>45</v>
      </c>
      <c r="B48" s="22" t="s">
        <v>46</v>
      </c>
      <c r="C48" s="23" t="s">
        <v>47</v>
      </c>
      <c r="D48" s="13" t="s">
        <v>58</v>
      </c>
      <c r="E48" s="13">
        <v>2018</v>
      </c>
      <c r="F48" s="27" t="str">
        <f t="shared" si="0"/>
        <v>May 2018</v>
      </c>
      <c r="G48" s="14">
        <v>30139900</v>
      </c>
      <c r="H48" s="14">
        <f t="shared" si="1"/>
        <v>4484100</v>
      </c>
      <c r="I48" s="14">
        <v>2565400</v>
      </c>
      <c r="J48" s="15">
        <v>1918700</v>
      </c>
    </row>
    <row r="49" spans="1:10">
      <c r="A49" s="22" t="s">
        <v>45</v>
      </c>
      <c r="B49" s="22" t="s">
        <v>46</v>
      </c>
      <c r="C49" s="23" t="s">
        <v>47</v>
      </c>
      <c r="D49" s="13" t="s">
        <v>59</v>
      </c>
      <c r="E49" s="13">
        <v>2018</v>
      </c>
      <c r="F49" s="27" t="str">
        <f t="shared" si="0"/>
        <v>June 2018</v>
      </c>
      <c r="G49" s="14">
        <v>30293500</v>
      </c>
      <c r="H49" s="14">
        <f t="shared" si="1"/>
        <v>4519800</v>
      </c>
      <c r="I49" s="14">
        <v>2586800</v>
      </c>
      <c r="J49" s="15">
        <v>1933000</v>
      </c>
    </row>
    <row r="50" spans="1:10">
      <c r="A50" s="22" t="s">
        <v>45</v>
      </c>
      <c r="B50" s="22" t="s">
        <v>46</v>
      </c>
      <c r="C50" s="23" t="s">
        <v>47</v>
      </c>
      <c r="D50" s="13" t="s">
        <v>48</v>
      </c>
      <c r="E50" s="13">
        <v>2018</v>
      </c>
      <c r="F50" s="27" t="str">
        <f t="shared" si="0"/>
        <v>July 2018</v>
      </c>
      <c r="G50" s="14">
        <v>30411600</v>
      </c>
      <c r="H50" s="14">
        <f t="shared" si="1"/>
        <v>4525000</v>
      </c>
      <c r="I50" s="14">
        <v>2585700</v>
      </c>
      <c r="J50" s="15">
        <v>1939300</v>
      </c>
    </row>
    <row r="51" spans="1:10">
      <c r="A51" s="22" t="s">
        <v>45</v>
      </c>
      <c r="B51" s="22" t="s">
        <v>46</v>
      </c>
      <c r="C51" s="23" t="s">
        <v>47</v>
      </c>
      <c r="D51" s="13" t="s">
        <v>49</v>
      </c>
      <c r="E51" s="13">
        <v>2018</v>
      </c>
      <c r="F51" s="27" t="str">
        <f t="shared" si="0"/>
        <v>August 2018</v>
      </c>
      <c r="G51" s="14">
        <v>30341800</v>
      </c>
      <c r="H51" s="14">
        <f t="shared" si="1"/>
        <v>4497600</v>
      </c>
      <c r="I51" s="14">
        <v>2566100</v>
      </c>
      <c r="J51" s="15">
        <v>1931500</v>
      </c>
    </row>
    <row r="52" spans="1:10">
      <c r="A52" s="22" t="s">
        <v>45</v>
      </c>
      <c r="B52" s="22" t="s">
        <v>46</v>
      </c>
      <c r="C52" s="23" t="s">
        <v>47</v>
      </c>
      <c r="D52" s="13" t="s">
        <v>50</v>
      </c>
      <c r="E52" s="13">
        <v>2018</v>
      </c>
      <c r="F52" s="27" t="str">
        <f t="shared" si="0"/>
        <v>September 2018</v>
      </c>
      <c r="G52" s="14">
        <v>30352900</v>
      </c>
      <c r="H52" s="14">
        <f t="shared" si="1"/>
        <v>4517300</v>
      </c>
      <c r="I52" s="14">
        <v>2572100</v>
      </c>
      <c r="J52" s="15">
        <v>1945200</v>
      </c>
    </row>
    <row r="53" spans="1:10">
      <c r="A53" s="22" t="s">
        <v>45</v>
      </c>
      <c r="B53" s="22" t="s">
        <v>46</v>
      </c>
      <c r="C53" s="23" t="s">
        <v>47</v>
      </c>
      <c r="D53" s="13" t="s">
        <v>51</v>
      </c>
      <c r="E53" s="13">
        <v>2018</v>
      </c>
      <c r="F53" s="27" t="str">
        <f t="shared" si="0"/>
        <v>October 2018</v>
      </c>
      <c r="G53" s="14">
        <v>30399100</v>
      </c>
      <c r="H53" s="14">
        <f t="shared" si="1"/>
        <v>4553800</v>
      </c>
      <c r="I53" s="14">
        <v>2592600</v>
      </c>
      <c r="J53" s="15">
        <v>1961200</v>
      </c>
    </row>
    <row r="54" spans="1:10">
      <c r="A54" s="22" t="s">
        <v>45</v>
      </c>
      <c r="B54" s="22" t="s">
        <v>46</v>
      </c>
      <c r="C54" s="23" t="s">
        <v>47</v>
      </c>
      <c r="D54" s="13" t="s">
        <v>52</v>
      </c>
      <c r="E54" s="13">
        <v>2018</v>
      </c>
      <c r="F54" s="27" t="str">
        <f t="shared" si="0"/>
        <v>November 2018</v>
      </c>
      <c r="G54" s="14">
        <v>30615600</v>
      </c>
      <c r="H54" s="14">
        <f t="shared" si="1"/>
        <v>4602400</v>
      </c>
      <c r="I54" s="14">
        <v>2620300</v>
      </c>
      <c r="J54" s="15">
        <v>1982100</v>
      </c>
    </row>
    <row r="55" spans="1:10">
      <c r="A55" s="22" t="s">
        <v>45</v>
      </c>
      <c r="B55" s="22" t="s">
        <v>46</v>
      </c>
      <c r="C55" s="23" t="s">
        <v>47</v>
      </c>
      <c r="D55" s="13" t="s">
        <v>53</v>
      </c>
      <c r="E55" s="13">
        <v>2018</v>
      </c>
      <c r="F55" s="27" t="str">
        <f t="shared" si="0"/>
        <v>December 2018</v>
      </c>
      <c r="G55" s="14">
        <v>30364200</v>
      </c>
      <c r="H55" s="14">
        <f t="shared" si="1"/>
        <v>4563800</v>
      </c>
      <c r="I55" s="14">
        <v>2590700</v>
      </c>
      <c r="J55" s="15">
        <v>1973100</v>
      </c>
    </row>
    <row r="56" spans="1:10">
      <c r="A56" s="22" t="s">
        <v>45</v>
      </c>
      <c r="B56" s="22" t="s">
        <v>46</v>
      </c>
      <c r="C56" s="23" t="s">
        <v>47</v>
      </c>
      <c r="D56" s="13" t="s">
        <v>54</v>
      </c>
      <c r="E56" s="13">
        <v>2019</v>
      </c>
      <c r="F56" s="27" t="str">
        <f t="shared" si="0"/>
        <v>January 2019</v>
      </c>
      <c r="G56" s="14">
        <v>30170900</v>
      </c>
      <c r="H56" s="14">
        <f t="shared" si="1"/>
        <v>4520200</v>
      </c>
      <c r="I56" s="14">
        <v>2554200</v>
      </c>
      <c r="J56" s="15">
        <v>1966000</v>
      </c>
    </row>
    <row r="57" spans="1:10">
      <c r="A57" s="22" t="s">
        <v>45</v>
      </c>
      <c r="B57" s="22" t="s">
        <v>46</v>
      </c>
      <c r="C57" s="23" t="s">
        <v>47</v>
      </c>
      <c r="D57" s="13" t="s">
        <v>55</v>
      </c>
      <c r="E57" s="13">
        <v>2019</v>
      </c>
      <c r="F57" s="27" t="str">
        <f t="shared" si="0"/>
        <v>February 2019</v>
      </c>
      <c r="G57" s="14">
        <v>30213000</v>
      </c>
      <c r="H57" s="14">
        <f t="shared" si="1"/>
        <v>4556400</v>
      </c>
      <c r="I57" s="14">
        <v>2578100</v>
      </c>
      <c r="J57" s="15">
        <v>1978300</v>
      </c>
    </row>
    <row r="58" spans="1:10">
      <c r="A58" s="22" t="s">
        <v>45</v>
      </c>
      <c r="B58" s="22" t="s">
        <v>46</v>
      </c>
      <c r="C58" s="23" t="s">
        <v>47</v>
      </c>
      <c r="D58" s="13" t="s">
        <v>56</v>
      </c>
      <c r="E58" s="13">
        <v>2019</v>
      </c>
      <c r="F58" s="27" t="str">
        <f t="shared" si="0"/>
        <v>March 2019</v>
      </c>
      <c r="G58" s="14">
        <v>30367700</v>
      </c>
      <c r="H58" s="14">
        <f t="shared" si="1"/>
        <v>4602300</v>
      </c>
      <c r="I58" s="14">
        <v>2607100</v>
      </c>
      <c r="J58" s="15">
        <v>1995200</v>
      </c>
    </row>
    <row r="59" spans="1:10">
      <c r="A59" s="22" t="s">
        <v>45</v>
      </c>
      <c r="B59" s="22" t="s">
        <v>46</v>
      </c>
      <c r="C59" s="23" t="s">
        <v>47</v>
      </c>
      <c r="D59" s="13" t="s">
        <v>57</v>
      </c>
      <c r="E59" s="13">
        <v>2019</v>
      </c>
      <c r="F59" s="27" t="str">
        <f t="shared" si="0"/>
        <v>April 2019</v>
      </c>
      <c r="G59" s="14">
        <v>30388200</v>
      </c>
      <c r="H59" s="14">
        <f t="shared" si="1"/>
        <v>4633100</v>
      </c>
      <c r="I59" s="14">
        <v>2626300</v>
      </c>
      <c r="J59" s="15">
        <v>2006800</v>
      </c>
    </row>
    <row r="60" spans="1:10">
      <c r="A60" s="22" t="s">
        <v>45</v>
      </c>
      <c r="B60" s="22" t="s">
        <v>46</v>
      </c>
      <c r="C60" s="23" t="s">
        <v>47</v>
      </c>
      <c r="D60" s="13" t="s">
        <v>58</v>
      </c>
      <c r="E60" s="13">
        <v>2019</v>
      </c>
      <c r="F60" s="27" t="str">
        <f t="shared" si="0"/>
        <v>May 2019</v>
      </c>
      <c r="G60" s="14">
        <v>30518800</v>
      </c>
      <c r="H60" s="14">
        <f t="shared" si="1"/>
        <v>4663100</v>
      </c>
      <c r="I60" s="14">
        <v>2640300</v>
      </c>
      <c r="J60" s="15">
        <v>2022800</v>
      </c>
    </row>
    <row r="61" spans="1:10">
      <c r="A61" s="22" t="s">
        <v>45</v>
      </c>
      <c r="B61" s="22" t="s">
        <v>46</v>
      </c>
      <c r="C61" s="23" t="s">
        <v>47</v>
      </c>
      <c r="D61" s="13" t="s">
        <v>59</v>
      </c>
      <c r="E61" s="13">
        <v>2019</v>
      </c>
      <c r="F61" s="27" t="str">
        <f t="shared" si="0"/>
        <v>June 2019</v>
      </c>
      <c r="G61" s="14">
        <v>30687400</v>
      </c>
      <c r="H61" s="14">
        <f t="shared" si="1"/>
        <v>4695800</v>
      </c>
      <c r="I61" s="14">
        <v>2653200</v>
      </c>
      <c r="J61" s="15">
        <v>2042600</v>
      </c>
    </row>
    <row r="62" spans="1:10">
      <c r="A62" s="22" t="s">
        <v>45</v>
      </c>
      <c r="B62" s="22" t="s">
        <v>46</v>
      </c>
      <c r="C62" s="23" t="s">
        <v>47</v>
      </c>
      <c r="D62" s="13" t="s">
        <v>48</v>
      </c>
      <c r="E62" s="13">
        <v>2019</v>
      </c>
      <c r="F62" s="27" t="str">
        <f t="shared" si="0"/>
        <v>July 2019</v>
      </c>
      <c r="G62" s="14">
        <v>30684600</v>
      </c>
      <c r="H62" s="14">
        <f t="shared" si="1"/>
        <v>4690900</v>
      </c>
      <c r="I62" s="14">
        <v>2643800</v>
      </c>
      <c r="J62" s="15">
        <v>2047100</v>
      </c>
    </row>
    <row r="63" spans="1:10">
      <c r="A63" s="22" t="s">
        <v>45</v>
      </c>
      <c r="B63" s="22" t="s">
        <v>46</v>
      </c>
      <c r="C63" s="23" t="s">
        <v>47</v>
      </c>
      <c r="D63" s="13" t="s">
        <v>49</v>
      </c>
      <c r="E63" s="13">
        <v>2019</v>
      </c>
      <c r="F63" s="27" t="str">
        <f t="shared" si="0"/>
        <v>August 2019</v>
      </c>
      <c r="G63" s="14">
        <v>30595500</v>
      </c>
      <c r="H63" s="14">
        <f t="shared" si="1"/>
        <v>4671500</v>
      </c>
      <c r="I63" s="14">
        <v>2623800</v>
      </c>
      <c r="J63" s="15">
        <v>2047700</v>
      </c>
    </row>
    <row r="64" spans="1:10">
      <c r="A64" s="22" t="s">
        <v>45</v>
      </c>
      <c r="B64" s="22" t="s">
        <v>46</v>
      </c>
      <c r="C64" s="23" t="s">
        <v>47</v>
      </c>
      <c r="D64" s="13" t="s">
        <v>50</v>
      </c>
      <c r="E64" s="13">
        <v>2019</v>
      </c>
      <c r="F64" s="27" t="str">
        <f t="shared" si="0"/>
        <v>September 2019</v>
      </c>
      <c r="G64" s="14">
        <v>30677100</v>
      </c>
      <c r="H64" s="14">
        <f t="shared" si="1"/>
        <v>4704200</v>
      </c>
      <c r="I64" s="14">
        <v>2631800</v>
      </c>
      <c r="J64" s="15">
        <v>2072400</v>
      </c>
    </row>
    <row r="65" spans="1:10">
      <c r="A65" s="22" t="s">
        <v>45</v>
      </c>
      <c r="B65" s="22" t="s">
        <v>46</v>
      </c>
      <c r="C65" s="23" t="s">
        <v>47</v>
      </c>
      <c r="D65" s="13" t="s">
        <v>51</v>
      </c>
      <c r="E65" s="13">
        <v>2019</v>
      </c>
      <c r="F65" s="27" t="str">
        <f t="shared" si="0"/>
        <v>October 2019</v>
      </c>
      <c r="G65" s="14">
        <v>30675200</v>
      </c>
      <c r="H65" s="14">
        <f t="shared" si="1"/>
        <v>4738700</v>
      </c>
      <c r="I65" s="14">
        <v>2649700</v>
      </c>
      <c r="J65" s="15">
        <v>2089000</v>
      </c>
    </row>
    <row r="66" spans="1:10">
      <c r="A66" s="22" t="s">
        <v>45</v>
      </c>
      <c r="B66" s="22" t="s">
        <v>46</v>
      </c>
      <c r="C66" s="23" t="s">
        <v>47</v>
      </c>
      <c r="D66" s="13" t="s">
        <v>52</v>
      </c>
      <c r="E66" s="13">
        <v>2019</v>
      </c>
      <c r="F66" s="27" t="str">
        <f t="shared" si="0"/>
        <v>November 2019</v>
      </c>
      <c r="G66" s="14">
        <v>30804400</v>
      </c>
      <c r="H66" s="14">
        <f t="shared" si="1"/>
        <v>4775700</v>
      </c>
      <c r="I66" s="14">
        <v>2666200</v>
      </c>
      <c r="J66" s="15">
        <v>2109500</v>
      </c>
    </row>
    <row r="67" spans="1:10">
      <c r="A67" s="22" t="s">
        <v>45</v>
      </c>
      <c r="B67" s="22" t="s">
        <v>46</v>
      </c>
      <c r="C67" s="23" t="s">
        <v>47</v>
      </c>
      <c r="D67" s="13" t="s">
        <v>53</v>
      </c>
      <c r="E67" s="13">
        <v>2019</v>
      </c>
      <c r="F67" s="27" t="str">
        <f t="shared" ref="F67:F127" si="2">D67&amp;" "&amp;E67</f>
        <v>December 2019</v>
      </c>
      <c r="G67" s="14">
        <v>30645000</v>
      </c>
      <c r="H67" s="14">
        <f t="shared" ref="H67:H127" si="3">I67+J67</f>
        <v>4746900</v>
      </c>
      <c r="I67" s="14">
        <v>2637600</v>
      </c>
      <c r="J67" s="15">
        <v>2109300</v>
      </c>
    </row>
    <row r="68" spans="1:10">
      <c r="A68" s="22" t="s">
        <v>45</v>
      </c>
      <c r="B68" s="22" t="s">
        <v>46</v>
      </c>
      <c r="C68" s="23" t="s">
        <v>47</v>
      </c>
      <c r="D68" s="13" t="s">
        <v>54</v>
      </c>
      <c r="E68" s="13">
        <v>2020</v>
      </c>
      <c r="F68" s="27" t="str">
        <f t="shared" si="2"/>
        <v>January 2020</v>
      </c>
      <c r="G68" s="14">
        <v>30490800</v>
      </c>
      <c r="H68" s="14">
        <f t="shared" si="3"/>
        <v>4700700</v>
      </c>
      <c r="I68" s="14">
        <v>2599200</v>
      </c>
      <c r="J68" s="15">
        <v>2101500</v>
      </c>
    </row>
    <row r="69" spans="1:10">
      <c r="A69" s="22" t="s">
        <v>45</v>
      </c>
      <c r="B69" s="22" t="s">
        <v>46</v>
      </c>
      <c r="C69" s="23" t="s">
        <v>47</v>
      </c>
      <c r="D69" s="13" t="s">
        <v>55</v>
      </c>
      <c r="E69" s="13">
        <v>2020</v>
      </c>
      <c r="F69" s="27" t="str">
        <f t="shared" si="2"/>
        <v>February 2020</v>
      </c>
      <c r="G69" s="14">
        <v>30427500</v>
      </c>
      <c r="H69" s="14">
        <f t="shared" si="3"/>
        <v>4726200</v>
      </c>
      <c r="I69" s="14">
        <v>2614200</v>
      </c>
      <c r="J69" s="15">
        <v>2112000</v>
      </c>
    </row>
    <row r="70" spans="1:10">
      <c r="A70" s="22" t="s">
        <v>45</v>
      </c>
      <c r="B70" s="22" t="s">
        <v>46</v>
      </c>
      <c r="C70" s="23" t="s">
        <v>47</v>
      </c>
      <c r="D70" s="13" t="s">
        <v>56</v>
      </c>
      <c r="E70" s="13">
        <v>2020</v>
      </c>
      <c r="F70" s="27" t="str">
        <f t="shared" si="2"/>
        <v>March 2020</v>
      </c>
      <c r="G70" s="14">
        <v>30459500</v>
      </c>
      <c r="H70" s="14">
        <f t="shared" si="3"/>
        <v>4730300</v>
      </c>
      <c r="I70" s="14">
        <v>2610800</v>
      </c>
      <c r="J70" s="15">
        <v>2119500</v>
      </c>
    </row>
    <row r="71" spans="1:10">
      <c r="A71" s="22" t="s">
        <v>45</v>
      </c>
      <c r="B71" s="22" t="s">
        <v>46</v>
      </c>
      <c r="C71" s="23" t="s">
        <v>47</v>
      </c>
      <c r="D71" s="13" t="s">
        <v>57</v>
      </c>
      <c r="E71" s="13">
        <v>2020</v>
      </c>
      <c r="F71" s="27" t="str">
        <f t="shared" si="2"/>
        <v>April 2020</v>
      </c>
      <c r="G71" s="14">
        <v>29903800</v>
      </c>
      <c r="H71" s="14">
        <f t="shared" si="3"/>
        <v>4598300</v>
      </c>
      <c r="I71" s="14">
        <v>2532200</v>
      </c>
      <c r="J71" s="15">
        <v>2066100</v>
      </c>
    </row>
    <row r="72" spans="1:10">
      <c r="A72" s="22" t="s">
        <v>45</v>
      </c>
      <c r="B72" s="22" t="s">
        <v>46</v>
      </c>
      <c r="C72" s="23" t="s">
        <v>47</v>
      </c>
      <c r="D72" s="13" t="s">
        <v>58</v>
      </c>
      <c r="E72" s="13">
        <v>2020</v>
      </c>
      <c r="F72" s="27" t="str">
        <f t="shared" si="2"/>
        <v>May 2020</v>
      </c>
      <c r="G72" s="14">
        <v>29742900</v>
      </c>
      <c r="H72" s="14">
        <f t="shared" si="3"/>
        <v>4578900</v>
      </c>
      <c r="I72" s="14">
        <v>2526100</v>
      </c>
      <c r="J72" s="15">
        <v>2052800</v>
      </c>
    </row>
    <row r="73" spans="1:10">
      <c r="A73" s="22" t="s">
        <v>45</v>
      </c>
      <c r="B73" s="22" t="s">
        <v>46</v>
      </c>
      <c r="C73" s="23" t="s">
        <v>47</v>
      </c>
      <c r="D73" s="13" t="s">
        <v>59</v>
      </c>
      <c r="E73" s="13">
        <v>2020</v>
      </c>
      <c r="F73" s="27" t="str">
        <f t="shared" si="2"/>
        <v>June 2020</v>
      </c>
      <c r="G73" s="14">
        <v>29829700</v>
      </c>
      <c r="H73" s="14">
        <f t="shared" si="3"/>
        <v>4606400</v>
      </c>
      <c r="I73" s="14">
        <v>2538300</v>
      </c>
      <c r="J73" s="15">
        <v>2068100</v>
      </c>
    </row>
    <row r="74" spans="1:10">
      <c r="A74" s="22" t="s">
        <v>45</v>
      </c>
      <c r="B74" s="22" t="s">
        <v>46</v>
      </c>
      <c r="C74" s="23" t="s">
        <v>47</v>
      </c>
      <c r="D74" s="13" t="s">
        <v>48</v>
      </c>
      <c r="E74" s="13">
        <v>2020</v>
      </c>
      <c r="F74" s="27" t="str">
        <f t="shared" si="2"/>
        <v>July 2020</v>
      </c>
      <c r="G74" s="14">
        <v>29913100</v>
      </c>
      <c r="H74" s="14">
        <f t="shared" si="3"/>
        <v>4615200</v>
      </c>
      <c r="I74" s="14">
        <v>2531200</v>
      </c>
      <c r="J74" s="15">
        <v>2084000</v>
      </c>
    </row>
    <row r="75" spans="1:10">
      <c r="A75" s="22" t="s">
        <v>45</v>
      </c>
      <c r="B75" s="22" t="s">
        <v>46</v>
      </c>
      <c r="C75" s="23" t="s">
        <v>47</v>
      </c>
      <c r="D75" s="13" t="s">
        <v>49</v>
      </c>
      <c r="E75" s="13">
        <v>2020</v>
      </c>
      <c r="F75" s="27" t="str">
        <f t="shared" si="2"/>
        <v>August 2020</v>
      </c>
      <c r="G75" s="14">
        <v>29762700</v>
      </c>
      <c r="H75" s="14">
        <f t="shared" si="3"/>
        <v>4577900</v>
      </c>
      <c r="I75" s="14">
        <v>2490200</v>
      </c>
      <c r="J75" s="15">
        <v>2087700</v>
      </c>
    </row>
    <row r="76" spans="1:10">
      <c r="A76" s="22" t="s">
        <v>45</v>
      </c>
      <c r="B76" s="22" t="s">
        <v>46</v>
      </c>
      <c r="C76" s="23" t="s">
        <v>47</v>
      </c>
      <c r="D76" s="13" t="s">
        <v>50</v>
      </c>
      <c r="E76" s="13">
        <v>2020</v>
      </c>
      <c r="F76" s="27" t="str">
        <f t="shared" si="2"/>
        <v>September 2020</v>
      </c>
      <c r="G76" s="14">
        <v>29721800</v>
      </c>
      <c r="H76" s="14">
        <f t="shared" si="3"/>
        <v>4573500</v>
      </c>
      <c r="I76" s="14">
        <v>2476900</v>
      </c>
      <c r="J76" s="15">
        <v>2096600</v>
      </c>
    </row>
    <row r="77" spans="1:10">
      <c r="A77" s="22" t="s">
        <v>45</v>
      </c>
      <c r="B77" s="22" t="s">
        <v>46</v>
      </c>
      <c r="C77" s="23" t="s">
        <v>47</v>
      </c>
      <c r="D77" s="13" t="s">
        <v>51</v>
      </c>
      <c r="E77" s="13">
        <v>2020</v>
      </c>
      <c r="F77" s="27" t="str">
        <f t="shared" si="2"/>
        <v>October 2020</v>
      </c>
      <c r="G77" s="14">
        <v>29706700</v>
      </c>
      <c r="H77" s="14">
        <f t="shared" si="3"/>
        <v>4588000</v>
      </c>
      <c r="I77" s="14">
        <v>2479300</v>
      </c>
      <c r="J77" s="15">
        <v>2108700</v>
      </c>
    </row>
    <row r="78" spans="1:10">
      <c r="A78" s="22" t="s">
        <v>45</v>
      </c>
      <c r="B78" s="22" t="s">
        <v>46</v>
      </c>
      <c r="C78" s="23" t="s">
        <v>47</v>
      </c>
      <c r="D78" s="13" t="s">
        <v>52</v>
      </c>
      <c r="E78" s="13">
        <v>2020</v>
      </c>
      <c r="F78" s="27" t="str">
        <f t="shared" si="2"/>
        <v>November 2020</v>
      </c>
      <c r="G78" s="14">
        <v>29745200</v>
      </c>
      <c r="H78" s="14">
        <f t="shared" si="3"/>
        <v>4593500</v>
      </c>
      <c r="I78" s="14">
        <v>2473800</v>
      </c>
      <c r="J78" s="15">
        <v>2119700</v>
      </c>
    </row>
    <row r="79" spans="1:10">
      <c r="A79" s="22" t="s">
        <v>45</v>
      </c>
      <c r="B79" s="22" t="s">
        <v>46</v>
      </c>
      <c r="C79" s="23" t="s">
        <v>47</v>
      </c>
      <c r="D79" s="13" t="s">
        <v>53</v>
      </c>
      <c r="E79" s="13">
        <v>2020</v>
      </c>
      <c r="F79" s="27" t="str">
        <f t="shared" si="2"/>
        <v>December 2020</v>
      </c>
      <c r="G79" s="14">
        <v>29617200</v>
      </c>
      <c r="H79" s="14">
        <f t="shared" si="3"/>
        <v>4571500</v>
      </c>
      <c r="I79" s="14">
        <v>2450000</v>
      </c>
      <c r="J79" s="15">
        <v>2121500</v>
      </c>
    </row>
    <row r="80" spans="1:10">
      <c r="A80" s="22" t="s">
        <v>45</v>
      </c>
      <c r="B80" s="22" t="s">
        <v>46</v>
      </c>
      <c r="C80" s="23" t="s">
        <v>47</v>
      </c>
      <c r="D80" s="13" t="s">
        <v>54</v>
      </c>
      <c r="E80" s="13">
        <v>2021</v>
      </c>
      <c r="F80" s="27" t="str">
        <f t="shared" si="2"/>
        <v>January 2021</v>
      </c>
      <c r="G80" s="14">
        <v>29429500</v>
      </c>
      <c r="H80" s="14">
        <f t="shared" si="3"/>
        <v>4524300</v>
      </c>
      <c r="I80" s="14">
        <v>2412500</v>
      </c>
      <c r="J80" s="15">
        <v>2111800</v>
      </c>
    </row>
    <row r="81" spans="1:10">
      <c r="A81" s="22" t="s">
        <v>45</v>
      </c>
      <c r="B81" s="22" t="s">
        <v>46</v>
      </c>
      <c r="C81" s="23" t="s">
        <v>47</v>
      </c>
      <c r="D81" s="13" t="s">
        <v>55</v>
      </c>
      <c r="E81" s="13">
        <v>2021</v>
      </c>
      <c r="F81" s="27" t="str">
        <f t="shared" si="2"/>
        <v>February 2021</v>
      </c>
      <c r="G81" s="14">
        <v>29454400</v>
      </c>
      <c r="H81" s="14">
        <f t="shared" si="3"/>
        <v>4533700</v>
      </c>
      <c r="I81" s="14">
        <v>2414100</v>
      </c>
      <c r="J81" s="15">
        <v>2119600</v>
      </c>
    </row>
    <row r="82" spans="1:10">
      <c r="A82" s="22" t="s">
        <v>45</v>
      </c>
      <c r="B82" s="22" t="s">
        <v>46</v>
      </c>
      <c r="C82" s="23" t="s">
        <v>47</v>
      </c>
      <c r="D82" s="13" t="s">
        <v>56</v>
      </c>
      <c r="E82" s="13">
        <v>2021</v>
      </c>
      <c r="F82" s="27" t="str">
        <f t="shared" si="2"/>
        <v>March 2021</v>
      </c>
      <c r="G82" s="14">
        <v>29577800</v>
      </c>
      <c r="H82" s="14">
        <f t="shared" si="3"/>
        <v>4565000</v>
      </c>
      <c r="I82" s="14">
        <v>2425800</v>
      </c>
      <c r="J82" s="15">
        <v>2139200</v>
      </c>
    </row>
    <row r="83" spans="1:10">
      <c r="A83" s="22" t="s">
        <v>45</v>
      </c>
      <c r="B83" s="22" t="s">
        <v>46</v>
      </c>
      <c r="C83" s="23" t="s">
        <v>47</v>
      </c>
      <c r="D83" s="13" t="s">
        <v>57</v>
      </c>
      <c r="E83" s="13">
        <v>2021</v>
      </c>
      <c r="F83" s="27" t="str">
        <f t="shared" si="2"/>
        <v>April 2021</v>
      </c>
      <c r="G83" s="14">
        <v>29832600</v>
      </c>
      <c r="H83" s="14">
        <f t="shared" si="3"/>
        <v>4650400</v>
      </c>
      <c r="I83" s="14">
        <v>2471200</v>
      </c>
      <c r="J83" s="15">
        <v>2179200</v>
      </c>
    </row>
    <row r="84" spans="1:10">
      <c r="A84" s="22" t="s">
        <v>45</v>
      </c>
      <c r="B84" s="22" t="s">
        <v>46</v>
      </c>
      <c r="C84" s="23" t="s">
        <v>47</v>
      </c>
      <c r="D84" s="13" t="s">
        <v>58</v>
      </c>
      <c r="E84" s="13">
        <v>2021</v>
      </c>
      <c r="F84" s="27" t="str">
        <f t="shared" si="2"/>
        <v>May 2021</v>
      </c>
      <c r="G84" s="14">
        <v>30185800</v>
      </c>
      <c r="H84" s="14">
        <f t="shared" si="3"/>
        <v>4716800</v>
      </c>
      <c r="I84" s="14">
        <v>2499200</v>
      </c>
      <c r="J84" s="15">
        <v>2217600</v>
      </c>
    </row>
    <row r="85" spans="1:10">
      <c r="A85" s="22" t="s">
        <v>45</v>
      </c>
      <c r="B85" s="22" t="s">
        <v>46</v>
      </c>
      <c r="C85" s="23" t="s">
        <v>47</v>
      </c>
      <c r="D85" s="13" t="s">
        <v>59</v>
      </c>
      <c r="E85" s="13">
        <v>2021</v>
      </c>
      <c r="F85" s="27" t="str">
        <f t="shared" si="2"/>
        <v>June 2021</v>
      </c>
      <c r="G85" s="14">
        <v>30509900</v>
      </c>
      <c r="H85" s="14">
        <f t="shared" si="3"/>
        <v>4767600</v>
      </c>
      <c r="I85" s="14">
        <v>2511400</v>
      </c>
      <c r="J85" s="15">
        <v>2256200</v>
      </c>
    </row>
    <row r="86" spans="1:10">
      <c r="A86" s="22" t="s">
        <v>45</v>
      </c>
      <c r="B86" s="22" t="s">
        <v>46</v>
      </c>
      <c r="C86" s="23" t="s">
        <v>47</v>
      </c>
      <c r="D86" s="13" t="s">
        <v>48</v>
      </c>
      <c r="E86" s="13">
        <v>2021</v>
      </c>
      <c r="F86" s="27" t="str">
        <f t="shared" si="2"/>
        <v>July 2021</v>
      </c>
      <c r="G86" s="16">
        <v>30662100</v>
      </c>
      <c r="H86" s="14">
        <f t="shared" si="3"/>
        <v>4774600</v>
      </c>
      <c r="I86" s="16">
        <v>2495300</v>
      </c>
      <c r="J86" s="15">
        <v>2279300</v>
      </c>
    </row>
    <row r="87" spans="1:10">
      <c r="A87" s="22" t="s">
        <v>45</v>
      </c>
      <c r="B87" s="22" t="s">
        <v>46</v>
      </c>
      <c r="C87" s="23" t="s">
        <v>47</v>
      </c>
      <c r="D87" s="13" t="s">
        <v>49</v>
      </c>
      <c r="E87" s="13">
        <v>2021</v>
      </c>
      <c r="F87" s="27" t="str">
        <f t="shared" si="2"/>
        <v>August 2021</v>
      </c>
      <c r="G87" s="16">
        <v>30745800</v>
      </c>
      <c r="H87" s="14">
        <f t="shared" si="3"/>
        <v>4764900</v>
      </c>
      <c r="I87" s="16">
        <v>2466900</v>
      </c>
      <c r="J87" s="15">
        <v>2298000</v>
      </c>
    </row>
    <row r="88" spans="1:10">
      <c r="A88" s="22" t="s">
        <v>45</v>
      </c>
      <c r="B88" s="22" t="s">
        <v>46</v>
      </c>
      <c r="C88" s="23" t="s">
        <v>47</v>
      </c>
      <c r="D88" s="13" t="s">
        <v>50</v>
      </c>
      <c r="E88" s="13">
        <v>2021</v>
      </c>
      <c r="F88" s="27" t="str">
        <f t="shared" si="2"/>
        <v>September 2021</v>
      </c>
      <c r="G88" s="16">
        <v>30943800</v>
      </c>
      <c r="H88" s="14">
        <f t="shared" si="3"/>
        <v>4818100</v>
      </c>
      <c r="I88" s="16">
        <v>2481900</v>
      </c>
      <c r="J88" s="15">
        <v>2336200</v>
      </c>
    </row>
    <row r="89" spans="1:10">
      <c r="A89" s="22" t="s">
        <v>45</v>
      </c>
      <c r="B89" s="22" t="s">
        <v>46</v>
      </c>
      <c r="C89" s="23" t="s">
        <v>47</v>
      </c>
      <c r="D89" s="13" t="s">
        <v>51</v>
      </c>
      <c r="E89" s="13">
        <v>2021</v>
      </c>
      <c r="F89" s="27" t="str">
        <f t="shared" si="2"/>
        <v>October 2021</v>
      </c>
      <c r="G89" s="16">
        <v>30902700</v>
      </c>
      <c r="H89" s="14">
        <f t="shared" si="3"/>
        <v>4849700</v>
      </c>
      <c r="I89" s="16">
        <v>2491900</v>
      </c>
      <c r="J89" s="15">
        <v>2357800</v>
      </c>
    </row>
    <row r="90" spans="1:10">
      <c r="A90" s="22" t="s">
        <v>45</v>
      </c>
      <c r="B90" s="22" t="s">
        <v>46</v>
      </c>
      <c r="C90" s="23" t="s">
        <v>47</v>
      </c>
      <c r="D90" s="13" t="s">
        <v>52</v>
      </c>
      <c r="E90" s="13">
        <v>2021</v>
      </c>
      <c r="F90" s="27" t="str">
        <f t="shared" si="2"/>
        <v>November 2021</v>
      </c>
      <c r="G90" s="16">
        <v>31151200</v>
      </c>
      <c r="H90" s="14">
        <f t="shared" si="3"/>
        <v>4915900</v>
      </c>
      <c r="I90" s="16">
        <v>2506600</v>
      </c>
      <c r="J90" s="15">
        <v>2409300</v>
      </c>
    </row>
    <row r="91" spans="1:10">
      <c r="A91" s="22" t="s">
        <v>45</v>
      </c>
      <c r="B91" s="22" t="s">
        <v>46</v>
      </c>
      <c r="C91" s="23" t="s">
        <v>47</v>
      </c>
      <c r="D91" s="13" t="s">
        <v>53</v>
      </c>
      <c r="E91" s="13">
        <v>2021</v>
      </c>
      <c r="F91" s="27" t="str">
        <f t="shared" si="2"/>
        <v>December 2021</v>
      </c>
      <c r="G91" s="16">
        <v>31000800</v>
      </c>
      <c r="H91" s="14">
        <f t="shared" si="3"/>
        <v>4903500</v>
      </c>
      <c r="I91" s="16">
        <v>2477700</v>
      </c>
      <c r="J91" s="15">
        <v>2425800</v>
      </c>
    </row>
    <row r="92" spans="1:10">
      <c r="A92" s="22" t="s">
        <v>45</v>
      </c>
      <c r="B92" s="22" t="s">
        <v>46</v>
      </c>
      <c r="C92" s="23" t="s">
        <v>47</v>
      </c>
      <c r="D92" s="13" t="s">
        <v>54</v>
      </c>
      <c r="E92" s="13">
        <v>2022</v>
      </c>
      <c r="F92" s="27" t="str">
        <f t="shared" si="2"/>
        <v>January 2022</v>
      </c>
      <c r="G92" s="16">
        <v>30802600</v>
      </c>
      <c r="H92" s="14">
        <f t="shared" si="3"/>
        <v>4877100</v>
      </c>
      <c r="I92" s="16">
        <v>2444800</v>
      </c>
      <c r="J92" s="15">
        <v>2432300</v>
      </c>
    </row>
    <row r="93" spans="1:10">
      <c r="A93" s="22" t="s">
        <v>45</v>
      </c>
      <c r="B93" s="22" t="s">
        <v>46</v>
      </c>
      <c r="C93" s="23" t="s">
        <v>47</v>
      </c>
      <c r="D93" s="13" t="s">
        <v>55</v>
      </c>
      <c r="E93" s="13">
        <v>2022</v>
      </c>
      <c r="F93" s="27" t="str">
        <f t="shared" si="2"/>
        <v>February 2022</v>
      </c>
      <c r="G93" s="16">
        <v>30960000</v>
      </c>
      <c r="H93" s="14">
        <f t="shared" si="3"/>
        <v>4938200</v>
      </c>
      <c r="I93" s="16">
        <v>2466000</v>
      </c>
      <c r="J93" s="15">
        <v>2472200</v>
      </c>
    </row>
    <row r="94" spans="1:10">
      <c r="A94" s="22" t="s">
        <v>45</v>
      </c>
      <c r="B94" s="22" t="s">
        <v>46</v>
      </c>
      <c r="C94" s="23" t="s">
        <v>47</v>
      </c>
      <c r="D94" s="13" t="s">
        <v>56</v>
      </c>
      <c r="E94" s="13">
        <v>2022</v>
      </c>
      <c r="F94" s="27" t="str">
        <f t="shared" si="2"/>
        <v>March 2022</v>
      </c>
      <c r="G94" s="16">
        <v>31140900</v>
      </c>
      <c r="H94" s="14">
        <f t="shared" si="3"/>
        <v>5004300</v>
      </c>
      <c r="I94" s="16">
        <v>2481200</v>
      </c>
      <c r="J94" s="15">
        <v>2523100</v>
      </c>
    </row>
    <row r="95" spans="1:10">
      <c r="A95" s="22" t="s">
        <v>45</v>
      </c>
      <c r="B95" s="22" t="s">
        <v>46</v>
      </c>
      <c r="C95" s="23" t="s">
        <v>47</v>
      </c>
      <c r="D95" s="13" t="s">
        <v>57</v>
      </c>
      <c r="E95" s="13">
        <v>2022</v>
      </c>
      <c r="F95" s="27" t="str">
        <f t="shared" si="2"/>
        <v>April 2022</v>
      </c>
      <c r="G95" s="16">
        <v>31179500</v>
      </c>
      <c r="H95" s="14">
        <f t="shared" si="3"/>
        <v>5063900</v>
      </c>
      <c r="I95" s="16">
        <v>2493800</v>
      </c>
      <c r="J95" s="15">
        <v>2570100</v>
      </c>
    </row>
    <row r="96" spans="1:10">
      <c r="A96" s="22" t="s">
        <v>45</v>
      </c>
      <c r="B96" s="22" t="s">
        <v>46</v>
      </c>
      <c r="C96" s="23" t="s">
        <v>47</v>
      </c>
      <c r="D96" s="13" t="s">
        <v>58</v>
      </c>
      <c r="E96" s="13">
        <v>2022</v>
      </c>
      <c r="F96" s="27" t="str">
        <f t="shared" si="2"/>
        <v>May 2022</v>
      </c>
      <c r="G96" s="16">
        <v>31315600</v>
      </c>
      <c r="H96" s="14">
        <f t="shared" si="3"/>
        <v>5119400</v>
      </c>
      <c r="I96" s="16">
        <v>2503400</v>
      </c>
      <c r="J96" s="15">
        <v>2616000</v>
      </c>
    </row>
    <row r="97" spans="1:10">
      <c r="A97" s="22" t="s">
        <v>45</v>
      </c>
      <c r="B97" s="22" t="s">
        <v>46</v>
      </c>
      <c r="C97" s="23" t="s">
        <v>47</v>
      </c>
      <c r="D97" s="13" t="s">
        <v>59</v>
      </c>
      <c r="E97" s="13">
        <v>2022</v>
      </c>
      <c r="F97" s="27" t="str">
        <f t="shared" si="2"/>
        <v>June 2022</v>
      </c>
      <c r="G97" s="16">
        <v>31475900</v>
      </c>
      <c r="H97" s="14">
        <f t="shared" si="3"/>
        <v>5179400</v>
      </c>
      <c r="I97" s="16">
        <v>2508600</v>
      </c>
      <c r="J97" s="15">
        <v>2670800</v>
      </c>
    </row>
    <row r="98" spans="1:10">
      <c r="A98" s="22" t="s">
        <v>45</v>
      </c>
      <c r="B98" s="22" t="s">
        <v>46</v>
      </c>
      <c r="C98" s="23" t="s">
        <v>47</v>
      </c>
      <c r="D98" s="13" t="s">
        <v>48</v>
      </c>
      <c r="E98" s="13">
        <v>2022</v>
      </c>
      <c r="F98" s="27" t="str">
        <f t="shared" si="2"/>
        <v>July 2022</v>
      </c>
      <c r="G98" s="16">
        <v>31603900</v>
      </c>
      <c r="H98" s="14">
        <f t="shared" si="3"/>
        <v>5208700</v>
      </c>
      <c r="I98" s="16">
        <v>2495900</v>
      </c>
      <c r="J98" s="15">
        <v>2712800</v>
      </c>
    </row>
    <row r="99" spans="1:10">
      <c r="A99" s="22" t="s">
        <v>45</v>
      </c>
      <c r="B99" s="22" t="s">
        <v>46</v>
      </c>
      <c r="C99" s="23" t="s">
        <v>47</v>
      </c>
      <c r="D99" s="13" t="s">
        <v>49</v>
      </c>
      <c r="E99" s="13">
        <v>2022</v>
      </c>
      <c r="F99" s="27" t="str">
        <f t="shared" si="2"/>
        <v>August 2022</v>
      </c>
      <c r="G99" s="16">
        <v>31549900</v>
      </c>
      <c r="H99" s="14">
        <f t="shared" si="3"/>
        <v>5202200</v>
      </c>
      <c r="I99" s="16">
        <v>2466700</v>
      </c>
      <c r="J99" s="15">
        <v>2735500</v>
      </c>
    </row>
    <row r="100" spans="1:10">
      <c r="A100" s="22" t="s">
        <v>45</v>
      </c>
      <c r="B100" s="22" t="s">
        <v>46</v>
      </c>
      <c r="C100" s="23" t="s">
        <v>47</v>
      </c>
      <c r="D100" s="13" t="s">
        <v>50</v>
      </c>
      <c r="E100" s="13">
        <v>2022</v>
      </c>
      <c r="F100" s="27" t="str">
        <f t="shared" si="2"/>
        <v>September 2022</v>
      </c>
      <c r="G100" s="16">
        <v>31694000</v>
      </c>
      <c r="H100" s="14">
        <f t="shared" si="3"/>
        <v>5274200</v>
      </c>
      <c r="I100" s="16">
        <v>2479200</v>
      </c>
      <c r="J100" s="15">
        <v>2795000</v>
      </c>
    </row>
    <row r="101" spans="1:10">
      <c r="A101" s="22" t="s">
        <v>45</v>
      </c>
      <c r="B101" s="22" t="s">
        <v>46</v>
      </c>
      <c r="C101" s="23" t="s">
        <v>47</v>
      </c>
      <c r="D101" s="13" t="s">
        <v>51</v>
      </c>
      <c r="E101" s="13">
        <v>2022</v>
      </c>
      <c r="F101" s="27" t="str">
        <f t="shared" si="2"/>
        <v>October 2022</v>
      </c>
      <c r="G101" s="16">
        <v>31675700</v>
      </c>
      <c r="H101" s="14">
        <f t="shared" si="3"/>
        <v>5343800</v>
      </c>
      <c r="I101" s="16">
        <v>2491300</v>
      </c>
      <c r="J101" s="15">
        <v>2852500</v>
      </c>
    </row>
    <row r="102" spans="1:10">
      <c r="A102" s="22" t="s">
        <v>45</v>
      </c>
      <c r="B102" s="22" t="s">
        <v>46</v>
      </c>
      <c r="C102" s="23" t="s">
        <v>47</v>
      </c>
      <c r="D102" s="13" t="s">
        <v>52</v>
      </c>
      <c r="E102" s="13">
        <v>2022</v>
      </c>
      <c r="F102" s="27" t="str">
        <f t="shared" si="2"/>
        <v>November 2022</v>
      </c>
      <c r="G102" s="16">
        <v>31874100</v>
      </c>
      <c r="H102" s="14">
        <f t="shared" si="3"/>
        <v>5432700</v>
      </c>
      <c r="I102" s="16">
        <v>2500000</v>
      </c>
      <c r="J102" s="15">
        <v>2932700</v>
      </c>
    </row>
    <row r="103" spans="1:10">
      <c r="A103" s="22" t="s">
        <v>45</v>
      </c>
      <c r="B103" s="22" t="s">
        <v>46</v>
      </c>
      <c r="C103" s="23" t="s">
        <v>47</v>
      </c>
      <c r="D103" s="13" t="s">
        <v>53</v>
      </c>
      <c r="E103" s="13">
        <v>2022</v>
      </c>
      <c r="F103" s="27" t="str">
        <f t="shared" si="2"/>
        <v>December 2022</v>
      </c>
      <c r="G103" s="16">
        <v>31686300</v>
      </c>
      <c r="H103" s="14">
        <f t="shared" si="3"/>
        <v>5434800</v>
      </c>
      <c r="I103" s="16">
        <v>2469500</v>
      </c>
      <c r="J103" s="15">
        <v>2965300</v>
      </c>
    </row>
    <row r="104" spans="1:10">
      <c r="A104" s="22" t="s">
        <v>45</v>
      </c>
      <c r="B104" s="22" t="s">
        <v>46</v>
      </c>
      <c r="C104" s="23" t="s">
        <v>47</v>
      </c>
      <c r="D104" s="13" t="s">
        <v>54</v>
      </c>
      <c r="E104" s="13">
        <v>2023</v>
      </c>
      <c r="F104" s="27" t="str">
        <f t="shared" si="2"/>
        <v>January 2023</v>
      </c>
      <c r="G104" s="16">
        <v>31452700</v>
      </c>
      <c r="H104" s="14">
        <f t="shared" si="3"/>
        <v>5399300</v>
      </c>
      <c r="I104" s="16">
        <v>2434800</v>
      </c>
      <c r="J104" s="15">
        <v>2964500</v>
      </c>
    </row>
    <row r="105" spans="1:10">
      <c r="A105" s="22" t="s">
        <v>45</v>
      </c>
      <c r="B105" s="22" t="s">
        <v>46</v>
      </c>
      <c r="C105" s="23" t="s">
        <v>47</v>
      </c>
      <c r="D105" s="13" t="s">
        <v>55</v>
      </c>
      <c r="E105" s="13">
        <v>2023</v>
      </c>
      <c r="F105" s="27" t="str">
        <f t="shared" si="2"/>
        <v>February 2023</v>
      </c>
      <c r="G105" s="16">
        <v>31533200</v>
      </c>
      <c r="H105" s="14">
        <f t="shared" si="3"/>
        <v>5458500</v>
      </c>
      <c r="I105" s="16">
        <v>2444100</v>
      </c>
      <c r="J105" s="15">
        <v>3014400</v>
      </c>
    </row>
    <row r="106" spans="1:10">
      <c r="A106" s="22" t="s">
        <v>45</v>
      </c>
      <c r="B106" s="22" t="s">
        <v>46</v>
      </c>
      <c r="C106" s="23" t="s">
        <v>47</v>
      </c>
      <c r="D106" s="13" t="s">
        <v>56</v>
      </c>
      <c r="E106" s="13">
        <v>2023</v>
      </c>
      <c r="F106" s="27" t="str">
        <f t="shared" si="2"/>
        <v>March 2023</v>
      </c>
      <c r="G106" s="16">
        <v>31682800</v>
      </c>
      <c r="H106" s="14">
        <f t="shared" si="3"/>
        <v>5531200</v>
      </c>
      <c r="I106" s="16">
        <v>2450600</v>
      </c>
      <c r="J106" s="15">
        <v>3080600</v>
      </c>
    </row>
    <row r="107" spans="1:10">
      <c r="A107" s="22" t="s">
        <v>45</v>
      </c>
      <c r="B107" s="22" t="s">
        <v>46</v>
      </c>
      <c r="C107" s="23" t="s">
        <v>47</v>
      </c>
      <c r="D107" s="13" t="s">
        <v>57</v>
      </c>
      <c r="E107" s="13">
        <v>2023</v>
      </c>
      <c r="F107" s="27" t="str">
        <f t="shared" si="2"/>
        <v>April 2023</v>
      </c>
      <c r="G107" s="16">
        <v>31750000</v>
      </c>
      <c r="H107" s="14">
        <f t="shared" si="3"/>
        <v>5590600</v>
      </c>
      <c r="I107" s="16">
        <v>2454200</v>
      </c>
      <c r="J107" s="15">
        <v>3136400</v>
      </c>
    </row>
    <row r="108" spans="1:10">
      <c r="A108" s="22" t="s">
        <v>45</v>
      </c>
      <c r="B108" s="22" t="s">
        <v>46</v>
      </c>
      <c r="C108" s="23" t="s">
        <v>47</v>
      </c>
      <c r="D108" s="13" t="s">
        <v>58</v>
      </c>
      <c r="E108" s="13">
        <v>2023</v>
      </c>
      <c r="F108" s="27" t="str">
        <f t="shared" si="2"/>
        <v>May 2023</v>
      </c>
      <c r="G108" s="16">
        <v>31886100</v>
      </c>
      <c r="H108" s="14">
        <f t="shared" si="3"/>
        <v>5663700</v>
      </c>
      <c r="I108" s="16">
        <v>2457600</v>
      </c>
      <c r="J108" s="15">
        <v>3206100</v>
      </c>
    </row>
    <row r="109" spans="1:10">
      <c r="A109" s="22" t="s">
        <v>45</v>
      </c>
      <c r="B109" s="22" t="s">
        <v>46</v>
      </c>
      <c r="C109" s="23" t="s">
        <v>47</v>
      </c>
      <c r="D109" s="13" t="s">
        <v>59</v>
      </c>
      <c r="E109" s="13">
        <v>2023</v>
      </c>
      <c r="F109" s="27" t="str">
        <f t="shared" si="2"/>
        <v>June 2023</v>
      </c>
      <c r="G109" s="16">
        <v>32116300</v>
      </c>
      <c r="H109" s="14">
        <f t="shared" si="3"/>
        <v>5749000</v>
      </c>
      <c r="I109" s="16">
        <v>2463700</v>
      </c>
      <c r="J109" s="15">
        <v>3285300</v>
      </c>
    </row>
    <row r="110" spans="1:10">
      <c r="A110" s="22" t="s">
        <v>45</v>
      </c>
      <c r="B110" s="22" t="s">
        <v>46</v>
      </c>
      <c r="C110" s="23" t="s">
        <v>47</v>
      </c>
      <c r="D110" s="13" t="s">
        <v>48</v>
      </c>
      <c r="E110" s="13">
        <v>2023</v>
      </c>
      <c r="F110" s="27" t="str">
        <f t="shared" si="2"/>
        <v>July 2023</v>
      </c>
      <c r="G110" s="16">
        <v>32114200</v>
      </c>
      <c r="H110" s="14">
        <f t="shared" si="3"/>
        <v>5756300</v>
      </c>
      <c r="I110" s="16">
        <v>2442700</v>
      </c>
      <c r="J110" s="15">
        <v>3313600</v>
      </c>
    </row>
    <row r="111" spans="1:10">
      <c r="A111" s="22" t="s">
        <v>45</v>
      </c>
      <c r="B111" s="22" t="s">
        <v>46</v>
      </c>
      <c r="C111" s="23" t="s">
        <v>47</v>
      </c>
      <c r="D111" s="13" t="s">
        <v>49</v>
      </c>
      <c r="E111" s="13">
        <v>2023</v>
      </c>
      <c r="F111" s="27" t="str">
        <f t="shared" si="2"/>
        <v>August 2023</v>
      </c>
      <c r="G111" s="16">
        <v>32002100</v>
      </c>
      <c r="H111" s="14">
        <f t="shared" si="3"/>
        <v>5749100</v>
      </c>
      <c r="I111" s="16">
        <v>2412500</v>
      </c>
      <c r="J111" s="15">
        <v>3336600</v>
      </c>
    </row>
    <row r="112" spans="1:10">
      <c r="A112" s="22" t="s">
        <v>45</v>
      </c>
      <c r="B112" s="22" t="s">
        <v>46</v>
      </c>
      <c r="C112" s="23" t="s">
        <v>47</v>
      </c>
      <c r="D112" s="13" t="s">
        <v>50</v>
      </c>
      <c r="E112" s="13">
        <v>2023</v>
      </c>
      <c r="F112" s="27" t="str">
        <f t="shared" si="2"/>
        <v>September 2023</v>
      </c>
      <c r="G112" s="16">
        <v>32091200</v>
      </c>
      <c r="H112" s="14">
        <f t="shared" si="3"/>
        <v>5818000</v>
      </c>
      <c r="I112" s="16">
        <v>2417200</v>
      </c>
      <c r="J112" s="15">
        <v>3400800</v>
      </c>
    </row>
    <row r="113" spans="1:10">
      <c r="A113" s="22" t="s">
        <v>45</v>
      </c>
      <c r="B113" s="22" t="s">
        <v>46</v>
      </c>
      <c r="C113" s="23" t="s">
        <v>47</v>
      </c>
      <c r="D113" s="13" t="s">
        <v>51</v>
      </c>
      <c r="E113" s="13">
        <v>2023</v>
      </c>
      <c r="F113" s="27" t="str">
        <f t="shared" si="2"/>
        <v>October 2023</v>
      </c>
      <c r="G113" s="16">
        <v>32116400</v>
      </c>
      <c r="H113" s="14">
        <f t="shared" si="3"/>
        <v>5888600</v>
      </c>
      <c r="I113" s="16">
        <v>2422300</v>
      </c>
      <c r="J113" s="15">
        <v>3466300</v>
      </c>
    </row>
    <row r="114" spans="1:10">
      <c r="A114" s="22" t="s">
        <v>45</v>
      </c>
      <c r="B114" s="22" t="s">
        <v>46</v>
      </c>
      <c r="C114" s="23" t="s">
        <v>47</v>
      </c>
      <c r="D114" s="13" t="s">
        <v>52</v>
      </c>
      <c r="E114" s="13">
        <v>2023</v>
      </c>
      <c r="F114" s="27" t="str">
        <f t="shared" si="2"/>
        <v>November 2023</v>
      </c>
      <c r="G114" s="16">
        <v>32300500</v>
      </c>
      <c r="H114" s="14">
        <f t="shared" si="3"/>
        <v>5971800</v>
      </c>
      <c r="I114" s="16">
        <v>2425200</v>
      </c>
      <c r="J114" s="15">
        <v>3546600</v>
      </c>
    </row>
    <row r="115" spans="1:10">
      <c r="A115" s="22" t="s">
        <v>45</v>
      </c>
      <c r="B115" s="22" t="s">
        <v>46</v>
      </c>
      <c r="C115" s="23" t="s">
        <v>47</v>
      </c>
      <c r="D115" s="13" t="s">
        <v>53</v>
      </c>
      <c r="E115" s="13">
        <v>2023</v>
      </c>
      <c r="F115" s="27" t="str">
        <f t="shared" si="2"/>
        <v>December 2023</v>
      </c>
      <c r="G115" s="16">
        <v>32134600</v>
      </c>
      <c r="H115" s="14">
        <f t="shared" si="3"/>
        <v>5971300</v>
      </c>
      <c r="I115" s="16">
        <v>2396200</v>
      </c>
      <c r="J115" s="15">
        <v>3575100</v>
      </c>
    </row>
    <row r="116" spans="1:10">
      <c r="A116" s="22" t="s">
        <v>45</v>
      </c>
      <c r="B116" s="22" t="s">
        <v>46</v>
      </c>
      <c r="C116" s="23" t="s">
        <v>47</v>
      </c>
      <c r="D116" s="13" t="s">
        <v>54</v>
      </c>
      <c r="E116" s="13">
        <v>2024</v>
      </c>
      <c r="F116" s="27" t="str">
        <f t="shared" si="2"/>
        <v>January 2024</v>
      </c>
      <c r="G116" s="16">
        <v>31879000</v>
      </c>
      <c r="H116" s="14">
        <f t="shared" si="3"/>
        <v>5919800</v>
      </c>
      <c r="I116" s="16">
        <v>2364500</v>
      </c>
      <c r="J116" s="15">
        <v>3555300</v>
      </c>
    </row>
    <row r="117" spans="1:10">
      <c r="A117" s="22" t="s">
        <v>45</v>
      </c>
      <c r="B117" s="22" t="s">
        <v>46</v>
      </c>
      <c r="C117" s="23" t="s">
        <v>47</v>
      </c>
      <c r="D117" s="13" t="s">
        <v>55</v>
      </c>
      <c r="E117" s="13">
        <v>2024</v>
      </c>
      <c r="F117" s="27" t="str">
        <f t="shared" si="2"/>
        <v>February 2024</v>
      </c>
      <c r="G117" s="16">
        <v>31885700</v>
      </c>
      <c r="H117" s="14">
        <f t="shared" si="3"/>
        <v>5959200</v>
      </c>
      <c r="I117" s="16">
        <v>2368100</v>
      </c>
      <c r="J117" s="15">
        <v>3591100</v>
      </c>
    </row>
    <row r="118" spans="1:10">
      <c r="A118" s="22" t="s">
        <v>45</v>
      </c>
      <c r="B118" s="22" t="s">
        <v>46</v>
      </c>
      <c r="C118" s="23" t="s">
        <v>47</v>
      </c>
      <c r="D118" s="13" t="s">
        <v>56</v>
      </c>
      <c r="E118" s="13">
        <v>2024</v>
      </c>
      <c r="F118" s="27" t="str">
        <f t="shared" si="2"/>
        <v>March 2024</v>
      </c>
      <c r="G118" s="16">
        <v>31964800</v>
      </c>
      <c r="H118" s="14">
        <f t="shared" si="3"/>
        <v>6006000</v>
      </c>
      <c r="I118" s="16">
        <v>2368600</v>
      </c>
      <c r="J118" s="15">
        <v>3637400</v>
      </c>
    </row>
    <row r="119" spans="1:10">
      <c r="A119" s="22" t="s">
        <v>45</v>
      </c>
      <c r="B119" s="22" t="s">
        <v>46</v>
      </c>
      <c r="C119" s="23" t="s">
        <v>47</v>
      </c>
      <c r="D119" s="13" t="s">
        <v>57</v>
      </c>
      <c r="E119" s="13">
        <v>2024</v>
      </c>
      <c r="F119" s="27" t="str">
        <f t="shared" si="2"/>
        <v>April 2024</v>
      </c>
      <c r="G119" s="16">
        <v>32042600</v>
      </c>
      <c r="H119" s="14">
        <f t="shared" si="3"/>
        <v>6048500</v>
      </c>
      <c r="I119" s="16">
        <v>2367300</v>
      </c>
      <c r="J119" s="15">
        <v>3681200</v>
      </c>
    </row>
    <row r="120" spans="1:10">
      <c r="A120" s="22" t="s">
        <v>45</v>
      </c>
      <c r="B120" s="22" t="s">
        <v>46</v>
      </c>
      <c r="C120" s="23" t="s">
        <v>47</v>
      </c>
      <c r="D120" s="13" t="s">
        <v>58</v>
      </c>
      <c r="E120" s="13">
        <v>2024</v>
      </c>
      <c r="F120" s="27" t="str">
        <f t="shared" si="2"/>
        <v>May 2024</v>
      </c>
      <c r="G120" s="16">
        <v>32205300</v>
      </c>
      <c r="H120" s="14">
        <f t="shared" si="3"/>
        <v>6114000</v>
      </c>
      <c r="I120" s="16">
        <v>2371900</v>
      </c>
      <c r="J120" s="15">
        <v>3742100</v>
      </c>
    </row>
    <row r="121" spans="1:10">
      <c r="A121" s="22" t="s">
        <v>45</v>
      </c>
      <c r="B121" s="22" t="s">
        <v>46</v>
      </c>
      <c r="C121" s="23" t="s">
        <v>47</v>
      </c>
      <c r="D121" s="13" t="s">
        <v>59</v>
      </c>
      <c r="E121" s="13">
        <v>2024</v>
      </c>
      <c r="F121" s="27" t="str">
        <f t="shared" si="2"/>
        <v>June 2024</v>
      </c>
      <c r="G121" s="16">
        <v>32376900</v>
      </c>
      <c r="H121" s="14">
        <f t="shared" si="3"/>
        <v>6171500</v>
      </c>
      <c r="I121" s="16">
        <v>2373400</v>
      </c>
      <c r="J121" s="15">
        <v>3798100</v>
      </c>
    </row>
    <row r="122" spans="1:10">
      <c r="A122" s="22" t="s">
        <v>45</v>
      </c>
      <c r="B122" s="22" t="s">
        <v>46</v>
      </c>
      <c r="C122" s="23" t="s">
        <v>47</v>
      </c>
      <c r="D122" s="13" t="s">
        <v>48</v>
      </c>
      <c r="E122" s="13">
        <v>2024</v>
      </c>
      <c r="F122" s="27" t="str">
        <f t="shared" si="2"/>
        <v>July 2024</v>
      </c>
      <c r="G122" s="16">
        <v>32462000</v>
      </c>
      <c r="H122" s="14">
        <f t="shared" si="3"/>
        <v>6187000</v>
      </c>
      <c r="I122" s="16">
        <v>2360300</v>
      </c>
      <c r="J122" s="15">
        <v>3826700</v>
      </c>
    </row>
    <row r="123" spans="1:10">
      <c r="A123" s="22" t="s">
        <v>45</v>
      </c>
      <c r="B123" s="22" t="s">
        <v>46</v>
      </c>
      <c r="C123" s="23" t="s">
        <v>47</v>
      </c>
      <c r="D123" s="13" t="s">
        <v>49</v>
      </c>
      <c r="E123" s="13">
        <v>2024</v>
      </c>
      <c r="F123" s="27" t="str">
        <f t="shared" si="2"/>
        <v>August 2024</v>
      </c>
      <c r="G123" s="16">
        <v>32246500</v>
      </c>
      <c r="H123" s="14">
        <f t="shared" si="3"/>
        <v>6160200</v>
      </c>
      <c r="I123" s="16">
        <v>2330200</v>
      </c>
      <c r="J123" s="15">
        <v>3830000</v>
      </c>
    </row>
    <row r="124" spans="1:10">
      <c r="A124" s="22" t="s">
        <v>45</v>
      </c>
      <c r="B124" s="22" t="s">
        <v>46</v>
      </c>
      <c r="C124" s="23" t="s">
        <v>47</v>
      </c>
      <c r="D124" s="13" t="s">
        <v>50</v>
      </c>
      <c r="E124" s="13">
        <v>2024</v>
      </c>
      <c r="F124" s="27" t="str">
        <f t="shared" si="2"/>
        <v>September 2024</v>
      </c>
      <c r="G124" s="16">
        <v>32268200</v>
      </c>
      <c r="H124" s="14">
        <f t="shared" si="3"/>
        <v>6210000</v>
      </c>
      <c r="I124" s="16">
        <v>2332300</v>
      </c>
      <c r="J124" s="15">
        <v>3877700</v>
      </c>
    </row>
    <row r="125" spans="1:10">
      <c r="A125" s="22" t="s">
        <v>45</v>
      </c>
      <c r="B125" s="22" t="s">
        <v>46</v>
      </c>
      <c r="C125" s="23" t="s">
        <v>47</v>
      </c>
      <c r="D125" s="13" t="s">
        <v>51</v>
      </c>
      <c r="E125" s="13">
        <v>2024</v>
      </c>
      <c r="F125" s="27" t="str">
        <f t="shared" si="2"/>
        <v>October 2024</v>
      </c>
      <c r="G125" s="16">
        <v>32367800</v>
      </c>
      <c r="H125" s="14">
        <f t="shared" si="3"/>
        <v>6285200</v>
      </c>
      <c r="I125" s="16">
        <v>2343100</v>
      </c>
      <c r="J125" s="15">
        <v>3942100</v>
      </c>
    </row>
    <row r="126" spans="1:10">
      <c r="A126" s="22" t="s">
        <v>45</v>
      </c>
      <c r="B126" s="22" t="s">
        <v>46</v>
      </c>
      <c r="C126" s="23" t="s">
        <v>47</v>
      </c>
      <c r="D126" s="13" t="s">
        <v>52</v>
      </c>
      <c r="E126" s="13">
        <v>2024</v>
      </c>
      <c r="F126" s="27" t="str">
        <f t="shared" si="2"/>
        <v>November 2024</v>
      </c>
      <c r="G126" s="16">
        <v>32487400</v>
      </c>
      <c r="H126" s="14">
        <f t="shared" si="3"/>
        <v>6338900</v>
      </c>
      <c r="I126" s="16">
        <v>2346600</v>
      </c>
      <c r="J126" s="15">
        <v>3992300</v>
      </c>
    </row>
    <row r="127" spans="1:10">
      <c r="A127" s="22" t="s">
        <v>45</v>
      </c>
      <c r="B127" s="22" t="s">
        <v>46</v>
      </c>
      <c r="C127" s="23" t="s">
        <v>47</v>
      </c>
      <c r="D127" s="13" t="s">
        <v>53</v>
      </c>
      <c r="E127" s="13">
        <v>2024</v>
      </c>
      <c r="F127" s="27" t="str">
        <f t="shared" si="2"/>
        <v>December 2024</v>
      </c>
      <c r="G127" s="16">
        <v>32213700</v>
      </c>
      <c r="H127" s="14">
        <f t="shared" si="3"/>
        <v>6291400</v>
      </c>
      <c r="I127" s="16">
        <v>2316000</v>
      </c>
      <c r="J127" s="15">
        <v>3975400</v>
      </c>
    </row>
    <row r="128" spans="1:10">
      <c r="A128" s="24" t="s">
        <v>45</v>
      </c>
      <c r="B128" s="24" t="s">
        <v>60</v>
      </c>
      <c r="C128" s="25" t="str">
        <f>C2</f>
        <v>UK</v>
      </c>
      <c r="D128" s="17" t="s">
        <v>48</v>
      </c>
      <c r="E128" s="17">
        <v>2014</v>
      </c>
      <c r="F128" s="28" t="str">
        <f>D128&amp;" "&amp;E128</f>
        <v>July 2014</v>
      </c>
      <c r="G128" s="18"/>
      <c r="H128" s="19">
        <f>H2/$G2</f>
        <v>0.12411602287775055</v>
      </c>
      <c r="I128" s="19">
        <f t="shared" ref="I128:J128" si="4">I2/$G2</f>
        <v>6.4769813766094725E-2</v>
      </c>
      <c r="J128" s="19">
        <f t="shared" si="4"/>
        <v>5.934620911165582E-2</v>
      </c>
    </row>
    <row r="129" spans="1:10">
      <c r="A129" s="24" t="s">
        <v>45</v>
      </c>
      <c r="B129" s="24" t="s">
        <v>60</v>
      </c>
      <c r="C129" s="25" t="str">
        <f t="shared" ref="C129:C192" si="5">C3</f>
        <v>UK</v>
      </c>
      <c r="D129" s="17" t="s">
        <v>49</v>
      </c>
      <c r="E129" s="17">
        <v>2014</v>
      </c>
      <c r="F129" s="28" t="str">
        <f t="shared" ref="F129:F192" si="6">D129&amp;" "&amp;E129</f>
        <v>August 2014</v>
      </c>
      <c r="G129" s="18"/>
      <c r="H129" s="19">
        <f t="shared" ref="H129:J144" si="7">H3/$G3</f>
        <v>0.12423907711743885</v>
      </c>
      <c r="I129" s="19">
        <f t="shared" si="7"/>
        <v>6.5076771604916483E-2</v>
      </c>
      <c r="J129" s="19">
        <f t="shared" si="7"/>
        <v>5.9162305512522363E-2</v>
      </c>
    </row>
    <row r="130" spans="1:10">
      <c r="A130" s="24" t="s">
        <v>45</v>
      </c>
      <c r="B130" s="24" t="s">
        <v>60</v>
      </c>
      <c r="C130" s="25" t="str">
        <f t="shared" si="5"/>
        <v>UK</v>
      </c>
      <c r="D130" s="17" t="s">
        <v>50</v>
      </c>
      <c r="E130" s="17">
        <v>2014</v>
      </c>
      <c r="F130" s="28" t="str">
        <f t="shared" si="6"/>
        <v>September 2014</v>
      </c>
      <c r="G130" s="18"/>
      <c r="H130" s="19">
        <f t="shared" si="7"/>
        <v>0.12503517361697339</v>
      </c>
      <c r="I130" s="19">
        <f t="shared" si="7"/>
        <v>6.5753559570037701E-2</v>
      </c>
      <c r="J130" s="19">
        <f t="shared" si="7"/>
        <v>5.9281614046935674E-2</v>
      </c>
    </row>
    <row r="131" spans="1:10">
      <c r="A131" s="24" t="s">
        <v>45</v>
      </c>
      <c r="B131" s="24" t="s">
        <v>60</v>
      </c>
      <c r="C131" s="25" t="str">
        <f t="shared" si="5"/>
        <v>UK</v>
      </c>
      <c r="D131" s="17" t="s">
        <v>51</v>
      </c>
      <c r="E131" s="17">
        <v>2014</v>
      </c>
      <c r="F131" s="28" t="str">
        <f t="shared" si="6"/>
        <v>October 2014</v>
      </c>
      <c r="G131" s="18"/>
      <c r="H131" s="19">
        <f t="shared" si="7"/>
        <v>0.1261364155511901</v>
      </c>
      <c r="I131" s="19">
        <f t="shared" si="7"/>
        <v>6.6629884346545681E-2</v>
      </c>
      <c r="J131" s="19">
        <f t="shared" si="7"/>
        <v>5.9506531204644414E-2</v>
      </c>
    </row>
    <row r="132" spans="1:10">
      <c r="A132" s="24" t="s">
        <v>45</v>
      </c>
      <c r="B132" s="24" t="s">
        <v>60</v>
      </c>
      <c r="C132" s="25" t="str">
        <f t="shared" si="5"/>
        <v>UK</v>
      </c>
      <c r="D132" s="17" t="s">
        <v>52</v>
      </c>
      <c r="E132" s="17">
        <v>2014</v>
      </c>
      <c r="F132" s="28" t="str">
        <f t="shared" si="6"/>
        <v>November 2014</v>
      </c>
      <c r="G132" s="18"/>
      <c r="H132" s="19">
        <f t="shared" si="7"/>
        <v>0.12696028548726598</v>
      </c>
      <c r="I132" s="19">
        <f t="shared" si="7"/>
        <v>6.744776056985935E-2</v>
      </c>
      <c r="J132" s="19">
        <f t="shared" si="7"/>
        <v>5.9512524917406641E-2</v>
      </c>
    </row>
    <row r="133" spans="1:10">
      <c r="A133" s="24" t="s">
        <v>45</v>
      </c>
      <c r="B133" s="24" t="s">
        <v>60</v>
      </c>
      <c r="C133" s="25" t="str">
        <f t="shared" si="5"/>
        <v>UK</v>
      </c>
      <c r="D133" s="17" t="s">
        <v>53</v>
      </c>
      <c r="E133" s="17">
        <v>2014</v>
      </c>
      <c r="F133" s="28" t="str">
        <f t="shared" si="6"/>
        <v>December 2014</v>
      </c>
      <c r="G133" s="18"/>
      <c r="H133" s="19">
        <f t="shared" si="7"/>
        <v>0.12724457334672293</v>
      </c>
      <c r="I133" s="19">
        <f t="shared" si="7"/>
        <v>6.7630390662855783E-2</v>
      </c>
      <c r="J133" s="19">
        <f t="shared" si="7"/>
        <v>5.9614182683867159E-2</v>
      </c>
    </row>
    <row r="134" spans="1:10">
      <c r="A134" s="24" t="s">
        <v>45</v>
      </c>
      <c r="B134" s="24" t="s">
        <v>60</v>
      </c>
      <c r="C134" s="25" t="str">
        <f t="shared" si="5"/>
        <v>UK</v>
      </c>
      <c r="D134" s="17" t="s">
        <v>54</v>
      </c>
      <c r="E134" s="17">
        <v>2015</v>
      </c>
      <c r="F134" s="28" t="str">
        <f t="shared" si="6"/>
        <v>January 2015</v>
      </c>
      <c r="G134" s="18"/>
      <c r="H134" s="19">
        <f t="shared" si="7"/>
        <v>0.12681879761423018</v>
      </c>
      <c r="I134" s="19">
        <f t="shared" si="7"/>
        <v>6.7410313704101207E-2</v>
      </c>
      <c r="J134" s="19">
        <f t="shared" si="7"/>
        <v>5.9408483910128963E-2</v>
      </c>
    </row>
    <row r="135" spans="1:10">
      <c r="A135" s="24" t="s">
        <v>45</v>
      </c>
      <c r="B135" s="24" t="s">
        <v>60</v>
      </c>
      <c r="C135" s="25" t="str">
        <f t="shared" si="5"/>
        <v>UK</v>
      </c>
      <c r="D135" s="17" t="s">
        <v>55</v>
      </c>
      <c r="E135" s="17">
        <v>2015</v>
      </c>
      <c r="F135" s="28" t="str">
        <f t="shared" si="6"/>
        <v>February 2015</v>
      </c>
      <c r="G135" s="18"/>
      <c r="H135" s="19">
        <f t="shared" si="7"/>
        <v>0.12822538732740579</v>
      </c>
      <c r="I135" s="19">
        <f t="shared" si="7"/>
        <v>6.8612784964813961E-2</v>
      </c>
      <c r="J135" s="19">
        <f t="shared" si="7"/>
        <v>5.9612602362591825E-2</v>
      </c>
    </row>
    <row r="136" spans="1:10">
      <c r="A136" s="24" t="s">
        <v>45</v>
      </c>
      <c r="B136" s="24" t="s">
        <v>60</v>
      </c>
      <c r="C136" s="25" t="str">
        <f t="shared" si="5"/>
        <v>UK</v>
      </c>
      <c r="D136" s="17" t="s">
        <v>56</v>
      </c>
      <c r="E136" s="17">
        <v>2015</v>
      </c>
      <c r="F136" s="28" t="str">
        <f t="shared" si="6"/>
        <v>March 2015</v>
      </c>
      <c r="G136" s="18"/>
      <c r="H136" s="19">
        <f t="shared" si="7"/>
        <v>0.12928136291434655</v>
      </c>
      <c r="I136" s="19">
        <f t="shared" si="7"/>
        <v>6.9650369180820057E-2</v>
      </c>
      <c r="J136" s="19">
        <f t="shared" si="7"/>
        <v>5.9630993733526504E-2</v>
      </c>
    </row>
    <row r="137" spans="1:10">
      <c r="A137" s="24" t="s">
        <v>45</v>
      </c>
      <c r="B137" s="24" t="s">
        <v>60</v>
      </c>
      <c r="C137" s="25" t="str">
        <f t="shared" si="5"/>
        <v>UK</v>
      </c>
      <c r="D137" s="17" t="s">
        <v>57</v>
      </c>
      <c r="E137" s="17">
        <v>2015</v>
      </c>
      <c r="F137" s="28" t="str">
        <f t="shared" si="6"/>
        <v>April 2015</v>
      </c>
      <c r="G137" s="18"/>
      <c r="H137" s="19">
        <f t="shared" si="7"/>
        <v>0.13018908630324794</v>
      </c>
      <c r="I137" s="19">
        <f t="shared" si="7"/>
        <v>7.0536776833622153E-2</v>
      </c>
      <c r="J137" s="19">
        <f t="shared" si="7"/>
        <v>5.9652309469625797E-2</v>
      </c>
    </row>
    <row r="138" spans="1:10">
      <c r="A138" s="24" t="s">
        <v>45</v>
      </c>
      <c r="B138" s="24" t="s">
        <v>60</v>
      </c>
      <c r="C138" s="25" t="str">
        <f t="shared" si="5"/>
        <v>UK</v>
      </c>
      <c r="D138" s="17" t="s">
        <v>58</v>
      </c>
      <c r="E138" s="17">
        <v>2015</v>
      </c>
      <c r="F138" s="28" t="str">
        <f t="shared" si="6"/>
        <v>May 2015</v>
      </c>
      <c r="G138" s="18"/>
      <c r="H138" s="19">
        <f t="shared" si="7"/>
        <v>0.13122295588891464</v>
      </c>
      <c r="I138" s="19">
        <f t="shared" si="7"/>
        <v>7.1429312616953344E-2</v>
      </c>
      <c r="J138" s="19">
        <f t="shared" si="7"/>
        <v>5.9793643271961287E-2</v>
      </c>
    </row>
    <row r="139" spans="1:10">
      <c r="A139" s="24" t="s">
        <v>45</v>
      </c>
      <c r="B139" s="24" t="s">
        <v>60</v>
      </c>
      <c r="C139" s="25" t="str">
        <f t="shared" si="5"/>
        <v>UK</v>
      </c>
      <c r="D139" s="17" t="s">
        <v>59</v>
      </c>
      <c r="E139" s="17">
        <v>2015</v>
      </c>
      <c r="F139" s="28" t="str">
        <f t="shared" si="6"/>
        <v>June 2015</v>
      </c>
      <c r="G139" s="18"/>
      <c r="H139" s="19">
        <f t="shared" si="7"/>
        <v>0.13223907372849028</v>
      </c>
      <c r="I139" s="19">
        <f t="shared" si="7"/>
        <v>7.2388159726160153E-2</v>
      </c>
      <c r="J139" s="19">
        <f t="shared" si="7"/>
        <v>5.9850914002330113E-2</v>
      </c>
    </row>
    <row r="140" spans="1:10">
      <c r="A140" s="24" t="s">
        <v>45</v>
      </c>
      <c r="B140" s="24" t="s">
        <v>60</v>
      </c>
      <c r="C140" s="25" t="str">
        <f t="shared" si="5"/>
        <v>UK</v>
      </c>
      <c r="D140" s="17" t="s">
        <v>48</v>
      </c>
      <c r="E140" s="17">
        <v>2015</v>
      </c>
      <c r="F140" s="28" t="str">
        <f t="shared" si="6"/>
        <v>July 2015</v>
      </c>
      <c r="G140" s="18"/>
      <c r="H140" s="19">
        <f t="shared" si="7"/>
        <v>0.1326962270290637</v>
      </c>
      <c r="I140" s="19">
        <f t="shared" si="7"/>
        <v>7.3034304406651943E-2</v>
      </c>
      <c r="J140" s="19">
        <f t="shared" si="7"/>
        <v>5.9661922622411753E-2</v>
      </c>
    </row>
    <row r="141" spans="1:10">
      <c r="A141" s="24" t="s">
        <v>45</v>
      </c>
      <c r="B141" s="24" t="s">
        <v>60</v>
      </c>
      <c r="C141" s="25" t="str">
        <f t="shared" si="5"/>
        <v>UK</v>
      </c>
      <c r="D141" s="17" t="s">
        <v>49</v>
      </c>
      <c r="E141" s="17">
        <v>2015</v>
      </c>
      <c r="F141" s="28" t="str">
        <f t="shared" si="6"/>
        <v>August 2015</v>
      </c>
      <c r="G141" s="18"/>
      <c r="H141" s="19">
        <f t="shared" si="7"/>
        <v>0.13287131571891178</v>
      </c>
      <c r="I141" s="19">
        <f t="shared" si="7"/>
        <v>7.3307482347764505E-2</v>
      </c>
      <c r="J141" s="19">
        <f t="shared" si="7"/>
        <v>5.9563833371147276E-2</v>
      </c>
    </row>
    <row r="142" spans="1:10">
      <c r="A142" s="24" t="s">
        <v>45</v>
      </c>
      <c r="B142" s="24" t="s">
        <v>60</v>
      </c>
      <c r="C142" s="25" t="str">
        <f t="shared" si="5"/>
        <v>UK</v>
      </c>
      <c r="D142" s="17" t="s">
        <v>50</v>
      </c>
      <c r="E142" s="17">
        <v>2015</v>
      </c>
      <c r="F142" s="28" t="str">
        <f t="shared" si="6"/>
        <v>September 2015</v>
      </c>
      <c r="G142" s="18"/>
      <c r="H142" s="19">
        <f t="shared" si="7"/>
        <v>0.13395999465407404</v>
      </c>
      <c r="I142" s="19">
        <f t="shared" si="7"/>
        <v>7.4068489536035315E-2</v>
      </c>
      <c r="J142" s="19">
        <f t="shared" si="7"/>
        <v>5.9891505118038729E-2</v>
      </c>
    </row>
    <row r="143" spans="1:10">
      <c r="A143" s="24" t="s">
        <v>45</v>
      </c>
      <c r="B143" s="24" t="s">
        <v>60</v>
      </c>
      <c r="C143" s="25" t="str">
        <f t="shared" si="5"/>
        <v>UK</v>
      </c>
      <c r="D143" s="17" t="s">
        <v>51</v>
      </c>
      <c r="E143" s="17">
        <v>2015</v>
      </c>
      <c r="F143" s="28" t="str">
        <f t="shared" si="6"/>
        <v>October 2015</v>
      </c>
      <c r="G143" s="18"/>
      <c r="H143" s="19">
        <f t="shared" si="7"/>
        <v>0.13518639387902254</v>
      </c>
      <c r="I143" s="19">
        <f t="shared" si="7"/>
        <v>7.5035966551960986E-2</v>
      </c>
      <c r="J143" s="19">
        <f t="shared" si="7"/>
        <v>6.0150427327061544E-2</v>
      </c>
    </row>
    <row r="144" spans="1:10">
      <c r="A144" s="24" t="s">
        <v>45</v>
      </c>
      <c r="B144" s="24" t="s">
        <v>60</v>
      </c>
      <c r="C144" s="25" t="str">
        <f t="shared" si="5"/>
        <v>UK</v>
      </c>
      <c r="D144" s="17" t="s">
        <v>52</v>
      </c>
      <c r="E144" s="17">
        <v>2015</v>
      </c>
      <c r="F144" s="28" t="str">
        <f t="shared" si="6"/>
        <v>November 2015</v>
      </c>
      <c r="G144" s="18"/>
      <c r="H144" s="19">
        <f t="shared" si="7"/>
        <v>0.13584918478260868</v>
      </c>
      <c r="I144" s="19">
        <f t="shared" si="7"/>
        <v>7.5703124999999996E-2</v>
      </c>
      <c r="J144" s="19">
        <f t="shared" si="7"/>
        <v>6.0146059782608695E-2</v>
      </c>
    </row>
    <row r="145" spans="1:10">
      <c r="A145" s="24" t="s">
        <v>45</v>
      </c>
      <c r="B145" s="24" t="s">
        <v>60</v>
      </c>
      <c r="C145" s="25" t="str">
        <f t="shared" si="5"/>
        <v>UK</v>
      </c>
      <c r="D145" s="17" t="s">
        <v>53</v>
      </c>
      <c r="E145" s="17">
        <v>2015</v>
      </c>
      <c r="F145" s="28" t="str">
        <f t="shared" si="6"/>
        <v>December 2015</v>
      </c>
      <c r="G145" s="18"/>
      <c r="H145" s="19">
        <f t="shared" ref="H145:J160" si="8">H19/$G19</f>
        <v>0.13606684297792454</v>
      </c>
      <c r="I145" s="19">
        <f t="shared" si="8"/>
        <v>7.580470559217288E-2</v>
      </c>
      <c r="J145" s="19">
        <f t="shared" si="8"/>
        <v>6.0262137385751674E-2</v>
      </c>
    </row>
    <row r="146" spans="1:10">
      <c r="A146" s="24" t="s">
        <v>45</v>
      </c>
      <c r="B146" s="24" t="s">
        <v>60</v>
      </c>
      <c r="C146" s="25" t="str">
        <f t="shared" si="5"/>
        <v>UK</v>
      </c>
      <c r="D146" s="17" t="s">
        <v>54</v>
      </c>
      <c r="E146" s="17">
        <v>2016</v>
      </c>
      <c r="F146" s="28" t="str">
        <f t="shared" si="6"/>
        <v>January 2016</v>
      </c>
      <c r="G146" s="18"/>
      <c r="H146" s="19">
        <f t="shared" si="8"/>
        <v>0.13558837508868851</v>
      </c>
      <c r="I146" s="19">
        <f t="shared" si="8"/>
        <v>7.532840581107797E-2</v>
      </c>
      <c r="J146" s="19">
        <f t="shared" si="8"/>
        <v>6.0259969277610542E-2</v>
      </c>
    </row>
    <row r="147" spans="1:10">
      <c r="A147" s="24" t="s">
        <v>45</v>
      </c>
      <c r="B147" s="24" t="s">
        <v>60</v>
      </c>
      <c r="C147" s="25" t="str">
        <f t="shared" si="5"/>
        <v>UK</v>
      </c>
      <c r="D147" s="17" t="s">
        <v>55</v>
      </c>
      <c r="E147" s="17">
        <v>2016</v>
      </c>
      <c r="F147" s="28" t="str">
        <f t="shared" si="6"/>
        <v>February 2016</v>
      </c>
      <c r="G147" s="18"/>
      <c r="H147" s="19">
        <f t="shared" si="8"/>
        <v>0.13696565535609212</v>
      </c>
      <c r="I147" s="19">
        <f t="shared" si="8"/>
        <v>7.6455629995905203E-2</v>
      </c>
      <c r="J147" s="19">
        <f t="shared" si="8"/>
        <v>6.0510025360186917E-2</v>
      </c>
    </row>
    <row r="148" spans="1:10">
      <c r="A148" s="24" t="s">
        <v>45</v>
      </c>
      <c r="B148" s="24" t="s">
        <v>60</v>
      </c>
      <c r="C148" s="25" t="str">
        <f t="shared" si="5"/>
        <v>UK</v>
      </c>
      <c r="D148" s="17" t="s">
        <v>56</v>
      </c>
      <c r="E148" s="17">
        <v>2016</v>
      </c>
      <c r="F148" s="28" t="str">
        <f t="shared" si="6"/>
        <v>March 2016</v>
      </c>
      <c r="G148" s="18"/>
      <c r="H148" s="19">
        <f t="shared" si="8"/>
        <v>0.13784730201084477</v>
      </c>
      <c r="I148" s="19">
        <f t="shared" si="8"/>
        <v>7.7319605307834507E-2</v>
      </c>
      <c r="J148" s="19">
        <f t="shared" si="8"/>
        <v>6.0527696703010267E-2</v>
      </c>
    </row>
    <row r="149" spans="1:10">
      <c r="A149" s="24" t="s">
        <v>45</v>
      </c>
      <c r="B149" s="24" t="s">
        <v>60</v>
      </c>
      <c r="C149" s="25" t="str">
        <f t="shared" si="5"/>
        <v>UK</v>
      </c>
      <c r="D149" s="17" t="s">
        <v>57</v>
      </c>
      <c r="E149" s="17">
        <v>2016</v>
      </c>
      <c r="F149" s="28" t="str">
        <f t="shared" si="6"/>
        <v>April 2016</v>
      </c>
      <c r="G149" s="18"/>
      <c r="H149" s="19">
        <f t="shared" si="8"/>
        <v>0.13828116714505154</v>
      </c>
      <c r="I149" s="19">
        <f t="shared" si="8"/>
        <v>7.7888355576234247E-2</v>
      </c>
      <c r="J149" s="19">
        <f t="shared" si="8"/>
        <v>6.039281156881729E-2</v>
      </c>
    </row>
    <row r="150" spans="1:10">
      <c r="A150" s="24" t="s">
        <v>45</v>
      </c>
      <c r="B150" s="24" t="s">
        <v>60</v>
      </c>
      <c r="C150" s="25" t="str">
        <f t="shared" si="5"/>
        <v>UK</v>
      </c>
      <c r="D150" s="17" t="s">
        <v>58</v>
      </c>
      <c r="E150" s="17">
        <v>2016</v>
      </c>
      <c r="F150" s="28" t="str">
        <f t="shared" si="6"/>
        <v>May 2016</v>
      </c>
      <c r="G150" s="18"/>
      <c r="H150" s="19">
        <f t="shared" si="8"/>
        <v>0.13916913643679374</v>
      </c>
      <c r="I150" s="19">
        <f t="shared" si="8"/>
        <v>7.8690108783307872E-2</v>
      </c>
      <c r="J150" s="19">
        <f t="shared" si="8"/>
        <v>6.047902765348586E-2</v>
      </c>
    </row>
    <row r="151" spans="1:10">
      <c r="A151" s="24" t="s">
        <v>45</v>
      </c>
      <c r="B151" s="24" t="s">
        <v>60</v>
      </c>
      <c r="C151" s="25" t="str">
        <f t="shared" si="5"/>
        <v>UK</v>
      </c>
      <c r="D151" s="17" t="s">
        <v>59</v>
      </c>
      <c r="E151" s="17">
        <v>2016</v>
      </c>
      <c r="F151" s="28" t="str">
        <f t="shared" si="6"/>
        <v>June 2016</v>
      </c>
      <c r="G151" s="18"/>
      <c r="H151" s="19">
        <f t="shared" si="8"/>
        <v>0.13981847109015305</v>
      </c>
      <c r="I151" s="19">
        <f t="shared" si="8"/>
        <v>7.9367384923034315E-2</v>
      </c>
      <c r="J151" s="19">
        <f t="shared" si="8"/>
        <v>6.0451086167118744E-2</v>
      </c>
    </row>
    <row r="152" spans="1:10">
      <c r="A152" s="24" t="s">
        <v>45</v>
      </c>
      <c r="B152" s="24" t="s">
        <v>60</v>
      </c>
      <c r="C152" s="25" t="str">
        <f t="shared" si="5"/>
        <v>UK</v>
      </c>
      <c r="D152" s="17" t="s">
        <v>48</v>
      </c>
      <c r="E152" s="17">
        <v>2016</v>
      </c>
      <c r="F152" s="28" t="str">
        <f t="shared" si="6"/>
        <v>July 2016</v>
      </c>
      <c r="G152" s="18"/>
      <c r="H152" s="19">
        <f t="shared" si="8"/>
        <v>0.13986527203132207</v>
      </c>
      <c r="I152" s="19">
        <f t="shared" si="8"/>
        <v>7.9634935009409408E-2</v>
      </c>
      <c r="J152" s="19">
        <f t="shared" si="8"/>
        <v>6.0230337021912654E-2</v>
      </c>
    </row>
    <row r="153" spans="1:10">
      <c r="A153" s="24" t="s">
        <v>45</v>
      </c>
      <c r="B153" s="24" t="s">
        <v>60</v>
      </c>
      <c r="C153" s="25" t="str">
        <f t="shared" si="5"/>
        <v>UK</v>
      </c>
      <c r="D153" s="17" t="s">
        <v>49</v>
      </c>
      <c r="E153" s="17">
        <v>2016</v>
      </c>
      <c r="F153" s="28" t="str">
        <f t="shared" si="6"/>
        <v>August 2016</v>
      </c>
      <c r="G153" s="18"/>
      <c r="H153" s="19">
        <f t="shared" si="8"/>
        <v>0.14015526476371279</v>
      </c>
      <c r="I153" s="19">
        <f t="shared" si="8"/>
        <v>7.9896942165570542E-2</v>
      </c>
      <c r="J153" s="19">
        <f t="shared" si="8"/>
        <v>6.0258322598142247E-2</v>
      </c>
    </row>
    <row r="154" spans="1:10">
      <c r="A154" s="24" t="s">
        <v>45</v>
      </c>
      <c r="B154" s="24" t="s">
        <v>60</v>
      </c>
      <c r="C154" s="25" t="str">
        <f t="shared" si="5"/>
        <v>UK</v>
      </c>
      <c r="D154" s="17" t="s">
        <v>50</v>
      </c>
      <c r="E154" s="17">
        <v>2016</v>
      </c>
      <c r="F154" s="28" t="str">
        <f t="shared" si="6"/>
        <v>September 2016</v>
      </c>
      <c r="G154" s="18"/>
      <c r="H154" s="19">
        <f t="shared" si="8"/>
        <v>0.14098779708469006</v>
      </c>
      <c r="I154" s="19">
        <f t="shared" si="8"/>
        <v>8.0395876232886673E-2</v>
      </c>
      <c r="J154" s="19">
        <f t="shared" si="8"/>
        <v>6.0591920851803385E-2</v>
      </c>
    </row>
    <row r="155" spans="1:10">
      <c r="A155" s="24" t="s">
        <v>45</v>
      </c>
      <c r="B155" s="24" t="s">
        <v>60</v>
      </c>
      <c r="C155" s="25" t="str">
        <f t="shared" si="5"/>
        <v>UK</v>
      </c>
      <c r="D155" s="17" t="s">
        <v>51</v>
      </c>
      <c r="E155" s="17">
        <v>2016</v>
      </c>
      <c r="F155" s="28" t="str">
        <f t="shared" si="6"/>
        <v>October 2016</v>
      </c>
      <c r="G155" s="18"/>
      <c r="H155" s="19">
        <f t="shared" si="8"/>
        <v>0.14195850947448035</v>
      </c>
      <c r="I155" s="19">
        <f t="shared" si="8"/>
        <v>8.0995664564227923E-2</v>
      </c>
      <c r="J155" s="19">
        <f t="shared" si="8"/>
        <v>6.0962844910252431E-2</v>
      </c>
    </row>
    <row r="156" spans="1:10">
      <c r="A156" s="24" t="s">
        <v>45</v>
      </c>
      <c r="B156" s="24" t="s">
        <v>60</v>
      </c>
      <c r="C156" s="25" t="str">
        <f t="shared" si="5"/>
        <v>UK</v>
      </c>
      <c r="D156" s="17" t="s">
        <v>52</v>
      </c>
      <c r="E156" s="17">
        <v>2016</v>
      </c>
      <c r="F156" s="28" t="str">
        <f t="shared" si="6"/>
        <v>November 2016</v>
      </c>
      <c r="G156" s="18"/>
      <c r="H156" s="19">
        <f t="shared" si="8"/>
        <v>0.14248931649037058</v>
      </c>
      <c r="I156" s="19">
        <f t="shared" si="8"/>
        <v>8.1386019624759554E-2</v>
      </c>
      <c r="J156" s="19">
        <f t="shared" si="8"/>
        <v>6.1103296865611015E-2</v>
      </c>
    </row>
    <row r="157" spans="1:10">
      <c r="A157" s="24" t="s">
        <v>45</v>
      </c>
      <c r="B157" s="24" t="s">
        <v>60</v>
      </c>
      <c r="C157" s="25" t="str">
        <f t="shared" si="5"/>
        <v>UK</v>
      </c>
      <c r="D157" s="17" t="s">
        <v>53</v>
      </c>
      <c r="E157" s="17">
        <v>2016</v>
      </c>
      <c r="F157" s="28" t="str">
        <f t="shared" si="6"/>
        <v>December 2016</v>
      </c>
      <c r="G157" s="18"/>
      <c r="H157" s="19">
        <f t="shared" si="8"/>
        <v>0.14248415904454381</v>
      </c>
      <c r="I157" s="19">
        <f t="shared" si="8"/>
        <v>8.1261737168488321E-2</v>
      </c>
      <c r="J157" s="19">
        <f t="shared" si="8"/>
        <v>6.1222421876055498E-2</v>
      </c>
    </row>
    <row r="158" spans="1:10">
      <c r="A158" s="24" t="s">
        <v>45</v>
      </c>
      <c r="B158" s="24" t="s">
        <v>60</v>
      </c>
      <c r="C158" s="25" t="str">
        <f t="shared" si="5"/>
        <v>UK</v>
      </c>
      <c r="D158" s="17" t="s">
        <v>54</v>
      </c>
      <c r="E158" s="17">
        <v>2017</v>
      </c>
      <c r="F158" s="28" t="str">
        <f t="shared" si="6"/>
        <v>January 2017</v>
      </c>
      <c r="G158" s="20"/>
      <c r="H158" s="19">
        <f t="shared" si="8"/>
        <v>0.14187167977457349</v>
      </c>
      <c r="I158" s="19">
        <f t="shared" si="8"/>
        <v>8.060086508781901E-2</v>
      </c>
      <c r="J158" s="19">
        <f t="shared" si="8"/>
        <v>6.1270814686754493E-2</v>
      </c>
    </row>
    <row r="159" spans="1:10">
      <c r="A159" s="24" t="s">
        <v>45</v>
      </c>
      <c r="B159" s="24" t="s">
        <v>60</v>
      </c>
      <c r="C159" s="25" t="str">
        <f t="shared" si="5"/>
        <v>UK</v>
      </c>
      <c r="D159" s="17" t="s">
        <v>55</v>
      </c>
      <c r="E159" s="17">
        <v>2017</v>
      </c>
      <c r="F159" s="28" t="str">
        <f t="shared" si="6"/>
        <v>February 2017</v>
      </c>
      <c r="G159" s="20"/>
      <c r="H159" s="19">
        <f t="shared" si="8"/>
        <v>0.14295857425312036</v>
      </c>
      <c r="I159" s="19">
        <f t="shared" si="8"/>
        <v>8.1577534838529947E-2</v>
      </c>
      <c r="J159" s="19">
        <f t="shared" si="8"/>
        <v>6.1381039414590395E-2</v>
      </c>
    </row>
    <row r="160" spans="1:10">
      <c r="A160" s="24" t="s">
        <v>45</v>
      </c>
      <c r="B160" s="24" t="s">
        <v>60</v>
      </c>
      <c r="C160" s="25" t="str">
        <f t="shared" si="5"/>
        <v>UK</v>
      </c>
      <c r="D160" s="17" t="s">
        <v>56</v>
      </c>
      <c r="E160" s="17">
        <v>2017</v>
      </c>
      <c r="F160" s="28" t="str">
        <f t="shared" si="6"/>
        <v>March 2017</v>
      </c>
      <c r="G160" s="20"/>
      <c r="H160" s="19">
        <f t="shared" si="8"/>
        <v>0.14378393363038289</v>
      </c>
      <c r="I160" s="19">
        <f t="shared" si="8"/>
        <v>8.2353497995253516E-2</v>
      </c>
      <c r="J160" s="19">
        <f t="shared" si="8"/>
        <v>6.1430435635129378E-2</v>
      </c>
    </row>
    <row r="161" spans="1:10">
      <c r="A161" s="24" t="s">
        <v>45</v>
      </c>
      <c r="B161" s="24" t="s">
        <v>60</v>
      </c>
      <c r="C161" s="25" t="str">
        <f t="shared" si="5"/>
        <v>UK</v>
      </c>
      <c r="D161" s="17" t="s">
        <v>57</v>
      </c>
      <c r="E161" s="17">
        <v>2017</v>
      </c>
      <c r="F161" s="28" t="str">
        <f t="shared" si="6"/>
        <v>April 2017</v>
      </c>
      <c r="G161" s="20"/>
      <c r="H161" s="19">
        <f t="shared" ref="H161:J176" si="9">H35/$G35</f>
        <v>0.14427058744182911</v>
      </c>
      <c r="I161" s="19">
        <f t="shared" si="9"/>
        <v>8.2666756592702506E-2</v>
      </c>
      <c r="J161" s="19">
        <f t="shared" si="9"/>
        <v>6.1603830849126594E-2</v>
      </c>
    </row>
    <row r="162" spans="1:10">
      <c r="A162" s="24" t="s">
        <v>45</v>
      </c>
      <c r="B162" s="24" t="s">
        <v>60</v>
      </c>
      <c r="C162" s="25" t="str">
        <f t="shared" si="5"/>
        <v>UK</v>
      </c>
      <c r="D162" s="17" t="s">
        <v>58</v>
      </c>
      <c r="E162" s="17">
        <v>2017</v>
      </c>
      <c r="F162" s="28" t="str">
        <f t="shared" si="6"/>
        <v>May 2017</v>
      </c>
      <c r="G162" s="20"/>
      <c r="H162" s="19">
        <f t="shared" si="9"/>
        <v>0.14495350054350015</v>
      </c>
      <c r="I162" s="19">
        <f t="shared" si="9"/>
        <v>8.3048163506313999E-2</v>
      </c>
      <c r="J162" s="19">
        <f t="shared" si="9"/>
        <v>6.1905337037186148E-2</v>
      </c>
    </row>
    <row r="163" spans="1:10">
      <c r="A163" s="24" t="s">
        <v>45</v>
      </c>
      <c r="B163" s="24" t="s">
        <v>60</v>
      </c>
      <c r="C163" s="25" t="str">
        <f t="shared" si="5"/>
        <v>UK</v>
      </c>
      <c r="D163" s="17" t="s">
        <v>59</v>
      </c>
      <c r="E163" s="17">
        <v>2017</v>
      </c>
      <c r="F163" s="28" t="str">
        <f t="shared" si="6"/>
        <v>June 2017</v>
      </c>
      <c r="G163" s="20"/>
      <c r="H163" s="19">
        <f t="shared" si="9"/>
        <v>0.1452928514784185</v>
      </c>
      <c r="I163" s="19">
        <f t="shared" si="9"/>
        <v>8.338386901152213E-2</v>
      </c>
      <c r="J163" s="19">
        <f t="shared" si="9"/>
        <v>6.1908982466896356E-2</v>
      </c>
    </row>
    <row r="164" spans="1:10">
      <c r="A164" s="24" t="s">
        <v>45</v>
      </c>
      <c r="B164" s="24" t="s">
        <v>60</v>
      </c>
      <c r="C164" s="25" t="str">
        <f t="shared" si="5"/>
        <v>UK</v>
      </c>
      <c r="D164" s="17" t="s">
        <v>48</v>
      </c>
      <c r="E164" s="17">
        <v>2017</v>
      </c>
      <c r="F164" s="28" t="str">
        <f t="shared" si="6"/>
        <v>July 2017</v>
      </c>
      <c r="G164" s="20"/>
      <c r="H164" s="19">
        <f t="shared" si="9"/>
        <v>0.1451354866176407</v>
      </c>
      <c r="I164" s="19">
        <f t="shared" si="9"/>
        <v>8.3307556451371501E-2</v>
      </c>
      <c r="J164" s="19">
        <f t="shared" si="9"/>
        <v>6.1827930166269203E-2</v>
      </c>
    </row>
    <row r="165" spans="1:10">
      <c r="A165" s="24" t="s">
        <v>45</v>
      </c>
      <c r="B165" s="24" t="s">
        <v>60</v>
      </c>
      <c r="C165" s="25" t="str">
        <f t="shared" si="5"/>
        <v>UK</v>
      </c>
      <c r="D165" s="17" t="s">
        <v>49</v>
      </c>
      <c r="E165" s="17">
        <v>2017</v>
      </c>
      <c r="F165" s="28" t="str">
        <f t="shared" si="6"/>
        <v>August 2017</v>
      </c>
      <c r="G165" s="20"/>
      <c r="H165" s="19">
        <f t="shared" si="9"/>
        <v>0.14474967598840238</v>
      </c>
      <c r="I165" s="19">
        <f t="shared" si="9"/>
        <v>8.3017115829135651E-2</v>
      </c>
      <c r="J165" s="19">
        <f t="shared" si="9"/>
        <v>6.1732560159266731E-2</v>
      </c>
    </row>
    <row r="166" spans="1:10">
      <c r="A166" s="24" t="s">
        <v>45</v>
      </c>
      <c r="B166" s="24" t="s">
        <v>60</v>
      </c>
      <c r="C166" s="25" t="str">
        <f t="shared" si="5"/>
        <v>UK</v>
      </c>
      <c r="D166" s="17" t="s">
        <v>50</v>
      </c>
      <c r="E166" s="17">
        <v>2017</v>
      </c>
      <c r="F166" s="28" t="str">
        <f t="shared" si="6"/>
        <v>September 2017</v>
      </c>
      <c r="G166" s="20"/>
      <c r="H166" s="19">
        <f t="shared" si="9"/>
        <v>0.1453022481265612</v>
      </c>
      <c r="I166" s="19">
        <f t="shared" si="9"/>
        <v>8.3270607826810991E-2</v>
      </c>
      <c r="J166" s="19">
        <f t="shared" si="9"/>
        <v>6.203164029975021E-2</v>
      </c>
    </row>
    <row r="167" spans="1:10">
      <c r="A167" s="24" t="s">
        <v>45</v>
      </c>
      <c r="B167" s="24" t="s">
        <v>60</v>
      </c>
      <c r="C167" s="25" t="str">
        <f t="shared" si="5"/>
        <v>UK</v>
      </c>
      <c r="D167" s="17" t="s">
        <v>51</v>
      </c>
      <c r="E167" s="17">
        <v>2017</v>
      </c>
      <c r="F167" s="28" t="str">
        <f t="shared" si="6"/>
        <v>October 2017</v>
      </c>
      <c r="G167" s="20"/>
      <c r="H167" s="19">
        <f t="shared" si="9"/>
        <v>0.14641778735517513</v>
      </c>
      <c r="I167" s="19">
        <f t="shared" si="9"/>
        <v>8.394189712279021E-2</v>
      </c>
      <c r="J167" s="19">
        <f t="shared" si="9"/>
        <v>6.2475890232384902E-2</v>
      </c>
    </row>
    <row r="168" spans="1:10">
      <c r="A168" s="24" t="s">
        <v>45</v>
      </c>
      <c r="B168" s="24" t="s">
        <v>60</v>
      </c>
      <c r="C168" s="25" t="str">
        <f t="shared" si="5"/>
        <v>UK</v>
      </c>
      <c r="D168" s="17" t="s">
        <v>52</v>
      </c>
      <c r="E168" s="17">
        <v>2017</v>
      </c>
      <c r="F168" s="28" t="str">
        <f t="shared" si="6"/>
        <v>November 2017</v>
      </c>
      <c r="G168" s="20"/>
      <c r="H168" s="19">
        <f t="shared" si="9"/>
        <v>0.14691855350280131</v>
      </c>
      <c r="I168" s="19">
        <f t="shared" si="9"/>
        <v>8.4247812196138347E-2</v>
      </c>
      <c r="J168" s="19">
        <f t="shared" si="9"/>
        <v>6.2670741306662961E-2</v>
      </c>
    </row>
    <row r="169" spans="1:10">
      <c r="A169" s="24" t="s">
        <v>45</v>
      </c>
      <c r="B169" s="24" t="s">
        <v>60</v>
      </c>
      <c r="C169" s="25" t="str">
        <f t="shared" si="5"/>
        <v>UK</v>
      </c>
      <c r="D169" s="17" t="s">
        <v>53</v>
      </c>
      <c r="E169" s="17">
        <v>2017</v>
      </c>
      <c r="F169" s="28" t="str">
        <f t="shared" si="6"/>
        <v>December 2017</v>
      </c>
      <c r="G169" s="20"/>
      <c r="H169" s="19">
        <f t="shared" si="9"/>
        <v>0.14669330004161465</v>
      </c>
      <c r="I169" s="19">
        <f t="shared" si="9"/>
        <v>8.3918435289221813E-2</v>
      </c>
      <c r="J169" s="19">
        <f t="shared" si="9"/>
        <v>6.2774864752392842E-2</v>
      </c>
    </row>
    <row r="170" spans="1:10">
      <c r="A170" s="24" t="s">
        <v>45</v>
      </c>
      <c r="B170" s="24" t="s">
        <v>60</v>
      </c>
      <c r="C170" s="25" t="str">
        <f t="shared" si="5"/>
        <v>UK</v>
      </c>
      <c r="D170" s="17" t="s">
        <v>54</v>
      </c>
      <c r="E170" s="17">
        <v>2018</v>
      </c>
      <c r="F170" s="28" t="str">
        <f t="shared" si="6"/>
        <v>January 2018</v>
      </c>
      <c r="G170" s="21"/>
      <c r="H170" s="19">
        <f t="shared" si="9"/>
        <v>0.14617958017953994</v>
      </c>
      <c r="I170" s="19">
        <f t="shared" si="9"/>
        <v>8.3223271810618199E-2</v>
      </c>
      <c r="J170" s="19">
        <f t="shared" si="9"/>
        <v>6.2956308368921757E-2</v>
      </c>
    </row>
    <row r="171" spans="1:10">
      <c r="A171" s="24" t="s">
        <v>45</v>
      </c>
      <c r="B171" s="24" t="s">
        <v>60</v>
      </c>
      <c r="C171" s="25" t="str">
        <f t="shared" si="5"/>
        <v>UK</v>
      </c>
      <c r="D171" s="17" t="s">
        <v>55</v>
      </c>
      <c r="E171" s="17">
        <v>2018</v>
      </c>
      <c r="F171" s="28" t="str">
        <f t="shared" si="6"/>
        <v>February 2018</v>
      </c>
      <c r="G171" s="21"/>
      <c r="H171" s="19">
        <f t="shared" si="9"/>
        <v>0.14715599158323617</v>
      </c>
      <c r="I171" s="19">
        <f t="shared" si="9"/>
        <v>8.3986704729738779E-2</v>
      </c>
      <c r="J171" s="19">
        <f t="shared" si="9"/>
        <v>6.3169286853497375E-2</v>
      </c>
    </row>
    <row r="172" spans="1:10">
      <c r="A172" s="24" t="s">
        <v>45</v>
      </c>
      <c r="B172" s="24" t="s">
        <v>60</v>
      </c>
      <c r="C172" s="25" t="str">
        <f t="shared" si="5"/>
        <v>UK</v>
      </c>
      <c r="D172" s="17" t="s">
        <v>56</v>
      </c>
      <c r="E172" s="17">
        <v>2018</v>
      </c>
      <c r="F172" s="28" t="str">
        <f t="shared" si="6"/>
        <v>March 2018</v>
      </c>
      <c r="G172" s="21"/>
      <c r="H172" s="19">
        <f t="shared" si="9"/>
        <v>0.14773190843370271</v>
      </c>
      <c r="I172" s="19">
        <f t="shared" si="9"/>
        <v>8.4447372116818589E-2</v>
      </c>
      <c r="J172" s="19">
        <f t="shared" si="9"/>
        <v>6.3284536316884119E-2</v>
      </c>
    </row>
    <row r="173" spans="1:10">
      <c r="A173" s="24" t="s">
        <v>45</v>
      </c>
      <c r="B173" s="24" t="s">
        <v>60</v>
      </c>
      <c r="C173" s="25" t="str">
        <f t="shared" si="5"/>
        <v>UK</v>
      </c>
      <c r="D173" s="17" t="s">
        <v>57</v>
      </c>
      <c r="E173" s="17">
        <v>2018</v>
      </c>
      <c r="F173" s="28" t="str">
        <f t="shared" si="6"/>
        <v>April 2018</v>
      </c>
      <c r="G173" s="21"/>
      <c r="H173" s="19">
        <f t="shared" si="9"/>
        <v>0.14811424386671548</v>
      </c>
      <c r="I173" s="19">
        <f t="shared" si="9"/>
        <v>8.4717552678006722E-2</v>
      </c>
      <c r="J173" s="19">
        <f t="shared" si="9"/>
        <v>6.3396691188708762E-2</v>
      </c>
    </row>
    <row r="174" spans="1:10">
      <c r="A174" s="24" t="s">
        <v>45</v>
      </c>
      <c r="B174" s="24" t="s">
        <v>60</v>
      </c>
      <c r="C174" s="25" t="str">
        <f t="shared" si="5"/>
        <v>UK</v>
      </c>
      <c r="D174" s="17" t="s">
        <v>58</v>
      </c>
      <c r="E174" s="17">
        <v>2018</v>
      </c>
      <c r="F174" s="28" t="str">
        <f t="shared" si="6"/>
        <v>May 2018</v>
      </c>
      <c r="G174" s="21"/>
      <c r="H174" s="19">
        <f t="shared" si="9"/>
        <v>0.14877620695490032</v>
      </c>
      <c r="I174" s="19">
        <f t="shared" si="9"/>
        <v>8.5116407154635546E-2</v>
      </c>
      <c r="J174" s="19">
        <f t="shared" si="9"/>
        <v>6.365979980026476E-2</v>
      </c>
    </row>
    <row r="175" spans="1:10">
      <c r="A175" s="24" t="s">
        <v>45</v>
      </c>
      <c r="B175" s="24" t="s">
        <v>60</v>
      </c>
      <c r="C175" s="25" t="str">
        <f t="shared" si="5"/>
        <v>UK</v>
      </c>
      <c r="D175" s="17" t="s">
        <v>59</v>
      </c>
      <c r="E175" s="17">
        <v>2018</v>
      </c>
      <c r="F175" s="28" t="str">
        <f t="shared" si="6"/>
        <v>June 2018</v>
      </c>
      <c r="G175" s="21"/>
      <c r="H175" s="19">
        <f t="shared" si="9"/>
        <v>0.14920032350174131</v>
      </c>
      <c r="I175" s="19">
        <f t="shared" si="9"/>
        <v>8.539125554987044E-2</v>
      </c>
      <c r="J175" s="19">
        <f t="shared" si="9"/>
        <v>6.3809067951870857E-2</v>
      </c>
    </row>
    <row r="176" spans="1:10">
      <c r="A176" s="24" t="s">
        <v>45</v>
      </c>
      <c r="B176" s="24" t="s">
        <v>60</v>
      </c>
      <c r="C176" s="25" t="str">
        <f t="shared" si="5"/>
        <v>UK</v>
      </c>
      <c r="D176" s="17" t="s">
        <v>48</v>
      </c>
      <c r="E176" s="17">
        <v>2018</v>
      </c>
      <c r="F176" s="28" t="str">
        <f t="shared" si="6"/>
        <v>July 2018</v>
      </c>
      <c r="G176" s="21"/>
      <c r="H176" s="19">
        <f t="shared" si="9"/>
        <v>0.14879190835076089</v>
      </c>
      <c r="I176" s="19">
        <f t="shared" si="9"/>
        <v>8.5023477883439211E-2</v>
      </c>
      <c r="J176" s="19">
        <f t="shared" si="9"/>
        <v>6.3768430467321682E-2</v>
      </c>
    </row>
    <row r="177" spans="1:10">
      <c r="A177" s="24" t="s">
        <v>45</v>
      </c>
      <c r="B177" s="24" t="s">
        <v>60</v>
      </c>
      <c r="C177" s="25" t="str">
        <f t="shared" si="5"/>
        <v>UK</v>
      </c>
      <c r="D177" s="17" t="s">
        <v>49</v>
      </c>
      <c r="E177" s="17">
        <v>2018</v>
      </c>
      <c r="F177" s="28" t="str">
        <f t="shared" si="6"/>
        <v>August 2018</v>
      </c>
      <c r="G177" s="21"/>
      <c r="H177" s="19">
        <f t="shared" ref="H177:J192" si="10">H51/$G51</f>
        <v>0.14823115306277149</v>
      </c>
      <c r="I177" s="19">
        <f t="shared" si="10"/>
        <v>8.4573097179468593E-2</v>
      </c>
      <c r="J177" s="19">
        <f t="shared" si="10"/>
        <v>6.3658055883302908E-2</v>
      </c>
    </row>
    <row r="178" spans="1:10">
      <c r="A178" s="24" t="s">
        <v>45</v>
      </c>
      <c r="B178" s="24" t="s">
        <v>60</v>
      </c>
      <c r="C178" s="25" t="str">
        <f t="shared" si="5"/>
        <v>UK</v>
      </c>
      <c r="D178" s="17" t="s">
        <v>50</v>
      </c>
      <c r="E178" s="17">
        <v>2018</v>
      </c>
      <c r="F178" s="28" t="str">
        <f t="shared" si="6"/>
        <v>September 2018</v>
      </c>
      <c r="G178" s="21"/>
      <c r="H178" s="19">
        <f t="shared" si="10"/>
        <v>0.14882597708950379</v>
      </c>
      <c r="I178" s="19">
        <f t="shared" si="10"/>
        <v>8.4739843639322771E-2</v>
      </c>
      <c r="J178" s="19">
        <f t="shared" si="10"/>
        <v>6.4086133450181035E-2</v>
      </c>
    </row>
    <row r="179" spans="1:10">
      <c r="A179" s="24" t="s">
        <v>45</v>
      </c>
      <c r="B179" s="24" t="s">
        <v>60</v>
      </c>
      <c r="C179" s="25" t="str">
        <f t="shared" si="5"/>
        <v>UK</v>
      </c>
      <c r="D179" s="17" t="s">
        <v>51</v>
      </c>
      <c r="E179" s="17">
        <v>2018</v>
      </c>
      <c r="F179" s="28" t="str">
        <f t="shared" si="6"/>
        <v>October 2018</v>
      </c>
      <c r="G179" s="21"/>
      <c r="H179" s="19">
        <f t="shared" si="10"/>
        <v>0.14980048751443301</v>
      </c>
      <c r="I179" s="19">
        <f t="shared" si="10"/>
        <v>8.5285419634133899E-2</v>
      </c>
      <c r="J179" s="19">
        <f t="shared" si="10"/>
        <v>6.4515067880299093E-2</v>
      </c>
    </row>
    <row r="180" spans="1:10">
      <c r="A180" s="24" t="s">
        <v>45</v>
      </c>
      <c r="B180" s="24" t="s">
        <v>60</v>
      </c>
      <c r="C180" s="25" t="str">
        <f t="shared" si="5"/>
        <v>UK</v>
      </c>
      <c r="D180" s="17" t="s">
        <v>52</v>
      </c>
      <c r="E180" s="17">
        <v>2018</v>
      </c>
      <c r="F180" s="28" t="str">
        <f t="shared" si="6"/>
        <v>November 2018</v>
      </c>
      <c r="G180" s="21"/>
      <c r="H180" s="19">
        <f t="shared" si="10"/>
        <v>0.15032859065313109</v>
      </c>
      <c r="I180" s="19">
        <f t="shared" si="10"/>
        <v>8.5587086322005776E-2</v>
      </c>
      <c r="J180" s="19">
        <f t="shared" si="10"/>
        <v>6.4741504331125313E-2</v>
      </c>
    </row>
    <row r="181" spans="1:10">
      <c r="A181" s="24" t="s">
        <v>45</v>
      </c>
      <c r="B181" s="24" t="s">
        <v>60</v>
      </c>
      <c r="C181" s="25" t="str">
        <f t="shared" si="5"/>
        <v>UK</v>
      </c>
      <c r="D181" s="17" t="s">
        <v>53</v>
      </c>
      <c r="E181" s="17">
        <v>2018</v>
      </c>
      <c r="F181" s="28" t="str">
        <f t="shared" si="6"/>
        <v>December 2018</v>
      </c>
      <c r="G181" s="21"/>
      <c r="H181" s="19">
        <f t="shared" si="10"/>
        <v>0.15030200038202884</v>
      </c>
      <c r="I181" s="19">
        <f t="shared" si="10"/>
        <v>8.5320871289215588E-2</v>
      </c>
      <c r="J181" s="19">
        <f t="shared" si="10"/>
        <v>6.4981129092813242E-2</v>
      </c>
    </row>
    <row r="182" spans="1:10">
      <c r="A182" s="24" t="s">
        <v>45</v>
      </c>
      <c r="B182" s="24" t="s">
        <v>60</v>
      </c>
      <c r="C182" s="25" t="str">
        <f t="shared" si="5"/>
        <v>UK</v>
      </c>
      <c r="D182" s="17" t="s">
        <v>54</v>
      </c>
      <c r="E182" s="17">
        <v>2019</v>
      </c>
      <c r="F182" s="28" t="str">
        <f t="shared" si="6"/>
        <v>January 2019</v>
      </c>
      <c r="G182" s="21"/>
      <c r="H182" s="19">
        <f t="shared" si="10"/>
        <v>0.14981985953352403</v>
      </c>
      <c r="I182" s="19">
        <f t="shared" si="10"/>
        <v>8.4657733113695649E-2</v>
      </c>
      <c r="J182" s="19">
        <f t="shared" si="10"/>
        <v>6.5162126419828381E-2</v>
      </c>
    </row>
    <row r="183" spans="1:10">
      <c r="A183" s="24" t="s">
        <v>45</v>
      </c>
      <c r="B183" s="24" t="s">
        <v>60</v>
      </c>
      <c r="C183" s="25" t="str">
        <f t="shared" si="5"/>
        <v>UK</v>
      </c>
      <c r="D183" s="17" t="s">
        <v>55</v>
      </c>
      <c r="E183" s="17">
        <v>2019</v>
      </c>
      <c r="F183" s="28" t="str">
        <f t="shared" si="6"/>
        <v>February 2019</v>
      </c>
      <c r="G183" s="21"/>
      <c r="H183" s="19">
        <f t="shared" si="10"/>
        <v>0.15080925429450898</v>
      </c>
      <c r="I183" s="19">
        <f t="shared" si="10"/>
        <v>8.5330817859861643E-2</v>
      </c>
      <c r="J183" s="19">
        <f t="shared" si="10"/>
        <v>6.5478436434647333E-2</v>
      </c>
    </row>
    <row r="184" spans="1:10">
      <c r="A184" s="24" t="s">
        <v>45</v>
      </c>
      <c r="B184" s="24" t="s">
        <v>60</v>
      </c>
      <c r="C184" s="25" t="str">
        <f t="shared" si="5"/>
        <v>UK</v>
      </c>
      <c r="D184" s="17" t="s">
        <v>56</v>
      </c>
      <c r="E184" s="17">
        <v>2019</v>
      </c>
      <c r="F184" s="28" t="str">
        <f t="shared" si="6"/>
        <v>March 2019</v>
      </c>
      <c r="G184" s="21"/>
      <c r="H184" s="19">
        <f t="shared" si="10"/>
        <v>0.15155247186978268</v>
      </c>
      <c r="I184" s="19">
        <f t="shared" si="10"/>
        <v>8.5851085199076652E-2</v>
      </c>
      <c r="J184" s="19">
        <f t="shared" si="10"/>
        <v>6.5701386670706047E-2</v>
      </c>
    </row>
    <row r="185" spans="1:10">
      <c r="A185" s="24" t="s">
        <v>45</v>
      </c>
      <c r="B185" s="24" t="s">
        <v>60</v>
      </c>
      <c r="C185" s="25" t="str">
        <f t="shared" si="5"/>
        <v>UK</v>
      </c>
      <c r="D185" s="17" t="s">
        <v>57</v>
      </c>
      <c r="E185" s="17">
        <v>2019</v>
      </c>
      <c r="F185" s="28" t="str">
        <f t="shared" si="6"/>
        <v>April 2019</v>
      </c>
      <c r="G185" s="21"/>
      <c r="H185" s="19">
        <f t="shared" si="10"/>
        <v>0.15246378528507776</v>
      </c>
      <c r="I185" s="19">
        <f t="shared" si="10"/>
        <v>8.6424993912110629E-2</v>
      </c>
      <c r="J185" s="19">
        <f t="shared" si="10"/>
        <v>6.6038791372967143E-2</v>
      </c>
    </row>
    <row r="186" spans="1:10">
      <c r="A186" s="24" t="s">
        <v>45</v>
      </c>
      <c r="B186" s="24" t="s">
        <v>60</v>
      </c>
      <c r="C186" s="25" t="str">
        <f t="shared" si="5"/>
        <v>UK</v>
      </c>
      <c r="D186" s="17" t="s">
        <v>58</v>
      </c>
      <c r="E186" s="17">
        <v>2019</v>
      </c>
      <c r="F186" s="28" t="str">
        <f t="shared" si="6"/>
        <v>May 2019</v>
      </c>
      <c r="G186" s="21"/>
      <c r="H186" s="19">
        <f t="shared" si="10"/>
        <v>0.15279434315897086</v>
      </c>
      <c r="I186" s="19">
        <f t="shared" si="10"/>
        <v>8.6513886522405867E-2</v>
      </c>
      <c r="J186" s="19">
        <f t="shared" si="10"/>
        <v>6.6280456636564997E-2</v>
      </c>
    </row>
    <row r="187" spans="1:10">
      <c r="A187" s="24" t="s">
        <v>45</v>
      </c>
      <c r="B187" s="24" t="s">
        <v>60</v>
      </c>
      <c r="C187" s="25" t="str">
        <f t="shared" si="5"/>
        <v>UK</v>
      </c>
      <c r="D187" s="17" t="s">
        <v>59</v>
      </c>
      <c r="E187" s="17">
        <v>2019</v>
      </c>
      <c r="F187" s="28" t="str">
        <f t="shared" si="6"/>
        <v>June 2019</v>
      </c>
      <c r="G187" s="21"/>
      <c r="H187" s="19">
        <f t="shared" si="10"/>
        <v>0.1530204579078058</v>
      </c>
      <c r="I187" s="19">
        <f t="shared" si="10"/>
        <v>8.6458937544399331E-2</v>
      </c>
      <c r="J187" s="19">
        <f t="shared" si="10"/>
        <v>6.6561520363406484E-2</v>
      </c>
    </row>
    <row r="188" spans="1:10">
      <c r="A188" s="24" t="s">
        <v>45</v>
      </c>
      <c r="B188" s="24" t="s">
        <v>60</v>
      </c>
      <c r="C188" s="25" t="str">
        <f t="shared" si="5"/>
        <v>UK</v>
      </c>
      <c r="D188" s="17" t="s">
        <v>48</v>
      </c>
      <c r="E188" s="17">
        <v>2019</v>
      </c>
      <c r="F188" s="28" t="str">
        <f t="shared" si="6"/>
        <v>July 2019</v>
      </c>
      <c r="G188" s="21"/>
      <c r="H188" s="19">
        <f t="shared" si="10"/>
        <v>0.1528747319502291</v>
      </c>
      <c r="I188" s="19">
        <f t="shared" si="10"/>
        <v>8.616048441237624E-2</v>
      </c>
      <c r="J188" s="19">
        <f t="shared" si="10"/>
        <v>6.6714247537852864E-2</v>
      </c>
    </row>
    <row r="189" spans="1:10">
      <c r="A189" s="24" t="s">
        <v>45</v>
      </c>
      <c r="B189" s="24" t="s">
        <v>60</v>
      </c>
      <c r="C189" s="25" t="str">
        <f t="shared" si="5"/>
        <v>UK</v>
      </c>
      <c r="D189" s="17" t="s">
        <v>49</v>
      </c>
      <c r="E189" s="17">
        <v>2019</v>
      </c>
      <c r="F189" s="28" t="str">
        <f t="shared" si="6"/>
        <v>August 2019</v>
      </c>
      <c r="G189" s="21"/>
      <c r="H189" s="19">
        <f t="shared" si="10"/>
        <v>0.15268585249464792</v>
      </c>
      <c r="I189" s="19">
        <f t="shared" si="10"/>
        <v>8.5757709467078488E-2</v>
      </c>
      <c r="J189" s="19">
        <f t="shared" si="10"/>
        <v>6.6928143027569414E-2</v>
      </c>
    </row>
    <row r="190" spans="1:10">
      <c r="A190" s="24" t="s">
        <v>45</v>
      </c>
      <c r="B190" s="24" t="s">
        <v>60</v>
      </c>
      <c r="C190" s="25" t="str">
        <f t="shared" si="5"/>
        <v>UK</v>
      </c>
      <c r="D190" s="17" t="s">
        <v>50</v>
      </c>
      <c r="E190" s="17">
        <v>2019</v>
      </c>
      <c r="F190" s="28" t="str">
        <f t="shared" si="6"/>
        <v>September 2019</v>
      </c>
      <c r="G190" s="21"/>
      <c r="H190" s="19">
        <f t="shared" si="10"/>
        <v>0.15334565522816693</v>
      </c>
      <c r="I190" s="19">
        <f t="shared" si="10"/>
        <v>8.5790377838843954E-2</v>
      </c>
      <c r="J190" s="19">
        <f t="shared" si="10"/>
        <v>6.7555277389322974E-2</v>
      </c>
    </row>
    <row r="191" spans="1:10">
      <c r="A191" s="24" t="s">
        <v>45</v>
      </c>
      <c r="B191" s="24" t="s">
        <v>60</v>
      </c>
      <c r="C191" s="25" t="str">
        <f t="shared" si="5"/>
        <v>UK</v>
      </c>
      <c r="D191" s="17" t="s">
        <v>51</v>
      </c>
      <c r="E191" s="17">
        <v>2019</v>
      </c>
      <c r="F191" s="28" t="str">
        <f t="shared" si="6"/>
        <v>October 2019</v>
      </c>
      <c r="G191" s="21"/>
      <c r="H191" s="19">
        <f t="shared" si="10"/>
        <v>0.15447984039223869</v>
      </c>
      <c r="I191" s="19">
        <f t="shared" si="10"/>
        <v>8.6379224911329017E-2</v>
      </c>
      <c r="J191" s="19">
        <f t="shared" si="10"/>
        <v>6.8100615480909663E-2</v>
      </c>
    </row>
    <row r="192" spans="1:10">
      <c r="A192" s="24" t="s">
        <v>45</v>
      </c>
      <c r="B192" s="24" t="s">
        <v>60</v>
      </c>
      <c r="C192" s="25" t="str">
        <f t="shared" si="5"/>
        <v>UK</v>
      </c>
      <c r="D192" s="17" t="s">
        <v>52</v>
      </c>
      <c r="E192" s="17">
        <v>2019</v>
      </c>
      <c r="F192" s="28" t="str">
        <f t="shared" si="6"/>
        <v>November 2019</v>
      </c>
      <c r="G192" s="21"/>
      <c r="H192" s="19">
        <f t="shared" si="10"/>
        <v>0.15503304722701952</v>
      </c>
      <c r="I192" s="19">
        <f t="shared" si="10"/>
        <v>8.6552570412019067E-2</v>
      </c>
      <c r="J192" s="19">
        <f t="shared" si="10"/>
        <v>6.8480476815000454E-2</v>
      </c>
    </row>
    <row r="193" spans="1:10">
      <c r="A193" s="24" t="s">
        <v>45</v>
      </c>
      <c r="B193" s="24" t="s">
        <v>60</v>
      </c>
      <c r="C193" s="25" t="str">
        <f t="shared" ref="C193:C253" si="11">C67</f>
        <v>UK</v>
      </c>
      <c r="D193" s="17" t="s">
        <v>53</v>
      </c>
      <c r="E193" s="17">
        <v>2019</v>
      </c>
      <c r="F193" s="28" t="str">
        <f t="shared" ref="F193:F253" si="12">D193&amp;" "&amp;E193</f>
        <v>December 2019</v>
      </c>
      <c r="G193" s="21"/>
      <c r="H193" s="19">
        <f t="shared" ref="H193:J208" si="13">H67/$G67</f>
        <v>0.15489965736661773</v>
      </c>
      <c r="I193" s="19">
        <f t="shared" si="13"/>
        <v>8.6069505628977E-2</v>
      </c>
      <c r="J193" s="19">
        <f t="shared" si="13"/>
        <v>6.8830151737640718E-2</v>
      </c>
    </row>
    <row r="194" spans="1:10">
      <c r="A194" s="24" t="s">
        <v>45</v>
      </c>
      <c r="B194" s="24" t="s">
        <v>60</v>
      </c>
      <c r="C194" s="25" t="str">
        <f t="shared" si="11"/>
        <v>UK</v>
      </c>
      <c r="D194" s="17" t="s">
        <v>54</v>
      </c>
      <c r="E194" s="17">
        <v>2020</v>
      </c>
      <c r="F194" s="28" t="str">
        <f t="shared" si="12"/>
        <v>January 2020</v>
      </c>
      <c r="G194" s="21"/>
      <c r="H194" s="19">
        <f t="shared" si="13"/>
        <v>0.15416781455389822</v>
      </c>
      <c r="I194" s="19">
        <f t="shared" si="13"/>
        <v>8.5245385493329134E-2</v>
      </c>
      <c r="J194" s="19">
        <f t="shared" si="13"/>
        <v>6.8922429060569085E-2</v>
      </c>
    </row>
    <row r="195" spans="1:10">
      <c r="A195" s="24" t="s">
        <v>45</v>
      </c>
      <c r="B195" s="24" t="s">
        <v>60</v>
      </c>
      <c r="C195" s="25" t="str">
        <f t="shared" si="11"/>
        <v>UK</v>
      </c>
      <c r="D195" s="17" t="s">
        <v>55</v>
      </c>
      <c r="E195" s="17">
        <v>2020</v>
      </c>
      <c r="F195" s="28" t="str">
        <f t="shared" si="12"/>
        <v>February 2020</v>
      </c>
      <c r="G195" s="21"/>
      <c r="H195" s="19">
        <f t="shared" si="13"/>
        <v>0.15532659600690166</v>
      </c>
      <c r="I195" s="19">
        <f t="shared" si="13"/>
        <v>8.5915701257086516E-2</v>
      </c>
      <c r="J195" s="19">
        <f t="shared" si="13"/>
        <v>6.9410894749815127E-2</v>
      </c>
    </row>
    <row r="196" spans="1:10">
      <c r="A196" s="24" t="s">
        <v>45</v>
      </c>
      <c r="B196" s="24" t="s">
        <v>60</v>
      </c>
      <c r="C196" s="25" t="str">
        <f t="shared" si="11"/>
        <v>UK</v>
      </c>
      <c r="D196" s="17" t="s">
        <v>56</v>
      </c>
      <c r="E196" s="17">
        <v>2020</v>
      </c>
      <c r="F196" s="28" t="str">
        <f t="shared" si="12"/>
        <v>March 2020</v>
      </c>
      <c r="G196" s="21"/>
      <c r="H196" s="19">
        <f t="shared" si="13"/>
        <v>0.15529801868054302</v>
      </c>
      <c r="I196" s="19">
        <f t="shared" si="13"/>
        <v>8.5713816707431181E-2</v>
      </c>
      <c r="J196" s="19">
        <f t="shared" si="13"/>
        <v>6.9584201973111839E-2</v>
      </c>
    </row>
    <row r="197" spans="1:10">
      <c r="A197" s="24" t="s">
        <v>45</v>
      </c>
      <c r="B197" s="24" t="s">
        <v>60</v>
      </c>
      <c r="C197" s="25" t="str">
        <f t="shared" si="11"/>
        <v>UK</v>
      </c>
      <c r="D197" s="17" t="s">
        <v>57</v>
      </c>
      <c r="E197" s="17">
        <v>2020</v>
      </c>
      <c r="F197" s="28" t="str">
        <f t="shared" si="12"/>
        <v>April 2020</v>
      </c>
      <c r="G197" s="21"/>
      <c r="H197" s="19">
        <f t="shared" si="13"/>
        <v>0.1537697550144129</v>
      </c>
      <c r="I197" s="19">
        <f t="shared" si="13"/>
        <v>8.4678201432593844E-2</v>
      </c>
      <c r="J197" s="19">
        <f t="shared" si="13"/>
        <v>6.9091553581819037E-2</v>
      </c>
    </row>
    <row r="198" spans="1:10">
      <c r="A198" s="24" t="s">
        <v>45</v>
      </c>
      <c r="B198" s="24" t="s">
        <v>60</v>
      </c>
      <c r="C198" s="25" t="str">
        <f t="shared" si="11"/>
        <v>UK</v>
      </c>
      <c r="D198" s="17" t="s">
        <v>58</v>
      </c>
      <c r="E198" s="17">
        <v>2020</v>
      </c>
      <c r="F198" s="28" t="str">
        <f t="shared" si="12"/>
        <v>May 2020</v>
      </c>
      <c r="G198" s="21"/>
      <c r="H198" s="19">
        <f t="shared" si="13"/>
        <v>0.15394934589431428</v>
      </c>
      <c r="I198" s="19">
        <f t="shared" si="13"/>
        <v>8.4931193663025456E-2</v>
      </c>
      <c r="J198" s="19">
        <f t="shared" si="13"/>
        <v>6.9018152231288807E-2</v>
      </c>
    </row>
    <row r="199" spans="1:10">
      <c r="A199" s="24" t="s">
        <v>45</v>
      </c>
      <c r="B199" s="24" t="s">
        <v>60</v>
      </c>
      <c r="C199" s="25" t="str">
        <f t="shared" si="11"/>
        <v>UK</v>
      </c>
      <c r="D199" s="17" t="s">
        <v>59</v>
      </c>
      <c r="E199" s="17">
        <v>2020</v>
      </c>
      <c r="F199" s="28" t="str">
        <f t="shared" si="12"/>
        <v>June 2020</v>
      </c>
      <c r="G199" s="21"/>
      <c r="H199" s="19">
        <f t="shared" si="13"/>
        <v>0.15442327613083603</v>
      </c>
      <c r="I199" s="19">
        <f t="shared" si="13"/>
        <v>8.5093044851272392E-2</v>
      </c>
      <c r="J199" s="19">
        <f t="shared" si="13"/>
        <v>6.9330231279563656E-2</v>
      </c>
    </row>
    <row r="200" spans="1:10">
      <c r="A200" s="24" t="s">
        <v>45</v>
      </c>
      <c r="B200" s="24" t="s">
        <v>60</v>
      </c>
      <c r="C200" s="25" t="str">
        <f t="shared" si="11"/>
        <v>UK</v>
      </c>
      <c r="D200" s="17" t="s">
        <v>48</v>
      </c>
      <c r="E200" s="17">
        <v>2020</v>
      </c>
      <c r="F200" s="28" t="str">
        <f t="shared" si="12"/>
        <v>July 2020</v>
      </c>
      <c r="G200" s="21"/>
      <c r="H200" s="19">
        <f t="shared" si="13"/>
        <v>0.15428691777181236</v>
      </c>
      <c r="I200" s="19">
        <f t="shared" si="13"/>
        <v>8.4618444761659611E-2</v>
      </c>
      <c r="J200" s="19">
        <f t="shared" si="13"/>
        <v>6.9668473010152748E-2</v>
      </c>
    </row>
    <row r="201" spans="1:10">
      <c r="A201" s="24" t="s">
        <v>45</v>
      </c>
      <c r="B201" s="24" t="s">
        <v>60</v>
      </c>
      <c r="C201" s="25" t="str">
        <f t="shared" si="11"/>
        <v>UK</v>
      </c>
      <c r="D201" s="17" t="s">
        <v>49</v>
      </c>
      <c r="E201" s="17">
        <v>2020</v>
      </c>
      <c r="F201" s="28" t="str">
        <f t="shared" si="12"/>
        <v>August 2020</v>
      </c>
      <c r="G201" s="21"/>
      <c r="H201" s="19">
        <f t="shared" si="13"/>
        <v>0.15381333010781953</v>
      </c>
      <c r="I201" s="19">
        <f t="shared" si="13"/>
        <v>8.3668484378097416E-2</v>
      </c>
      <c r="J201" s="19">
        <f t="shared" si="13"/>
        <v>7.01448457297221E-2</v>
      </c>
    </row>
    <row r="202" spans="1:10">
      <c r="A202" s="24" t="s">
        <v>45</v>
      </c>
      <c r="B202" s="24" t="s">
        <v>60</v>
      </c>
      <c r="C202" s="25" t="str">
        <f t="shared" si="11"/>
        <v>UK</v>
      </c>
      <c r="D202" s="17" t="s">
        <v>50</v>
      </c>
      <c r="E202" s="17">
        <v>2020</v>
      </c>
      <c r="F202" s="28" t="str">
        <f t="shared" si="12"/>
        <v>September 2020</v>
      </c>
      <c r="G202" s="21"/>
      <c r="H202" s="19">
        <f t="shared" si="13"/>
        <v>0.15387695227072384</v>
      </c>
      <c r="I202" s="19">
        <f t="shared" si="13"/>
        <v>8.3336137111480468E-2</v>
      </c>
      <c r="J202" s="19">
        <f t="shared" si="13"/>
        <v>7.0540815159243389E-2</v>
      </c>
    </row>
    <row r="203" spans="1:10">
      <c r="A203" s="24" t="s">
        <v>45</v>
      </c>
      <c r="B203" s="24" t="s">
        <v>60</v>
      </c>
      <c r="C203" s="25" t="str">
        <f t="shared" si="11"/>
        <v>UK</v>
      </c>
      <c r="D203" s="17" t="s">
        <v>51</v>
      </c>
      <c r="E203" s="17">
        <v>2020</v>
      </c>
      <c r="F203" s="28" t="str">
        <f t="shared" si="12"/>
        <v>October 2020</v>
      </c>
      <c r="G203" s="21"/>
      <c r="H203" s="19">
        <f t="shared" si="13"/>
        <v>0.1544432737395941</v>
      </c>
      <c r="I203" s="19">
        <f t="shared" si="13"/>
        <v>8.3459286962200452E-2</v>
      </c>
      <c r="J203" s="19">
        <f t="shared" si="13"/>
        <v>7.0983986777393648E-2</v>
      </c>
    </row>
    <row r="204" spans="1:10">
      <c r="A204" s="24" t="s">
        <v>45</v>
      </c>
      <c r="B204" s="24" t="s">
        <v>60</v>
      </c>
      <c r="C204" s="25" t="str">
        <f t="shared" si="11"/>
        <v>UK</v>
      </c>
      <c r="D204" s="17" t="s">
        <v>52</v>
      </c>
      <c r="E204" s="17">
        <v>2020</v>
      </c>
      <c r="F204" s="28" t="str">
        <f t="shared" si="12"/>
        <v>November 2020</v>
      </c>
      <c r="G204" s="21"/>
      <c r="H204" s="19">
        <f t="shared" si="13"/>
        <v>0.15442827750359722</v>
      </c>
      <c r="I204" s="19">
        <f t="shared" si="13"/>
        <v>8.3166359614324323E-2</v>
      </c>
      <c r="J204" s="19">
        <f t="shared" si="13"/>
        <v>7.1261917889272886E-2</v>
      </c>
    </row>
    <row r="205" spans="1:10">
      <c r="A205" s="24" t="s">
        <v>45</v>
      </c>
      <c r="B205" s="24" t="s">
        <v>60</v>
      </c>
      <c r="C205" s="25" t="str">
        <f t="shared" si="11"/>
        <v>UK</v>
      </c>
      <c r="D205" s="17" t="s">
        <v>53</v>
      </c>
      <c r="E205" s="17">
        <v>2020</v>
      </c>
      <c r="F205" s="28" t="str">
        <f t="shared" si="12"/>
        <v>December 2020</v>
      </c>
      <c r="G205" s="21"/>
      <c r="H205" s="19">
        <f t="shared" si="13"/>
        <v>0.15435287603149522</v>
      </c>
      <c r="I205" s="19">
        <f t="shared" si="13"/>
        <v>8.2722201963723777E-2</v>
      </c>
      <c r="J205" s="19">
        <f t="shared" si="13"/>
        <v>7.1630674067771433E-2</v>
      </c>
    </row>
    <row r="206" spans="1:10">
      <c r="A206" s="24" t="s">
        <v>45</v>
      </c>
      <c r="B206" s="24" t="s">
        <v>60</v>
      </c>
      <c r="C206" s="25" t="str">
        <f t="shared" si="11"/>
        <v>UK</v>
      </c>
      <c r="D206" s="17" t="s">
        <v>54</v>
      </c>
      <c r="E206" s="17">
        <v>2021</v>
      </c>
      <c r="F206" s="28" t="str">
        <f t="shared" si="12"/>
        <v>January 2021</v>
      </c>
      <c r="G206" s="21"/>
      <c r="H206" s="19">
        <f t="shared" si="13"/>
        <v>0.15373349870028372</v>
      </c>
      <c r="I206" s="19">
        <f t="shared" si="13"/>
        <v>8.1975568732054568E-2</v>
      </c>
      <c r="J206" s="19">
        <f t="shared" si="13"/>
        <v>7.1757929968229162E-2</v>
      </c>
    </row>
    <row r="207" spans="1:10">
      <c r="A207" s="24" t="s">
        <v>45</v>
      </c>
      <c r="B207" s="24" t="s">
        <v>60</v>
      </c>
      <c r="C207" s="25" t="str">
        <f t="shared" si="11"/>
        <v>UK</v>
      </c>
      <c r="D207" s="17" t="s">
        <v>55</v>
      </c>
      <c r="E207" s="17">
        <v>2021</v>
      </c>
      <c r="F207" s="28" t="str">
        <f t="shared" si="12"/>
        <v>February 2021</v>
      </c>
      <c r="G207" s="21"/>
      <c r="H207" s="19">
        <f t="shared" si="13"/>
        <v>0.15392267369221577</v>
      </c>
      <c r="I207" s="19">
        <f t="shared" si="13"/>
        <v>8.1960589928839159E-2</v>
      </c>
      <c r="J207" s="19">
        <f t="shared" si="13"/>
        <v>7.1962083763376608E-2</v>
      </c>
    </row>
    <row r="208" spans="1:10">
      <c r="A208" s="24" t="s">
        <v>45</v>
      </c>
      <c r="B208" s="24" t="s">
        <v>60</v>
      </c>
      <c r="C208" s="25" t="str">
        <f t="shared" si="11"/>
        <v>UK</v>
      </c>
      <c r="D208" s="17" t="s">
        <v>56</v>
      </c>
      <c r="E208" s="17">
        <v>2021</v>
      </c>
      <c r="F208" s="28" t="str">
        <f t="shared" si="12"/>
        <v>March 2021</v>
      </c>
      <c r="G208" s="21"/>
      <c r="H208" s="19">
        <f t="shared" si="13"/>
        <v>0.15433872701823664</v>
      </c>
      <c r="I208" s="19">
        <f t="shared" si="13"/>
        <v>8.2014213362724742E-2</v>
      </c>
      <c r="J208" s="19">
        <f t="shared" si="13"/>
        <v>7.2324513655511902E-2</v>
      </c>
    </row>
    <row r="209" spans="1:10">
      <c r="A209" s="24" t="s">
        <v>45</v>
      </c>
      <c r="B209" s="24" t="s">
        <v>60</v>
      </c>
      <c r="C209" s="25" t="str">
        <f t="shared" si="11"/>
        <v>UK</v>
      </c>
      <c r="D209" s="17" t="s">
        <v>57</v>
      </c>
      <c r="E209" s="17">
        <v>2021</v>
      </c>
      <c r="F209" s="28" t="str">
        <f t="shared" si="12"/>
        <v>April 2021</v>
      </c>
      <c r="G209" s="21"/>
      <c r="H209" s="19">
        <f t="shared" ref="H209:J224" si="14">H83/$G83</f>
        <v>0.15588316137379912</v>
      </c>
      <c r="I209" s="19">
        <f t="shared" si="14"/>
        <v>8.2835555734330893E-2</v>
      </c>
      <c r="J209" s="19">
        <f t="shared" si="14"/>
        <v>7.304760563946823E-2</v>
      </c>
    </row>
    <row r="210" spans="1:10">
      <c r="A210" s="24" t="s">
        <v>45</v>
      </c>
      <c r="B210" s="24" t="s">
        <v>60</v>
      </c>
      <c r="C210" s="25" t="str">
        <f t="shared" si="11"/>
        <v>UK</v>
      </c>
      <c r="D210" s="17" t="s">
        <v>58</v>
      </c>
      <c r="E210" s="17">
        <v>2021</v>
      </c>
      <c r="F210" s="28" t="str">
        <f t="shared" si="12"/>
        <v>May 2021</v>
      </c>
      <c r="G210" s="21"/>
      <c r="H210" s="19">
        <f t="shared" si="14"/>
        <v>0.15625890319289201</v>
      </c>
      <c r="I210" s="19">
        <f t="shared" si="14"/>
        <v>8.2793896467875619E-2</v>
      </c>
      <c r="J210" s="19">
        <f t="shared" si="14"/>
        <v>7.3465006725016394E-2</v>
      </c>
    </row>
    <row r="211" spans="1:10">
      <c r="A211" s="24" t="s">
        <v>45</v>
      </c>
      <c r="B211" s="24" t="s">
        <v>60</v>
      </c>
      <c r="C211" s="25" t="str">
        <f t="shared" si="11"/>
        <v>UK</v>
      </c>
      <c r="D211" s="17" t="s">
        <v>59</v>
      </c>
      <c r="E211" s="17">
        <v>2021</v>
      </c>
      <c r="F211" s="28" t="str">
        <f t="shared" si="12"/>
        <v>June 2021</v>
      </c>
      <c r="G211" s="21"/>
      <c r="H211" s="19">
        <f t="shared" si="14"/>
        <v>0.15626403233048944</v>
      </c>
      <c r="I211" s="19">
        <f t="shared" si="14"/>
        <v>8.2314265205720105E-2</v>
      </c>
      <c r="J211" s="19">
        <f t="shared" si="14"/>
        <v>7.3949767124769333E-2</v>
      </c>
    </row>
    <row r="212" spans="1:10">
      <c r="A212" s="24" t="s">
        <v>45</v>
      </c>
      <c r="B212" s="24" t="s">
        <v>60</v>
      </c>
      <c r="C212" s="25" t="str">
        <f t="shared" si="11"/>
        <v>UK</v>
      </c>
      <c r="D212" s="17" t="s">
        <v>48</v>
      </c>
      <c r="E212" s="17">
        <v>2021</v>
      </c>
      <c r="F212" s="28" t="str">
        <f t="shared" si="12"/>
        <v>July 2021</v>
      </c>
      <c r="G212" s="21"/>
      <c r="H212" s="19">
        <f t="shared" si="14"/>
        <v>0.15571666650359892</v>
      </c>
      <c r="I212" s="19">
        <f t="shared" si="14"/>
        <v>8.1380596893233015E-2</v>
      </c>
      <c r="J212" s="19">
        <f t="shared" si="14"/>
        <v>7.4336069610365887E-2</v>
      </c>
    </row>
    <row r="213" spans="1:10">
      <c r="A213" s="24" t="s">
        <v>45</v>
      </c>
      <c r="B213" s="24" t="s">
        <v>60</v>
      </c>
      <c r="C213" s="25" t="str">
        <f t="shared" si="11"/>
        <v>UK</v>
      </c>
      <c r="D213" s="17" t="s">
        <v>49</v>
      </c>
      <c r="E213" s="17">
        <v>2021</v>
      </c>
      <c r="F213" s="28" t="str">
        <f t="shared" si="12"/>
        <v>August 2021</v>
      </c>
      <c r="G213" s="21"/>
      <c r="H213" s="19">
        <f t="shared" si="14"/>
        <v>0.15497726518744023</v>
      </c>
      <c r="I213" s="19">
        <f t="shared" si="14"/>
        <v>8.0235349218429841E-2</v>
      </c>
      <c r="J213" s="19">
        <f t="shared" si="14"/>
        <v>7.4741915969010406E-2</v>
      </c>
    </row>
    <row r="214" spans="1:10">
      <c r="A214" s="24" t="s">
        <v>45</v>
      </c>
      <c r="B214" s="24" t="s">
        <v>60</v>
      </c>
      <c r="C214" s="25" t="str">
        <f t="shared" si="11"/>
        <v>UK</v>
      </c>
      <c r="D214" s="17" t="s">
        <v>50</v>
      </c>
      <c r="E214" s="17">
        <v>2021</v>
      </c>
      <c r="F214" s="28" t="str">
        <f t="shared" si="12"/>
        <v>September 2021</v>
      </c>
      <c r="G214" s="21"/>
      <c r="H214" s="19">
        <f t="shared" si="14"/>
        <v>0.15570485848538318</v>
      </c>
      <c r="I214" s="19">
        <f t="shared" si="14"/>
        <v>8.0206697302852265E-2</v>
      </c>
      <c r="J214" s="19">
        <f t="shared" si="14"/>
        <v>7.5498161182530915E-2</v>
      </c>
    </row>
    <row r="215" spans="1:10">
      <c r="A215" s="24" t="s">
        <v>45</v>
      </c>
      <c r="B215" s="24" t="s">
        <v>60</v>
      </c>
      <c r="C215" s="25" t="str">
        <f t="shared" si="11"/>
        <v>UK</v>
      </c>
      <c r="D215" s="17" t="s">
        <v>51</v>
      </c>
      <c r="E215" s="17">
        <v>2021</v>
      </c>
      <c r="F215" s="28" t="str">
        <f t="shared" si="12"/>
        <v>October 2021</v>
      </c>
      <c r="G215" s="21"/>
      <c r="H215" s="19">
        <f t="shared" si="14"/>
        <v>0.15693450734078251</v>
      </c>
      <c r="I215" s="19">
        <f t="shared" si="14"/>
        <v>8.0636966996411319E-2</v>
      </c>
      <c r="J215" s="19">
        <f t="shared" si="14"/>
        <v>7.6297540344371209E-2</v>
      </c>
    </row>
    <row r="216" spans="1:10">
      <c r="A216" s="24" t="s">
        <v>45</v>
      </c>
      <c r="B216" s="24" t="s">
        <v>60</v>
      </c>
      <c r="C216" s="25" t="str">
        <f t="shared" si="11"/>
        <v>UK</v>
      </c>
      <c r="D216" s="17" t="s">
        <v>52</v>
      </c>
      <c r="E216" s="17">
        <v>2021</v>
      </c>
      <c r="F216" s="28" t="str">
        <f t="shared" si="12"/>
        <v>November 2021</v>
      </c>
      <c r="G216" s="21"/>
      <c r="H216" s="19">
        <f t="shared" si="14"/>
        <v>0.1578077249030535</v>
      </c>
      <c r="I216" s="19">
        <f t="shared" si="14"/>
        <v>8.0465600041089907E-2</v>
      </c>
      <c r="J216" s="19">
        <f t="shared" si="14"/>
        <v>7.7342124861963582E-2</v>
      </c>
    </row>
    <row r="217" spans="1:10">
      <c r="A217" s="24" t="s">
        <v>45</v>
      </c>
      <c r="B217" s="24" t="s">
        <v>60</v>
      </c>
      <c r="C217" s="25" t="str">
        <f t="shared" si="11"/>
        <v>UK</v>
      </c>
      <c r="D217" s="17" t="s">
        <v>53</v>
      </c>
      <c r="E217" s="17">
        <v>2021</v>
      </c>
      <c r="F217" s="28" t="str">
        <f t="shared" si="12"/>
        <v>December 2021</v>
      </c>
      <c r="G217" s="21"/>
      <c r="H217" s="19">
        <f t="shared" si="14"/>
        <v>0.15817333746225903</v>
      </c>
      <c r="I217" s="19">
        <f t="shared" si="14"/>
        <v>7.9923743903383138E-2</v>
      </c>
      <c r="J217" s="19">
        <f t="shared" si="14"/>
        <v>7.8249593558875896E-2</v>
      </c>
    </row>
    <row r="218" spans="1:10">
      <c r="A218" s="24" t="s">
        <v>45</v>
      </c>
      <c r="B218" s="24" t="s">
        <v>60</v>
      </c>
      <c r="C218" s="25" t="str">
        <f t="shared" si="11"/>
        <v>UK</v>
      </c>
      <c r="D218" s="17" t="s">
        <v>54</v>
      </c>
      <c r="E218" s="17">
        <v>2022</v>
      </c>
      <c r="F218" s="28" t="str">
        <f t="shared" si="12"/>
        <v>January 2022</v>
      </c>
      <c r="G218" s="21"/>
      <c r="H218" s="19">
        <f t="shared" si="14"/>
        <v>0.15833403673715854</v>
      </c>
      <c r="I218" s="19">
        <f t="shared" si="14"/>
        <v>7.9369923318161451E-2</v>
      </c>
      <c r="J218" s="19">
        <f t="shared" si="14"/>
        <v>7.8964113418997103E-2</v>
      </c>
    </row>
    <row r="219" spans="1:10">
      <c r="A219" s="24" t="s">
        <v>45</v>
      </c>
      <c r="B219" s="24" t="s">
        <v>60</v>
      </c>
      <c r="C219" s="25" t="str">
        <f t="shared" si="11"/>
        <v>UK</v>
      </c>
      <c r="D219" s="17" t="s">
        <v>55</v>
      </c>
      <c r="E219" s="17">
        <v>2022</v>
      </c>
      <c r="F219" s="28" t="str">
        <f t="shared" si="12"/>
        <v>February 2022</v>
      </c>
      <c r="G219" s="21"/>
      <c r="H219" s="19">
        <f t="shared" si="14"/>
        <v>0.15950258397932818</v>
      </c>
      <c r="I219" s="19">
        <f t="shared" si="14"/>
        <v>7.9651162790697672E-2</v>
      </c>
      <c r="J219" s="19">
        <f t="shared" si="14"/>
        <v>7.9851421188630492E-2</v>
      </c>
    </row>
    <row r="220" spans="1:10">
      <c r="A220" s="24" t="s">
        <v>45</v>
      </c>
      <c r="B220" s="24" t="s">
        <v>60</v>
      </c>
      <c r="C220" s="25" t="str">
        <f t="shared" si="11"/>
        <v>UK</v>
      </c>
      <c r="D220" s="17" t="s">
        <v>56</v>
      </c>
      <c r="E220" s="17">
        <v>2022</v>
      </c>
      <c r="F220" s="28" t="str">
        <f t="shared" si="12"/>
        <v>March 2022</v>
      </c>
      <c r="G220" s="21"/>
      <c r="H220" s="19">
        <f t="shared" si="14"/>
        <v>0.16069863106075932</v>
      </c>
      <c r="I220" s="19">
        <f t="shared" si="14"/>
        <v>7.9676566830117312E-2</v>
      </c>
      <c r="J220" s="19">
        <f t="shared" si="14"/>
        <v>8.1022064230642024E-2</v>
      </c>
    </row>
    <row r="221" spans="1:10">
      <c r="A221" s="24" t="s">
        <v>45</v>
      </c>
      <c r="B221" s="24" t="s">
        <v>60</v>
      </c>
      <c r="C221" s="25" t="str">
        <f t="shared" si="11"/>
        <v>UK</v>
      </c>
      <c r="D221" s="17" t="s">
        <v>57</v>
      </c>
      <c r="E221" s="17">
        <v>2022</v>
      </c>
      <c r="F221" s="28" t="str">
        <f t="shared" si="12"/>
        <v>April 2022</v>
      </c>
      <c r="G221" s="21"/>
      <c r="H221" s="19">
        <f t="shared" si="14"/>
        <v>0.16241119966644751</v>
      </c>
      <c r="I221" s="19">
        <f t="shared" si="14"/>
        <v>7.9982039481069286E-2</v>
      </c>
      <c r="J221" s="19">
        <f t="shared" si="14"/>
        <v>8.2429160185378214E-2</v>
      </c>
    </row>
    <row r="222" spans="1:10">
      <c r="A222" s="24" t="s">
        <v>45</v>
      </c>
      <c r="B222" s="24" t="s">
        <v>60</v>
      </c>
      <c r="C222" s="25" t="str">
        <f t="shared" si="11"/>
        <v>UK</v>
      </c>
      <c r="D222" s="17" t="s">
        <v>58</v>
      </c>
      <c r="E222" s="17">
        <v>2022</v>
      </c>
      <c r="F222" s="28" t="str">
        <f t="shared" si="12"/>
        <v>May 2022</v>
      </c>
      <c r="G222" s="21"/>
      <c r="H222" s="19">
        <f t="shared" si="14"/>
        <v>0.16347762776379823</v>
      </c>
      <c r="I222" s="19">
        <f t="shared" si="14"/>
        <v>7.9940987878245981E-2</v>
      </c>
      <c r="J222" s="19">
        <f t="shared" si="14"/>
        <v>8.3536639885552252E-2</v>
      </c>
    </row>
    <row r="223" spans="1:10">
      <c r="A223" s="24" t="s">
        <v>45</v>
      </c>
      <c r="B223" s="24" t="s">
        <v>60</v>
      </c>
      <c r="C223" s="25" t="str">
        <f t="shared" si="11"/>
        <v>UK</v>
      </c>
      <c r="D223" s="17" t="s">
        <v>59</v>
      </c>
      <c r="E223" s="17">
        <v>2022</v>
      </c>
      <c r="F223" s="28" t="str">
        <f t="shared" si="12"/>
        <v>June 2022</v>
      </c>
      <c r="G223" s="21"/>
      <c r="H223" s="19">
        <f t="shared" si="14"/>
        <v>0.16455129162311483</v>
      </c>
      <c r="I223" s="19">
        <f t="shared" si="14"/>
        <v>7.9699071353003414E-2</v>
      </c>
      <c r="J223" s="19">
        <f t="shared" si="14"/>
        <v>8.4852220270111425E-2</v>
      </c>
    </row>
    <row r="224" spans="1:10">
      <c r="A224" s="24" t="s">
        <v>45</v>
      </c>
      <c r="B224" s="24" t="s">
        <v>60</v>
      </c>
      <c r="C224" s="25" t="str">
        <f t="shared" si="11"/>
        <v>UK</v>
      </c>
      <c r="D224" s="17" t="s">
        <v>48</v>
      </c>
      <c r="E224" s="17">
        <v>2022</v>
      </c>
      <c r="F224" s="28" t="str">
        <f t="shared" si="12"/>
        <v>July 2022</v>
      </c>
      <c r="G224" s="21"/>
      <c r="H224" s="19">
        <f t="shared" si="14"/>
        <v>0.16481193776717432</v>
      </c>
      <c r="I224" s="19">
        <f t="shared" si="14"/>
        <v>7.8974430370935239E-2</v>
      </c>
      <c r="J224" s="19">
        <f t="shared" si="14"/>
        <v>8.5837507396239077E-2</v>
      </c>
    </row>
    <row r="225" spans="1:10">
      <c r="A225" s="24" t="s">
        <v>45</v>
      </c>
      <c r="B225" s="24" t="s">
        <v>60</v>
      </c>
      <c r="C225" s="25" t="str">
        <f t="shared" si="11"/>
        <v>UK</v>
      </c>
      <c r="D225" s="17" t="s">
        <v>49</v>
      </c>
      <c r="E225" s="17">
        <v>2022</v>
      </c>
      <c r="F225" s="28" t="str">
        <f t="shared" si="12"/>
        <v>August 2022</v>
      </c>
      <c r="G225" s="21"/>
      <c r="H225" s="19">
        <f t="shared" ref="H225:J240" si="15">H99/$G99</f>
        <v>0.16488800281458896</v>
      </c>
      <c r="I225" s="19">
        <f t="shared" si="15"/>
        <v>7.8184082992339116E-2</v>
      </c>
      <c r="J225" s="19">
        <f t="shared" si="15"/>
        <v>8.6703919822249828E-2</v>
      </c>
    </row>
    <row r="226" spans="1:10">
      <c r="A226" s="24" t="s">
        <v>45</v>
      </c>
      <c r="B226" s="24" t="s">
        <v>60</v>
      </c>
      <c r="C226" s="25" t="str">
        <f t="shared" si="11"/>
        <v>UK</v>
      </c>
      <c r="D226" s="17" t="s">
        <v>50</v>
      </c>
      <c r="E226" s="17">
        <v>2022</v>
      </c>
      <c r="F226" s="28" t="str">
        <f t="shared" si="12"/>
        <v>September 2022</v>
      </c>
      <c r="G226" s="21"/>
      <c r="H226" s="19">
        <f t="shared" si="15"/>
        <v>0.16641004606550136</v>
      </c>
      <c r="I226" s="19">
        <f t="shared" si="15"/>
        <v>7.822300750930776E-2</v>
      </c>
      <c r="J226" s="19">
        <f t="shared" si="15"/>
        <v>8.81870385561936E-2</v>
      </c>
    </row>
    <row r="227" spans="1:10">
      <c r="A227" s="24" t="s">
        <v>45</v>
      </c>
      <c r="B227" s="24" t="s">
        <v>60</v>
      </c>
      <c r="C227" s="25" t="str">
        <f t="shared" si="11"/>
        <v>UK</v>
      </c>
      <c r="D227" s="17" t="s">
        <v>51</v>
      </c>
      <c r="E227" s="17">
        <v>2022</v>
      </c>
      <c r="F227" s="28" t="str">
        <f t="shared" si="12"/>
        <v>October 2022</v>
      </c>
      <c r="G227" s="21"/>
      <c r="H227" s="19">
        <f t="shared" si="15"/>
        <v>0.16870345406731344</v>
      </c>
      <c r="I227" s="19">
        <f t="shared" si="15"/>
        <v>7.8650195575788381E-2</v>
      </c>
      <c r="J227" s="19">
        <f t="shared" si="15"/>
        <v>9.0053258491525054E-2</v>
      </c>
    </row>
    <row r="228" spans="1:10">
      <c r="A228" s="24" t="s">
        <v>45</v>
      </c>
      <c r="B228" s="24" t="s">
        <v>60</v>
      </c>
      <c r="C228" s="25" t="str">
        <f t="shared" si="11"/>
        <v>UK</v>
      </c>
      <c r="D228" s="17" t="s">
        <v>52</v>
      </c>
      <c r="E228" s="17">
        <v>2022</v>
      </c>
      <c r="F228" s="28" t="str">
        <f t="shared" si="12"/>
        <v>November 2022</v>
      </c>
      <c r="G228" s="21"/>
      <c r="H228" s="19">
        <f t="shared" si="15"/>
        <v>0.1704424595517991</v>
      </c>
      <c r="I228" s="19">
        <f t="shared" si="15"/>
        <v>7.8433587144421335E-2</v>
      </c>
      <c r="J228" s="19">
        <f t="shared" si="15"/>
        <v>9.2008872407377776E-2</v>
      </c>
    </row>
    <row r="229" spans="1:10">
      <c r="A229" s="24" t="s">
        <v>45</v>
      </c>
      <c r="B229" s="24" t="s">
        <v>60</v>
      </c>
      <c r="C229" s="25" t="str">
        <f t="shared" si="11"/>
        <v>UK</v>
      </c>
      <c r="D229" s="17" t="s">
        <v>53</v>
      </c>
      <c r="E229" s="17">
        <v>2022</v>
      </c>
      <c r="F229" s="28" t="str">
        <f t="shared" si="12"/>
        <v>December 2022</v>
      </c>
      <c r="G229" s="18"/>
      <c r="H229" s="19">
        <f t="shared" si="15"/>
        <v>0.17151892142661024</v>
      </c>
      <c r="I229" s="19">
        <f t="shared" si="15"/>
        <v>7.7935890274345693E-2</v>
      </c>
      <c r="J229" s="19">
        <f t="shared" si="15"/>
        <v>9.3583031152264545E-2</v>
      </c>
    </row>
    <row r="230" spans="1:10">
      <c r="A230" s="24" t="s">
        <v>45</v>
      </c>
      <c r="B230" s="24" t="s">
        <v>60</v>
      </c>
      <c r="C230" s="25" t="str">
        <f t="shared" si="11"/>
        <v>UK</v>
      </c>
      <c r="D230" s="17" t="s">
        <v>54</v>
      </c>
      <c r="E230" s="17">
        <v>2023</v>
      </c>
      <c r="F230" s="28" t="str">
        <f t="shared" si="12"/>
        <v>January 2023</v>
      </c>
      <c r="G230" s="18"/>
      <c r="H230" s="19">
        <f t="shared" si="15"/>
        <v>0.17166411786587479</v>
      </c>
      <c r="I230" s="19">
        <f t="shared" si="15"/>
        <v>7.7411478187882118E-2</v>
      </c>
      <c r="J230" s="19">
        <f t="shared" si="15"/>
        <v>9.4252639677992675E-2</v>
      </c>
    </row>
    <row r="231" spans="1:10">
      <c r="A231" s="24" t="s">
        <v>45</v>
      </c>
      <c r="B231" s="24" t="s">
        <v>60</v>
      </c>
      <c r="C231" s="25" t="str">
        <f t="shared" si="11"/>
        <v>UK</v>
      </c>
      <c r="D231" s="17" t="s">
        <v>55</v>
      </c>
      <c r="E231" s="17">
        <v>2023</v>
      </c>
      <c r="F231" s="28" t="str">
        <f t="shared" si="12"/>
        <v>February 2023</v>
      </c>
      <c r="G231" s="18"/>
      <c r="H231" s="19">
        <f t="shared" si="15"/>
        <v>0.17310326893559805</v>
      </c>
      <c r="I231" s="19">
        <f t="shared" si="15"/>
        <v>7.7508784392323019E-2</v>
      </c>
      <c r="J231" s="19">
        <f t="shared" si="15"/>
        <v>9.559448454327503E-2</v>
      </c>
    </row>
    <row r="232" spans="1:10">
      <c r="A232" s="24" t="s">
        <v>45</v>
      </c>
      <c r="B232" s="24" t="s">
        <v>60</v>
      </c>
      <c r="C232" s="25" t="str">
        <f t="shared" si="11"/>
        <v>UK</v>
      </c>
      <c r="D232" s="17" t="s">
        <v>56</v>
      </c>
      <c r="E232" s="17">
        <v>2023</v>
      </c>
      <c r="F232" s="28" t="str">
        <f t="shared" si="12"/>
        <v>March 2023</v>
      </c>
      <c r="G232" s="18"/>
      <c r="H232" s="19">
        <f t="shared" si="15"/>
        <v>0.17458052949865543</v>
      </c>
      <c r="I232" s="19">
        <f t="shared" si="15"/>
        <v>7.7347961670054408E-2</v>
      </c>
      <c r="J232" s="19">
        <f t="shared" si="15"/>
        <v>9.7232567828601013E-2</v>
      </c>
    </row>
    <row r="233" spans="1:10">
      <c r="A233" s="24" t="s">
        <v>45</v>
      </c>
      <c r="B233" s="24" t="s">
        <v>60</v>
      </c>
      <c r="C233" s="25" t="str">
        <f t="shared" si="11"/>
        <v>UK</v>
      </c>
      <c r="D233" s="17" t="s">
        <v>57</v>
      </c>
      <c r="E233" s="17">
        <v>2023</v>
      </c>
      <c r="F233" s="28" t="str">
        <f t="shared" si="12"/>
        <v>April 2023</v>
      </c>
      <c r="G233" s="18"/>
      <c r="H233" s="19">
        <f t="shared" si="15"/>
        <v>0.17608188976377953</v>
      </c>
      <c r="I233" s="19">
        <f t="shared" si="15"/>
        <v>7.7297637795275584E-2</v>
      </c>
      <c r="J233" s="19">
        <f t="shared" si="15"/>
        <v>9.8784251968503933E-2</v>
      </c>
    </row>
    <row r="234" spans="1:10">
      <c r="A234" s="24" t="s">
        <v>45</v>
      </c>
      <c r="B234" s="24" t="s">
        <v>60</v>
      </c>
      <c r="C234" s="25" t="str">
        <f t="shared" si="11"/>
        <v>UK</v>
      </c>
      <c r="D234" s="17" t="s">
        <v>58</v>
      </c>
      <c r="E234" s="17">
        <v>2023</v>
      </c>
      <c r="F234" s="28" t="str">
        <f t="shared" si="12"/>
        <v>May 2023</v>
      </c>
      <c r="G234" s="18"/>
      <c r="H234" s="19">
        <f t="shared" si="15"/>
        <v>0.17762285133647576</v>
      </c>
      <c r="I234" s="19">
        <f t="shared" si="15"/>
        <v>7.7074336466359944E-2</v>
      </c>
      <c r="J234" s="19">
        <f t="shared" si="15"/>
        <v>0.10054851487011582</v>
      </c>
    </row>
    <row r="235" spans="1:10">
      <c r="A235" s="24" t="s">
        <v>45</v>
      </c>
      <c r="B235" s="24" t="s">
        <v>60</v>
      </c>
      <c r="C235" s="25" t="str">
        <f t="shared" si="11"/>
        <v>UK</v>
      </c>
      <c r="D235" s="17" t="s">
        <v>59</v>
      </c>
      <c r="E235" s="17">
        <v>2023</v>
      </c>
      <c r="F235" s="28" t="str">
        <f t="shared" si="12"/>
        <v>June 2023</v>
      </c>
      <c r="G235" s="18"/>
      <c r="H235" s="19">
        <f t="shared" si="15"/>
        <v>0.17900567624539565</v>
      </c>
      <c r="I235" s="19">
        <f t="shared" si="15"/>
        <v>7.6711825459346183E-2</v>
      </c>
      <c r="J235" s="19">
        <f t="shared" si="15"/>
        <v>0.10229385078604945</v>
      </c>
    </row>
    <row r="236" spans="1:10">
      <c r="A236" s="24" t="s">
        <v>45</v>
      </c>
      <c r="B236" s="24" t="s">
        <v>60</v>
      </c>
      <c r="C236" s="25" t="str">
        <f t="shared" si="11"/>
        <v>UK</v>
      </c>
      <c r="D236" s="17" t="s">
        <v>48</v>
      </c>
      <c r="E236" s="17">
        <v>2023</v>
      </c>
      <c r="F236" s="28" t="str">
        <f t="shared" si="12"/>
        <v>July 2023</v>
      </c>
      <c r="G236" s="18"/>
      <c r="H236" s="19">
        <f t="shared" si="15"/>
        <v>0.17924469549295949</v>
      </c>
      <c r="I236" s="19">
        <f t="shared" si="15"/>
        <v>7.6062925434854364E-2</v>
      </c>
      <c r="J236" s="19">
        <f t="shared" si="15"/>
        <v>0.10318177005810514</v>
      </c>
    </row>
    <row r="237" spans="1:10">
      <c r="A237" s="24" t="s">
        <v>45</v>
      </c>
      <c r="B237" s="24" t="s">
        <v>60</v>
      </c>
      <c r="C237" s="25" t="str">
        <f t="shared" si="11"/>
        <v>UK</v>
      </c>
      <c r="D237" s="17" t="s">
        <v>49</v>
      </c>
      <c r="E237" s="17">
        <v>2023</v>
      </c>
      <c r="F237" s="28" t="str">
        <f t="shared" si="12"/>
        <v>August 2023</v>
      </c>
      <c r="G237" s="18"/>
      <c r="H237" s="19">
        <f t="shared" si="15"/>
        <v>0.17964758562719321</v>
      </c>
      <c r="I237" s="19">
        <f t="shared" si="15"/>
        <v>7.5385677814893401E-2</v>
      </c>
      <c r="J237" s="19">
        <f t="shared" si="15"/>
        <v>0.10426190781229981</v>
      </c>
    </row>
    <row r="238" spans="1:10">
      <c r="A238" s="24" t="s">
        <v>45</v>
      </c>
      <c r="B238" s="24" t="s">
        <v>60</v>
      </c>
      <c r="C238" s="25" t="str">
        <f t="shared" si="11"/>
        <v>UK</v>
      </c>
      <c r="D238" s="17" t="s">
        <v>50</v>
      </c>
      <c r="E238" s="17">
        <v>2023</v>
      </c>
      <c r="F238" s="28" t="str">
        <f t="shared" si="12"/>
        <v>September 2023</v>
      </c>
      <c r="G238" s="18"/>
      <c r="H238" s="19">
        <f t="shared" si="15"/>
        <v>0.18129580695019196</v>
      </c>
      <c r="I238" s="19">
        <f t="shared" si="15"/>
        <v>7.5322829934686142E-2</v>
      </c>
      <c r="J238" s="19">
        <f t="shared" si="15"/>
        <v>0.10597297701550581</v>
      </c>
    </row>
    <row r="239" spans="1:10">
      <c r="A239" s="24" t="s">
        <v>45</v>
      </c>
      <c r="B239" s="24" t="s">
        <v>60</v>
      </c>
      <c r="C239" s="25" t="str">
        <f t="shared" si="11"/>
        <v>UK</v>
      </c>
      <c r="D239" s="17" t="s">
        <v>51</v>
      </c>
      <c r="E239" s="17">
        <v>2023</v>
      </c>
      <c r="F239" s="28" t="str">
        <f t="shared" si="12"/>
        <v>October 2023</v>
      </c>
      <c r="G239" s="18"/>
      <c r="H239" s="19">
        <f t="shared" si="15"/>
        <v>0.18335180779913066</v>
      </c>
      <c r="I239" s="19">
        <f t="shared" si="15"/>
        <v>7.5422525563263634E-2</v>
      </c>
      <c r="J239" s="19">
        <f t="shared" si="15"/>
        <v>0.10792928223586704</v>
      </c>
    </row>
    <row r="240" spans="1:10">
      <c r="A240" s="24" t="s">
        <v>45</v>
      </c>
      <c r="B240" s="24" t="s">
        <v>60</v>
      </c>
      <c r="C240" s="25" t="str">
        <f t="shared" si="11"/>
        <v>UK</v>
      </c>
      <c r="D240" s="17" t="s">
        <v>52</v>
      </c>
      <c r="E240" s="17">
        <v>2023</v>
      </c>
      <c r="F240" s="28" t="str">
        <f t="shared" si="12"/>
        <v>November 2023</v>
      </c>
      <c r="G240" s="18"/>
      <c r="H240" s="19">
        <f t="shared" si="15"/>
        <v>0.18488258695685825</v>
      </c>
      <c r="I240" s="19">
        <f t="shared" si="15"/>
        <v>7.5082429064565567E-2</v>
      </c>
      <c r="J240" s="19">
        <f t="shared" si="15"/>
        <v>0.10980015789229269</v>
      </c>
    </row>
    <row r="241" spans="1:10">
      <c r="A241" s="24" t="s">
        <v>45</v>
      </c>
      <c r="B241" s="24" t="s">
        <v>60</v>
      </c>
      <c r="C241" s="25" t="str">
        <f t="shared" si="11"/>
        <v>UK</v>
      </c>
      <c r="D241" s="17" t="s">
        <v>53</v>
      </c>
      <c r="E241" s="17">
        <v>2023</v>
      </c>
      <c r="F241" s="28" t="str">
        <f t="shared" si="12"/>
        <v>December 2023</v>
      </c>
      <c r="G241" s="18"/>
      <c r="H241" s="19">
        <f t="shared" ref="H241:J253" si="16">H115/$G115</f>
        <v>0.18582151325985075</v>
      </c>
      <c r="I241" s="19">
        <f t="shared" si="16"/>
        <v>7.4567600032363873E-2</v>
      </c>
      <c r="J241" s="19">
        <f t="shared" si="16"/>
        <v>0.11125391322748689</v>
      </c>
    </row>
    <row r="242" spans="1:10">
      <c r="A242" s="24" t="s">
        <v>45</v>
      </c>
      <c r="B242" s="24" t="s">
        <v>60</v>
      </c>
      <c r="C242" s="25" t="str">
        <f t="shared" si="11"/>
        <v>UK</v>
      </c>
      <c r="D242" s="17" t="s">
        <v>54</v>
      </c>
      <c r="E242" s="17">
        <v>2024</v>
      </c>
      <c r="F242" s="28" t="str">
        <f t="shared" si="12"/>
        <v>January 2024</v>
      </c>
      <c r="G242" s="21"/>
      <c r="H242" s="19">
        <f t="shared" si="16"/>
        <v>0.18569591266978261</v>
      </c>
      <c r="I242" s="19">
        <f t="shared" si="16"/>
        <v>7.4171084412936419E-2</v>
      </c>
      <c r="J242" s="19">
        <f t="shared" si="16"/>
        <v>0.1115248282568462</v>
      </c>
    </row>
    <row r="243" spans="1:10">
      <c r="A243" s="24" t="s">
        <v>45</v>
      </c>
      <c r="B243" s="24" t="s">
        <v>60</v>
      </c>
      <c r="C243" s="25" t="str">
        <f t="shared" si="11"/>
        <v>UK</v>
      </c>
      <c r="D243" s="17" t="s">
        <v>55</v>
      </c>
      <c r="E243" s="17">
        <v>2024</v>
      </c>
      <c r="F243" s="28" t="str">
        <f t="shared" si="12"/>
        <v>February 2024</v>
      </c>
      <c r="G243" s="21"/>
      <c r="H243" s="19">
        <f t="shared" si="16"/>
        <v>0.18689255685150397</v>
      </c>
      <c r="I243" s="19">
        <f t="shared" si="16"/>
        <v>7.4268402450001103E-2</v>
      </c>
      <c r="J243" s="19">
        <f t="shared" si="16"/>
        <v>0.11262415440150286</v>
      </c>
    </row>
    <row r="244" spans="1:10">
      <c r="A244" s="24" t="s">
        <v>45</v>
      </c>
      <c r="B244" s="24" t="s">
        <v>60</v>
      </c>
      <c r="C244" s="25" t="str">
        <f t="shared" si="11"/>
        <v>UK</v>
      </c>
      <c r="D244" s="17" t="s">
        <v>56</v>
      </c>
      <c r="E244" s="17">
        <v>2024</v>
      </c>
      <c r="F244" s="28" t="str">
        <f t="shared" si="12"/>
        <v>March 2024</v>
      </c>
      <c r="G244" s="21"/>
      <c r="H244" s="19">
        <f t="shared" si="16"/>
        <v>0.18789418360196217</v>
      </c>
      <c r="I244" s="19">
        <f t="shared" si="16"/>
        <v>7.4100260286314945E-2</v>
      </c>
      <c r="J244" s="19">
        <f t="shared" si="16"/>
        <v>0.11379392331564721</v>
      </c>
    </row>
    <row r="245" spans="1:10">
      <c r="A245" s="24" t="s">
        <v>45</v>
      </c>
      <c r="B245" s="24" t="s">
        <v>60</v>
      </c>
      <c r="C245" s="25" t="str">
        <f t="shared" si="11"/>
        <v>UK</v>
      </c>
      <c r="D245" s="17" t="s">
        <v>57</v>
      </c>
      <c r="E245" s="17">
        <v>2024</v>
      </c>
      <c r="F245" s="28" t="str">
        <f t="shared" si="12"/>
        <v>April 2024</v>
      </c>
      <c r="G245" s="21"/>
      <c r="H245" s="19">
        <f t="shared" si="16"/>
        <v>0.18876433248238284</v>
      </c>
      <c r="I245" s="19">
        <f t="shared" si="16"/>
        <v>7.3879772552789102E-2</v>
      </c>
      <c r="J245" s="19">
        <f t="shared" si="16"/>
        <v>0.11488455992959373</v>
      </c>
    </row>
    <row r="246" spans="1:10">
      <c r="A246" s="24" t="s">
        <v>45</v>
      </c>
      <c r="B246" s="24" t="s">
        <v>60</v>
      </c>
      <c r="C246" s="25" t="str">
        <f t="shared" si="11"/>
        <v>UK</v>
      </c>
      <c r="D246" s="17" t="s">
        <v>58</v>
      </c>
      <c r="E246" s="17">
        <v>2024</v>
      </c>
      <c r="F246" s="28" t="str">
        <f t="shared" si="12"/>
        <v>May 2024</v>
      </c>
      <c r="G246" s="21"/>
      <c r="H246" s="19">
        <f t="shared" si="16"/>
        <v>0.18984452869558738</v>
      </c>
      <c r="I246" s="19">
        <f t="shared" si="16"/>
        <v>7.3649368271681989E-2</v>
      </c>
      <c r="J246" s="19">
        <f t="shared" si="16"/>
        <v>0.11619516042390539</v>
      </c>
    </row>
    <row r="247" spans="1:10">
      <c r="A247" s="24" t="s">
        <v>45</v>
      </c>
      <c r="B247" s="24" t="s">
        <v>60</v>
      </c>
      <c r="C247" s="25" t="str">
        <f t="shared" si="11"/>
        <v>UK</v>
      </c>
      <c r="D247" s="17" t="s">
        <v>59</v>
      </c>
      <c r="E247" s="17">
        <v>2024</v>
      </c>
      <c r="F247" s="28" t="str">
        <f t="shared" si="12"/>
        <v>June 2024</v>
      </c>
      <c r="G247" s="21"/>
      <c r="H247" s="19">
        <f t="shared" si="16"/>
        <v>0.19061429599498408</v>
      </c>
      <c r="I247" s="19">
        <f t="shared" si="16"/>
        <v>7.3305350419589271E-2</v>
      </c>
      <c r="J247" s="19">
        <f t="shared" si="16"/>
        <v>0.1173089455753948</v>
      </c>
    </row>
    <row r="248" spans="1:10">
      <c r="A248" s="24" t="s">
        <v>45</v>
      </c>
      <c r="B248" s="24" t="s">
        <v>60</v>
      </c>
      <c r="C248" s="25" t="str">
        <f t="shared" si="11"/>
        <v>UK</v>
      </c>
      <c r="D248" s="17" t="s">
        <v>48</v>
      </c>
      <c r="E248" s="17">
        <v>2024</v>
      </c>
      <c r="F248" s="28" t="str">
        <f t="shared" si="12"/>
        <v>July 2024</v>
      </c>
      <c r="G248" s="21"/>
      <c r="H248" s="19">
        <f t="shared" si="16"/>
        <v>0.19059207688990204</v>
      </c>
      <c r="I248" s="19">
        <f t="shared" si="16"/>
        <v>7.2709629720904445E-2</v>
      </c>
      <c r="J248" s="19">
        <f t="shared" si="16"/>
        <v>0.1178824471689976</v>
      </c>
    </row>
    <row r="249" spans="1:10">
      <c r="A249" s="24" t="s">
        <v>45</v>
      </c>
      <c r="B249" s="24" t="s">
        <v>60</v>
      </c>
      <c r="C249" s="25" t="str">
        <f t="shared" si="11"/>
        <v>UK</v>
      </c>
      <c r="D249" s="17" t="s">
        <v>49</v>
      </c>
      <c r="E249" s="17">
        <v>2024</v>
      </c>
      <c r="F249" s="28" t="str">
        <f t="shared" si="12"/>
        <v>August 2024</v>
      </c>
      <c r="G249" s="21"/>
      <c r="H249" s="19">
        <f t="shared" si="16"/>
        <v>0.19103468593490766</v>
      </c>
      <c r="I249" s="19">
        <f t="shared" si="16"/>
        <v>7.2262105964988443E-2</v>
      </c>
      <c r="J249" s="19">
        <f t="shared" si="16"/>
        <v>0.11877257996991922</v>
      </c>
    </row>
    <row r="250" spans="1:10">
      <c r="A250" s="24" t="s">
        <v>45</v>
      </c>
      <c r="B250" s="24" t="s">
        <v>60</v>
      </c>
      <c r="C250" s="25" t="str">
        <f t="shared" si="11"/>
        <v>UK</v>
      </c>
      <c r="D250" s="17" t="s">
        <v>50</v>
      </c>
      <c r="E250" s="17">
        <v>2024</v>
      </c>
      <c r="F250" s="28" t="str">
        <f t="shared" si="12"/>
        <v>September 2024</v>
      </c>
      <c r="G250" s="21"/>
      <c r="H250" s="19">
        <f t="shared" si="16"/>
        <v>0.19244953235693346</v>
      </c>
      <c r="I250" s="19">
        <f t="shared" si="16"/>
        <v>7.227859006700095E-2</v>
      </c>
      <c r="J250" s="19">
        <f t="shared" si="16"/>
        <v>0.1201709422899325</v>
      </c>
    </row>
    <row r="251" spans="1:10">
      <c r="A251" s="24" t="s">
        <v>45</v>
      </c>
      <c r="B251" s="24" t="s">
        <v>60</v>
      </c>
      <c r="C251" s="25" t="str">
        <f t="shared" si="11"/>
        <v>UK</v>
      </c>
      <c r="D251" s="17" t="s">
        <v>51</v>
      </c>
      <c r="E251" s="17">
        <v>2024</v>
      </c>
      <c r="F251" s="28" t="str">
        <f t="shared" si="12"/>
        <v>October 2024</v>
      </c>
      <c r="G251" s="21"/>
      <c r="H251" s="19">
        <f t="shared" si="16"/>
        <v>0.1941806363113959</v>
      </c>
      <c r="I251" s="19">
        <f t="shared" si="16"/>
        <v>7.2389844227905509E-2</v>
      </c>
      <c r="J251" s="19">
        <f t="shared" si="16"/>
        <v>0.12179079208349038</v>
      </c>
    </row>
    <row r="252" spans="1:10">
      <c r="A252" s="24" t="s">
        <v>45</v>
      </c>
      <c r="B252" s="24" t="s">
        <v>60</v>
      </c>
      <c r="C252" s="25" t="str">
        <f t="shared" si="11"/>
        <v>UK</v>
      </c>
      <c r="D252" s="17" t="s">
        <v>52</v>
      </c>
      <c r="E252" s="17">
        <v>2024</v>
      </c>
      <c r="F252" s="28" t="str">
        <f t="shared" si="12"/>
        <v>November 2024</v>
      </c>
      <c r="G252" s="21"/>
      <c r="H252" s="19">
        <f t="shared" si="16"/>
        <v>0.19511872295105179</v>
      </c>
      <c r="I252" s="19">
        <f t="shared" si="16"/>
        <v>7.2231080357307756E-2</v>
      </c>
      <c r="J252" s="19">
        <f t="shared" si="16"/>
        <v>0.12288764259374403</v>
      </c>
    </row>
    <row r="253" spans="1:10">
      <c r="A253" s="24" t="s">
        <v>45</v>
      </c>
      <c r="B253" s="24" t="s">
        <v>60</v>
      </c>
      <c r="C253" s="25" t="str">
        <f t="shared" si="11"/>
        <v>UK</v>
      </c>
      <c r="D253" s="17" t="s">
        <v>53</v>
      </c>
      <c r="E253" s="17">
        <v>2024</v>
      </c>
      <c r="F253" s="28" t="str">
        <f t="shared" si="12"/>
        <v>December 2024</v>
      </c>
      <c r="G253" s="21"/>
      <c r="H253" s="19">
        <f t="shared" si="16"/>
        <v>0.19530199883900329</v>
      </c>
      <c r="I253" s="19">
        <f t="shared" si="16"/>
        <v>7.1894877024371612E-2</v>
      </c>
      <c r="J253" s="19">
        <f t="shared" si="16"/>
        <v>0.12340712181463166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7E03-D849-48E1-99E7-7004FE463EFF}">
  <dimension ref="A1:E102"/>
  <sheetViews>
    <sheetView workbookViewId="0">
      <selection activeCell="D3" sqref="D3"/>
    </sheetView>
  </sheetViews>
  <sheetFormatPr defaultRowHeight="14.45"/>
  <cols>
    <col min="1" max="1" width="8.85546875" bestFit="1" customWidth="1"/>
    <col min="2" max="2" width="15.140625" customWidth="1"/>
    <col min="3" max="4" width="14.42578125" customWidth="1"/>
    <col min="5" max="5" width="15.5703125" customWidth="1"/>
  </cols>
  <sheetData>
    <row r="1" spans="1:5" ht="39">
      <c r="A1" s="29" t="s">
        <v>61</v>
      </c>
      <c r="B1" s="29" t="s">
        <v>62</v>
      </c>
      <c r="C1" s="29" t="s">
        <v>63</v>
      </c>
      <c r="D1" s="29" t="s">
        <v>64</v>
      </c>
      <c r="E1" s="29" t="s">
        <v>65</v>
      </c>
    </row>
    <row r="2" spans="1:5">
      <c r="A2" s="4">
        <v>0</v>
      </c>
      <c r="B2" s="5">
        <v>-14000</v>
      </c>
      <c r="C2" s="5"/>
      <c r="D2" s="5"/>
      <c r="E2" s="5"/>
    </row>
    <row r="3" spans="1:5">
      <c r="A3" s="4">
        <v>1</v>
      </c>
      <c r="B3" s="5">
        <v>-28000</v>
      </c>
      <c r="C3" s="5"/>
      <c r="D3" s="5"/>
      <c r="E3" s="5"/>
    </row>
    <row r="4" spans="1:5">
      <c r="A4" s="4">
        <v>2</v>
      </c>
      <c r="B4" s="5">
        <v>-43000</v>
      </c>
      <c r="C4" s="5"/>
      <c r="D4" s="5"/>
      <c r="E4" s="5"/>
    </row>
    <row r="5" spans="1:5">
      <c r="A5" s="4">
        <v>3</v>
      </c>
      <c r="B5" s="5">
        <v>-59000</v>
      </c>
      <c r="C5" s="5"/>
      <c r="D5" s="5"/>
      <c r="E5" s="5"/>
    </row>
    <row r="6" spans="1:5">
      <c r="A6" s="4">
        <v>4</v>
      </c>
      <c r="B6" s="5">
        <v>-75000</v>
      </c>
      <c r="C6" s="5"/>
      <c r="D6" s="5"/>
      <c r="E6" s="5"/>
    </row>
    <row r="7" spans="1:5">
      <c r="A7" s="4">
        <v>5</v>
      </c>
      <c r="B7" s="5">
        <v>-94000</v>
      </c>
      <c r="C7" s="5"/>
      <c r="D7" s="5"/>
      <c r="E7" s="5"/>
    </row>
    <row r="8" spans="1:5">
      <c r="A8" s="4">
        <v>6</v>
      </c>
      <c r="B8" s="5">
        <v>-115000</v>
      </c>
      <c r="C8" s="5"/>
      <c r="D8" s="5"/>
      <c r="E8" s="5"/>
    </row>
    <row r="9" spans="1:5">
      <c r="A9" s="4">
        <v>7</v>
      </c>
      <c r="B9" s="5">
        <v>-136000</v>
      </c>
      <c r="C9" s="5"/>
      <c r="D9" s="5"/>
      <c r="E9" s="5"/>
    </row>
    <row r="10" spans="1:5">
      <c r="A10" s="4">
        <v>8</v>
      </c>
      <c r="B10" s="5">
        <v>-159000</v>
      </c>
      <c r="C10" s="5"/>
      <c r="D10" s="5"/>
      <c r="E10" s="5"/>
    </row>
    <row r="11" spans="1:5">
      <c r="A11" s="4">
        <v>9</v>
      </c>
      <c r="B11" s="5">
        <v>-183000</v>
      </c>
      <c r="C11" s="5"/>
      <c r="D11" s="5"/>
      <c r="E11" s="5"/>
    </row>
    <row r="12" spans="1:5">
      <c r="A12" s="4">
        <v>10</v>
      </c>
      <c r="B12" s="5">
        <v>-207000</v>
      </c>
      <c r="C12" s="5"/>
      <c r="D12" s="5"/>
      <c r="E12" s="5"/>
    </row>
    <row r="13" spans="1:5">
      <c r="A13" s="4">
        <v>11</v>
      </c>
      <c r="B13" s="5">
        <v>-231000</v>
      </c>
      <c r="C13" s="5"/>
      <c r="D13" s="5"/>
      <c r="E13" s="5"/>
    </row>
    <row r="14" spans="1:5">
      <c r="A14" s="4">
        <v>12</v>
      </c>
      <c r="B14" s="5">
        <v>-255000</v>
      </c>
      <c r="C14" s="5"/>
      <c r="D14" s="5"/>
      <c r="E14" s="5"/>
    </row>
    <row r="15" spans="1:5">
      <c r="A15" s="4">
        <v>13</v>
      </c>
      <c r="B15" s="5">
        <v>-279000</v>
      </c>
      <c r="C15" s="5"/>
      <c r="D15" s="5"/>
      <c r="E15" s="5"/>
    </row>
    <row r="16" spans="1:5">
      <c r="A16" s="4">
        <v>14</v>
      </c>
      <c r="B16" s="5">
        <v>-304000</v>
      </c>
      <c r="C16" s="5"/>
      <c r="D16" s="5"/>
      <c r="E16" s="5"/>
    </row>
    <row r="17" spans="1:5">
      <c r="A17" s="4">
        <v>15</v>
      </c>
      <c r="B17" s="5">
        <v>-328000</v>
      </c>
      <c r="C17" s="5"/>
      <c r="D17" s="5"/>
      <c r="E17" s="5"/>
    </row>
    <row r="18" spans="1:5">
      <c r="A18" s="4">
        <v>16</v>
      </c>
      <c r="B18" s="5">
        <v>-350000</v>
      </c>
      <c r="C18" s="5"/>
      <c r="D18" s="5"/>
      <c r="E18" s="5"/>
    </row>
    <row r="19" spans="1:5">
      <c r="A19" s="4">
        <v>17</v>
      </c>
      <c r="B19" s="5">
        <v>-370000</v>
      </c>
      <c r="C19" s="5"/>
      <c r="D19" s="5"/>
      <c r="E19" s="5"/>
    </row>
    <row r="20" spans="1:5">
      <c r="A20" s="4">
        <v>18</v>
      </c>
      <c r="B20" s="5">
        <v>-387000</v>
      </c>
      <c r="C20" s="5"/>
      <c r="D20" s="5"/>
      <c r="E20" s="5"/>
    </row>
    <row r="21" spans="1:5">
      <c r="A21" s="4">
        <v>19</v>
      </c>
      <c r="B21" s="5">
        <v>-399000</v>
      </c>
      <c r="C21" s="5"/>
      <c r="D21" s="5"/>
      <c r="E21" s="5"/>
    </row>
    <row r="22" spans="1:5">
      <c r="A22" s="4">
        <v>20</v>
      </c>
      <c r="B22" s="5">
        <v>-406000</v>
      </c>
      <c r="C22" s="5"/>
      <c r="D22" s="5"/>
      <c r="E22" s="5"/>
    </row>
    <row r="23" spans="1:5">
      <c r="A23" s="4">
        <v>21</v>
      </c>
      <c r="B23" s="5">
        <v>-409000</v>
      </c>
      <c r="C23" s="5"/>
      <c r="D23" s="5"/>
      <c r="E23" s="5"/>
    </row>
    <row r="24" spans="1:5">
      <c r="A24" s="4">
        <v>22</v>
      </c>
      <c r="B24" s="5">
        <v>-409000</v>
      </c>
      <c r="C24" s="5"/>
      <c r="D24" s="5"/>
      <c r="E24" s="5"/>
    </row>
    <row r="25" spans="1:5">
      <c r="A25" s="4">
        <v>23</v>
      </c>
      <c r="B25" s="5">
        <v>-406000</v>
      </c>
      <c r="C25" s="5"/>
      <c r="D25" s="5"/>
      <c r="E25" s="5"/>
    </row>
    <row r="26" spans="1:5">
      <c r="A26" s="4">
        <v>24</v>
      </c>
      <c r="B26" s="5">
        <v>-400000</v>
      </c>
      <c r="C26" s="5"/>
      <c r="D26" s="5"/>
      <c r="E26" s="5"/>
    </row>
    <row r="27" spans="1:5">
      <c r="A27" s="4">
        <v>25</v>
      </c>
      <c r="B27" s="5">
        <v>-392000</v>
      </c>
      <c r="C27" s="5">
        <v>-6000</v>
      </c>
      <c r="D27" s="5">
        <v>2000</v>
      </c>
      <c r="E27" s="5">
        <v>-20000</v>
      </c>
    </row>
    <row r="28" spans="1:5">
      <c r="A28" s="4">
        <v>26</v>
      </c>
      <c r="B28" s="5">
        <v>-382000</v>
      </c>
      <c r="C28" s="5">
        <v>8000</v>
      </c>
      <c r="D28" s="5">
        <v>24000</v>
      </c>
      <c r="E28" s="5">
        <v>-22000</v>
      </c>
    </row>
    <row r="29" spans="1:5">
      <c r="A29" s="4">
        <v>27</v>
      </c>
      <c r="B29" s="5">
        <v>-370000</v>
      </c>
      <c r="C29" s="5">
        <v>23000</v>
      </c>
      <c r="D29" s="5">
        <v>49000</v>
      </c>
      <c r="E29" s="5">
        <v>-23000</v>
      </c>
    </row>
    <row r="30" spans="1:5">
      <c r="A30" s="4">
        <v>28</v>
      </c>
      <c r="B30" s="5">
        <v>-357000</v>
      </c>
      <c r="C30" s="5">
        <v>40000</v>
      </c>
      <c r="D30" s="5">
        <v>77000</v>
      </c>
      <c r="E30" s="5">
        <v>-24000</v>
      </c>
    </row>
    <row r="31" spans="1:5">
      <c r="A31" s="4">
        <v>29</v>
      </c>
      <c r="B31" s="5">
        <v>-343000</v>
      </c>
      <c r="C31" s="5">
        <v>61000</v>
      </c>
      <c r="D31" s="5">
        <v>109000</v>
      </c>
      <c r="E31" s="5">
        <v>-22000</v>
      </c>
    </row>
    <row r="32" spans="1:5">
      <c r="A32" s="4">
        <v>30</v>
      </c>
      <c r="B32" s="5">
        <v>-327000</v>
      </c>
      <c r="C32" s="5">
        <v>77000</v>
      </c>
      <c r="D32" s="5">
        <v>136000</v>
      </c>
      <c r="E32" s="5">
        <v>-26000</v>
      </c>
    </row>
    <row r="33" spans="1:5">
      <c r="A33" s="4">
        <v>31</v>
      </c>
      <c r="B33" s="5">
        <v>-310000</v>
      </c>
      <c r="C33" s="5">
        <v>94000</v>
      </c>
      <c r="D33" s="5">
        <v>165000</v>
      </c>
      <c r="E33" s="5">
        <v>-30000</v>
      </c>
    </row>
    <row r="34" spans="1:5">
      <c r="A34" s="4">
        <v>32</v>
      </c>
      <c r="B34" s="5">
        <v>-293000</v>
      </c>
      <c r="C34" s="5">
        <v>112000</v>
      </c>
      <c r="D34" s="5">
        <v>195000</v>
      </c>
      <c r="E34" s="5">
        <v>-33000</v>
      </c>
    </row>
    <row r="35" spans="1:5">
      <c r="A35" s="4">
        <v>33</v>
      </c>
      <c r="B35" s="5">
        <v>-274000</v>
      </c>
      <c r="C35" s="5">
        <v>131000</v>
      </c>
      <c r="D35" s="5">
        <v>227000</v>
      </c>
      <c r="E35" s="5">
        <v>-37000</v>
      </c>
    </row>
    <row r="36" spans="1:5">
      <c r="A36" s="4">
        <v>34</v>
      </c>
      <c r="B36" s="5">
        <v>-255000</v>
      </c>
      <c r="C36" s="5">
        <v>151000</v>
      </c>
      <c r="D36" s="5">
        <v>260000</v>
      </c>
      <c r="E36" s="5">
        <v>-40000</v>
      </c>
    </row>
    <row r="37" spans="1:5">
      <c r="A37" s="4">
        <v>35</v>
      </c>
      <c r="B37" s="5">
        <v>-235000</v>
      </c>
      <c r="C37" s="5">
        <v>171000</v>
      </c>
      <c r="D37" s="5">
        <v>294000</v>
      </c>
      <c r="E37" s="5">
        <v>-43000</v>
      </c>
    </row>
    <row r="38" spans="1:5">
      <c r="A38" s="4">
        <v>36</v>
      </c>
      <c r="B38" s="5">
        <v>-215000</v>
      </c>
      <c r="C38" s="5">
        <v>192000</v>
      </c>
      <c r="D38" s="5">
        <v>328000</v>
      </c>
      <c r="E38" s="5">
        <v>-46000</v>
      </c>
    </row>
    <row r="39" spans="1:5">
      <c r="A39" s="4">
        <v>37</v>
      </c>
      <c r="B39" s="5">
        <v>-194000</v>
      </c>
      <c r="C39" s="5">
        <v>213000</v>
      </c>
      <c r="D39" s="5">
        <v>364000</v>
      </c>
      <c r="E39" s="5">
        <v>-49000</v>
      </c>
    </row>
    <row r="40" spans="1:5">
      <c r="A40" s="4">
        <v>38</v>
      </c>
      <c r="B40" s="5">
        <v>-172000</v>
      </c>
      <c r="C40" s="5">
        <v>236000</v>
      </c>
      <c r="D40" s="5">
        <v>400000</v>
      </c>
      <c r="E40" s="5">
        <v>-52000</v>
      </c>
    </row>
    <row r="41" spans="1:5">
      <c r="A41" s="4">
        <v>39</v>
      </c>
      <c r="B41" s="5">
        <v>-150000</v>
      </c>
      <c r="C41" s="5">
        <v>258000</v>
      </c>
      <c r="D41" s="5">
        <v>437000</v>
      </c>
      <c r="E41" s="5">
        <v>-55000</v>
      </c>
    </row>
    <row r="42" spans="1:5">
      <c r="A42" s="4">
        <v>40</v>
      </c>
      <c r="B42" s="5">
        <v>-127000</v>
      </c>
      <c r="C42" s="5">
        <v>281000</v>
      </c>
      <c r="D42" s="5">
        <v>475000</v>
      </c>
      <c r="E42" s="5">
        <v>-58000</v>
      </c>
    </row>
    <row r="43" spans="1:5">
      <c r="A43" s="4">
        <v>41</v>
      </c>
      <c r="B43" s="5">
        <v>-104000</v>
      </c>
      <c r="C43" s="5">
        <v>304000</v>
      </c>
      <c r="D43" s="5">
        <v>513000</v>
      </c>
      <c r="E43" s="5">
        <v>-61000</v>
      </c>
    </row>
    <row r="44" spans="1:5">
      <c r="A44" s="4">
        <v>42</v>
      </c>
      <c r="B44" s="5">
        <v>-81000</v>
      </c>
      <c r="C44" s="5">
        <v>328000</v>
      </c>
      <c r="D44" s="5">
        <v>552000</v>
      </c>
      <c r="E44" s="5">
        <v>-63000</v>
      </c>
    </row>
    <row r="45" spans="1:5">
      <c r="A45" s="4">
        <v>43</v>
      </c>
      <c r="B45" s="5">
        <v>-57000</v>
      </c>
      <c r="C45" s="5">
        <v>353000</v>
      </c>
      <c r="D45" s="5">
        <v>591000</v>
      </c>
      <c r="E45" s="5">
        <v>-65000</v>
      </c>
    </row>
    <row r="46" spans="1:5">
      <c r="A46" s="4">
        <v>44</v>
      </c>
      <c r="B46" s="5">
        <v>-32000</v>
      </c>
      <c r="C46" s="5">
        <v>377000</v>
      </c>
      <c r="D46" s="5">
        <v>631000</v>
      </c>
      <c r="E46" s="5">
        <v>-67000</v>
      </c>
    </row>
    <row r="47" spans="1:5">
      <c r="A47" s="4">
        <v>45</v>
      </c>
      <c r="B47" s="5">
        <v>-8000</v>
      </c>
      <c r="C47" s="5">
        <v>402000</v>
      </c>
      <c r="D47" s="5">
        <v>671000</v>
      </c>
      <c r="E47" s="5">
        <v>-70000</v>
      </c>
    </row>
    <row r="48" spans="1:5">
      <c r="A48" s="4">
        <v>46</v>
      </c>
      <c r="B48" s="5">
        <v>16000</v>
      </c>
      <c r="C48" s="5">
        <v>426000</v>
      </c>
      <c r="D48" s="5">
        <v>710000</v>
      </c>
      <c r="E48" s="5">
        <v>-72000</v>
      </c>
    </row>
    <row r="49" spans="1:5">
      <c r="A49" s="4">
        <v>47</v>
      </c>
      <c r="B49" s="5">
        <v>39000</v>
      </c>
      <c r="C49" s="5">
        <v>449000</v>
      </c>
      <c r="D49" s="5">
        <v>749000</v>
      </c>
      <c r="E49" s="5">
        <v>-76000</v>
      </c>
    </row>
    <row r="50" spans="1:5">
      <c r="A50" s="4">
        <v>48</v>
      </c>
      <c r="B50" s="5">
        <v>62000</v>
      </c>
      <c r="C50" s="5">
        <v>472000</v>
      </c>
      <c r="D50" s="5">
        <v>787000</v>
      </c>
      <c r="E50" s="5">
        <v>-79000</v>
      </c>
    </row>
    <row r="51" spans="1:5">
      <c r="A51" s="4">
        <v>49</v>
      </c>
      <c r="B51" s="5">
        <v>83000</v>
      </c>
      <c r="C51" s="5">
        <v>494000</v>
      </c>
      <c r="D51" s="5">
        <v>824000</v>
      </c>
      <c r="E51" s="5">
        <v>-84000</v>
      </c>
    </row>
    <row r="52" spans="1:5">
      <c r="A52" s="4">
        <v>50</v>
      </c>
      <c r="B52" s="5">
        <v>105000</v>
      </c>
      <c r="C52" s="5">
        <v>516000</v>
      </c>
      <c r="D52" s="5">
        <v>861000</v>
      </c>
      <c r="E52" s="5">
        <v>-88000</v>
      </c>
    </row>
    <row r="53" spans="1:5">
      <c r="A53" s="4">
        <v>51</v>
      </c>
      <c r="B53" s="5">
        <v>125000</v>
      </c>
      <c r="C53" s="5">
        <v>536000</v>
      </c>
      <c r="D53" s="5">
        <v>896000</v>
      </c>
      <c r="E53" s="5">
        <v>-93000</v>
      </c>
    </row>
    <row r="54" spans="1:5">
      <c r="A54" s="4">
        <v>52</v>
      </c>
      <c r="B54" s="5">
        <v>145000</v>
      </c>
      <c r="C54" s="5">
        <v>557000</v>
      </c>
      <c r="D54" s="5">
        <v>931000</v>
      </c>
      <c r="E54" s="5">
        <v>-98000</v>
      </c>
    </row>
    <row r="55" spans="1:5">
      <c r="A55" s="4">
        <v>53</v>
      </c>
      <c r="B55" s="5">
        <v>165000</v>
      </c>
      <c r="C55" s="5">
        <v>576000</v>
      </c>
      <c r="D55" s="5">
        <v>964000</v>
      </c>
      <c r="E55" s="5">
        <v>-103000</v>
      </c>
    </row>
    <row r="56" spans="1:5">
      <c r="A56" s="4">
        <v>54</v>
      </c>
      <c r="B56" s="5">
        <v>183000</v>
      </c>
      <c r="C56" s="5">
        <v>595000</v>
      </c>
      <c r="D56" s="5">
        <v>997000</v>
      </c>
      <c r="E56" s="5">
        <v>-108000</v>
      </c>
    </row>
    <row r="57" spans="1:5">
      <c r="A57" s="4">
        <v>55</v>
      </c>
      <c r="B57" s="5">
        <v>201000</v>
      </c>
      <c r="C57" s="5">
        <v>613000</v>
      </c>
      <c r="D57" s="5">
        <v>1028000</v>
      </c>
      <c r="E57" s="5">
        <v>-114000</v>
      </c>
    </row>
    <row r="58" spans="1:5">
      <c r="A58" s="4">
        <v>56</v>
      </c>
      <c r="B58" s="5">
        <v>218000</v>
      </c>
      <c r="C58" s="5">
        <v>630000</v>
      </c>
      <c r="D58" s="5">
        <v>1058000</v>
      </c>
      <c r="E58" s="5">
        <v>-119000</v>
      </c>
    </row>
    <row r="59" spans="1:5">
      <c r="A59" s="4">
        <v>57</v>
      </c>
      <c r="B59" s="5">
        <v>234000</v>
      </c>
      <c r="C59" s="5">
        <v>645000</v>
      </c>
      <c r="D59" s="5">
        <v>1086000</v>
      </c>
      <c r="E59" s="5">
        <v>-125000</v>
      </c>
    </row>
    <row r="60" spans="1:5">
      <c r="A60" s="4">
        <v>58</v>
      </c>
      <c r="B60" s="5">
        <v>248000</v>
      </c>
      <c r="C60" s="5">
        <v>660000</v>
      </c>
      <c r="D60" s="5">
        <v>1112000</v>
      </c>
      <c r="E60" s="5">
        <v>-132000</v>
      </c>
    </row>
    <row r="61" spans="1:5">
      <c r="A61" s="4">
        <v>59</v>
      </c>
      <c r="B61" s="5">
        <v>261000</v>
      </c>
      <c r="C61" s="5">
        <v>673000</v>
      </c>
      <c r="D61" s="5">
        <v>1137000</v>
      </c>
      <c r="E61" s="5">
        <v>-138000</v>
      </c>
    </row>
    <row r="62" spans="1:5">
      <c r="A62" s="4">
        <v>60</v>
      </c>
      <c r="B62" s="5">
        <v>273000</v>
      </c>
      <c r="C62" s="5">
        <v>685000</v>
      </c>
      <c r="D62" s="5">
        <v>1159000</v>
      </c>
      <c r="E62" s="5">
        <v>-145000</v>
      </c>
    </row>
    <row r="63" spans="1:5">
      <c r="A63" s="4">
        <v>61</v>
      </c>
      <c r="B63" s="5">
        <v>283000</v>
      </c>
      <c r="C63" s="5">
        <v>695000</v>
      </c>
      <c r="D63" s="5">
        <v>1180000</v>
      </c>
      <c r="E63" s="5">
        <v>-153000</v>
      </c>
    </row>
    <row r="64" spans="1:5">
      <c r="A64" s="4">
        <v>62</v>
      </c>
      <c r="B64" s="5">
        <v>292000</v>
      </c>
      <c r="C64" s="5">
        <v>704000</v>
      </c>
      <c r="D64" s="5">
        <v>1198000</v>
      </c>
      <c r="E64" s="5">
        <v>-160000</v>
      </c>
    </row>
    <row r="65" spans="1:5">
      <c r="A65" s="4">
        <v>63</v>
      </c>
      <c r="B65" s="5">
        <v>299000</v>
      </c>
      <c r="C65" s="5">
        <v>712000</v>
      </c>
      <c r="D65" s="5">
        <v>1215000</v>
      </c>
      <c r="E65" s="5">
        <v>-168000</v>
      </c>
    </row>
    <row r="66" spans="1:5">
      <c r="A66" s="4">
        <v>64</v>
      </c>
      <c r="B66" s="5">
        <v>305000</v>
      </c>
      <c r="C66" s="5">
        <v>717000</v>
      </c>
      <c r="D66" s="5">
        <v>1228000</v>
      </c>
      <c r="E66" s="5">
        <v>-177000</v>
      </c>
    </row>
    <row r="67" spans="1:5">
      <c r="A67" s="4">
        <v>65</v>
      </c>
      <c r="B67" s="5">
        <v>308000</v>
      </c>
      <c r="C67" s="5">
        <v>721000</v>
      </c>
      <c r="D67" s="5">
        <v>1239000</v>
      </c>
      <c r="E67" s="5">
        <v>-187000</v>
      </c>
    </row>
    <row r="68" spans="1:5">
      <c r="A68" s="4">
        <v>66</v>
      </c>
      <c r="B68" s="5">
        <v>309000</v>
      </c>
      <c r="C68" s="5">
        <v>722000</v>
      </c>
      <c r="D68" s="5">
        <v>1247000</v>
      </c>
      <c r="E68" s="5">
        <v>-198000</v>
      </c>
    </row>
    <row r="69" spans="1:5">
      <c r="A69" s="4">
        <v>67</v>
      </c>
      <c r="B69" s="5">
        <v>305000</v>
      </c>
      <c r="C69" s="5">
        <v>718000</v>
      </c>
      <c r="D69" s="5">
        <v>1250000</v>
      </c>
      <c r="E69" s="5">
        <v>-213000</v>
      </c>
    </row>
    <row r="70" spans="1:5">
      <c r="A70" s="4">
        <v>68</v>
      </c>
      <c r="B70" s="5">
        <v>297000</v>
      </c>
      <c r="C70" s="5">
        <v>709000</v>
      </c>
      <c r="D70" s="5">
        <v>1248000</v>
      </c>
      <c r="E70" s="5">
        <v>-233000</v>
      </c>
    </row>
    <row r="71" spans="1:5">
      <c r="A71" s="4">
        <v>69</v>
      </c>
      <c r="B71" s="5">
        <v>284000</v>
      </c>
      <c r="C71" s="5">
        <v>697000</v>
      </c>
      <c r="D71" s="5">
        <v>1241000</v>
      </c>
      <c r="E71" s="5">
        <v>-255000</v>
      </c>
    </row>
    <row r="72" spans="1:5">
      <c r="A72" s="4">
        <v>70</v>
      </c>
      <c r="B72" s="5">
        <v>268000</v>
      </c>
      <c r="C72" s="5">
        <v>681000</v>
      </c>
      <c r="D72" s="5">
        <v>1231000</v>
      </c>
      <c r="E72" s="5">
        <v>-281000</v>
      </c>
    </row>
    <row r="73" spans="1:5">
      <c r="A73" s="4">
        <v>71</v>
      </c>
      <c r="B73" s="5">
        <v>250000</v>
      </c>
      <c r="C73" s="5">
        <v>662000</v>
      </c>
      <c r="D73" s="5">
        <v>1218000</v>
      </c>
      <c r="E73" s="5">
        <v>-309000</v>
      </c>
    </row>
    <row r="74" spans="1:5">
      <c r="A74" s="4">
        <v>72</v>
      </c>
      <c r="B74" s="5">
        <v>231000</v>
      </c>
      <c r="C74" s="5">
        <v>644000</v>
      </c>
      <c r="D74" s="5">
        <v>1204000</v>
      </c>
      <c r="E74" s="5">
        <v>-337000</v>
      </c>
    </row>
    <row r="75" spans="1:5">
      <c r="A75" s="4">
        <v>73</v>
      </c>
      <c r="B75" s="5">
        <v>212000</v>
      </c>
      <c r="C75" s="5">
        <v>625000</v>
      </c>
      <c r="D75" s="5">
        <v>1190000</v>
      </c>
      <c r="E75" s="5">
        <v>-365000</v>
      </c>
    </row>
    <row r="76" spans="1:5">
      <c r="A76" s="4">
        <v>74</v>
      </c>
      <c r="B76" s="5">
        <v>193000</v>
      </c>
      <c r="C76" s="5">
        <v>606000</v>
      </c>
      <c r="D76" s="5">
        <v>1176000</v>
      </c>
      <c r="E76" s="5">
        <v>-393000</v>
      </c>
    </row>
    <row r="77" spans="1:5">
      <c r="A77" s="4">
        <v>75</v>
      </c>
      <c r="B77" s="5">
        <v>173000</v>
      </c>
      <c r="C77" s="5">
        <v>586000</v>
      </c>
      <c r="D77" s="5">
        <v>1161000</v>
      </c>
      <c r="E77" s="5">
        <v>-421000</v>
      </c>
    </row>
    <row r="78" spans="1:5">
      <c r="A78" s="4">
        <v>76</v>
      </c>
      <c r="B78" s="5">
        <v>152000</v>
      </c>
      <c r="C78" s="5">
        <v>564000</v>
      </c>
      <c r="D78" s="5">
        <v>1144000</v>
      </c>
      <c r="E78" s="5">
        <v>-451000</v>
      </c>
    </row>
    <row r="79" spans="1:5">
      <c r="A79" s="4">
        <v>77</v>
      </c>
      <c r="B79" s="5">
        <v>129000</v>
      </c>
      <c r="C79" s="5">
        <v>541000</v>
      </c>
      <c r="D79" s="5">
        <v>1126000</v>
      </c>
      <c r="E79" s="5">
        <v>-481000</v>
      </c>
    </row>
    <row r="80" spans="1:5">
      <c r="A80" s="4">
        <v>78</v>
      </c>
      <c r="B80" s="5">
        <v>104000</v>
      </c>
      <c r="C80" s="5">
        <v>517000</v>
      </c>
      <c r="D80" s="5">
        <v>1106000</v>
      </c>
      <c r="E80" s="5">
        <v>-513000</v>
      </c>
    </row>
    <row r="81" spans="1:5">
      <c r="A81" s="4">
        <v>79</v>
      </c>
      <c r="B81" s="5">
        <v>78000</v>
      </c>
      <c r="C81" s="5">
        <v>491000</v>
      </c>
      <c r="D81" s="5">
        <v>1084000</v>
      </c>
      <c r="E81" s="5">
        <v>-547000</v>
      </c>
    </row>
    <row r="82" spans="1:5">
      <c r="A82" s="4">
        <v>80</v>
      </c>
      <c r="B82" s="5">
        <v>51000</v>
      </c>
      <c r="C82" s="5">
        <v>463000</v>
      </c>
      <c r="D82" s="5">
        <v>1060000</v>
      </c>
      <c r="E82" s="5">
        <v>-582000</v>
      </c>
    </row>
    <row r="83" spans="1:5">
      <c r="A83" s="4">
        <v>81</v>
      </c>
      <c r="B83" s="5">
        <v>22000</v>
      </c>
      <c r="C83" s="5">
        <v>435000</v>
      </c>
      <c r="D83" s="5">
        <v>1036000</v>
      </c>
      <c r="E83" s="5">
        <v>-617000</v>
      </c>
    </row>
    <row r="84" spans="1:5">
      <c r="A84" s="4">
        <v>82</v>
      </c>
      <c r="B84" s="5">
        <v>-7000</v>
      </c>
      <c r="C84" s="5">
        <v>405000</v>
      </c>
      <c r="D84" s="5">
        <v>1010000</v>
      </c>
      <c r="E84" s="5">
        <v>-653000</v>
      </c>
    </row>
    <row r="85" spans="1:5">
      <c r="A85" s="4">
        <v>83</v>
      </c>
      <c r="B85" s="5">
        <v>-38000</v>
      </c>
      <c r="C85" s="5">
        <v>375000</v>
      </c>
      <c r="D85" s="5">
        <v>983000</v>
      </c>
      <c r="E85" s="5">
        <v>-690000</v>
      </c>
    </row>
    <row r="86" spans="1:5">
      <c r="A86" s="4">
        <v>84</v>
      </c>
      <c r="B86" s="5">
        <v>-70000</v>
      </c>
      <c r="C86" s="5">
        <v>343000</v>
      </c>
      <c r="D86" s="5">
        <v>955000</v>
      </c>
      <c r="E86" s="5">
        <v>-728000</v>
      </c>
    </row>
    <row r="87" spans="1:5">
      <c r="A87" s="4">
        <v>85</v>
      </c>
      <c r="B87" s="5">
        <v>-104000</v>
      </c>
      <c r="C87" s="5">
        <v>308000</v>
      </c>
      <c r="D87" s="5">
        <v>924000</v>
      </c>
      <c r="E87" s="5">
        <v>-769000</v>
      </c>
    </row>
    <row r="88" spans="1:5">
      <c r="A88" s="4">
        <v>86</v>
      </c>
      <c r="B88" s="5">
        <v>-142000</v>
      </c>
      <c r="C88" s="5">
        <v>271000</v>
      </c>
      <c r="D88" s="5">
        <v>890000</v>
      </c>
      <c r="E88" s="5">
        <v>-813000</v>
      </c>
    </row>
    <row r="89" spans="1:5">
      <c r="A89" s="4">
        <v>87</v>
      </c>
      <c r="B89" s="5">
        <v>-183000</v>
      </c>
      <c r="C89" s="5">
        <v>230000</v>
      </c>
      <c r="D89" s="5">
        <v>852000</v>
      </c>
      <c r="E89" s="5">
        <v>-859000</v>
      </c>
    </row>
    <row r="90" spans="1:5">
      <c r="A90" s="4">
        <v>88</v>
      </c>
      <c r="B90" s="5">
        <v>-226000</v>
      </c>
      <c r="C90" s="5">
        <v>186000</v>
      </c>
      <c r="D90" s="5">
        <v>812000</v>
      </c>
      <c r="E90" s="5">
        <v>-908000</v>
      </c>
    </row>
    <row r="91" spans="1:5">
      <c r="A91" s="4">
        <v>89</v>
      </c>
      <c r="B91" s="5">
        <v>-273000</v>
      </c>
      <c r="C91" s="5">
        <v>140000</v>
      </c>
      <c r="D91" s="5">
        <v>768000</v>
      </c>
      <c r="E91" s="5">
        <v>-960000</v>
      </c>
    </row>
    <row r="92" spans="1:5">
      <c r="A92" s="4">
        <v>90</v>
      </c>
      <c r="B92" s="5">
        <v>-320000</v>
      </c>
      <c r="C92" s="5">
        <v>93000</v>
      </c>
      <c r="D92" s="5">
        <v>724000</v>
      </c>
      <c r="E92" s="5">
        <v>-1013000</v>
      </c>
    </row>
    <row r="93" spans="1:5">
      <c r="A93" s="4">
        <v>91</v>
      </c>
      <c r="B93" s="5">
        <v>-368000</v>
      </c>
      <c r="C93" s="5">
        <v>45000</v>
      </c>
      <c r="D93" s="5">
        <v>679000</v>
      </c>
      <c r="E93" s="5">
        <v>-1065000</v>
      </c>
    </row>
    <row r="94" spans="1:5">
      <c r="A94" s="4">
        <v>92</v>
      </c>
      <c r="B94" s="5">
        <v>-417000</v>
      </c>
      <c r="C94" s="5">
        <v>-4000</v>
      </c>
      <c r="D94" s="5">
        <v>633000</v>
      </c>
      <c r="E94" s="5">
        <v>-1119000</v>
      </c>
    </row>
    <row r="95" spans="1:5">
      <c r="A95" s="4">
        <v>93</v>
      </c>
      <c r="B95" s="5">
        <v>-466000</v>
      </c>
      <c r="C95" s="5">
        <v>-53000</v>
      </c>
      <c r="D95" s="5">
        <v>586000</v>
      </c>
      <c r="E95" s="5">
        <v>-1172000</v>
      </c>
    </row>
    <row r="96" spans="1:5">
      <c r="A96" s="4">
        <v>94</v>
      </c>
      <c r="B96" s="5">
        <v>-515000</v>
      </c>
      <c r="C96" s="5">
        <v>-102000</v>
      </c>
      <c r="D96" s="5">
        <v>540000</v>
      </c>
      <c r="E96" s="5">
        <v>-1226000</v>
      </c>
    </row>
    <row r="97" spans="1:5">
      <c r="A97" s="4">
        <v>95</v>
      </c>
      <c r="B97" s="5">
        <v>-564000</v>
      </c>
      <c r="C97" s="5">
        <v>-152000</v>
      </c>
      <c r="D97" s="5">
        <v>493000</v>
      </c>
      <c r="E97" s="5">
        <v>-1280000</v>
      </c>
    </row>
    <row r="98" spans="1:5">
      <c r="A98" s="4">
        <v>96</v>
      </c>
      <c r="B98" s="5">
        <v>-614000</v>
      </c>
      <c r="C98" s="5">
        <v>-201000</v>
      </c>
      <c r="D98" s="5">
        <v>446000</v>
      </c>
      <c r="E98" s="5">
        <v>-1334000</v>
      </c>
    </row>
    <row r="99" spans="1:5">
      <c r="A99" s="4">
        <v>97</v>
      </c>
      <c r="B99" s="5">
        <v>-664000</v>
      </c>
      <c r="C99" s="5">
        <v>-251000</v>
      </c>
      <c r="D99" s="5">
        <v>399000</v>
      </c>
      <c r="E99" s="5">
        <v>-1388000</v>
      </c>
    </row>
    <row r="100" spans="1:5">
      <c r="A100" s="4">
        <v>98</v>
      </c>
      <c r="B100" s="5">
        <v>-714000</v>
      </c>
      <c r="C100" s="5">
        <v>-301000</v>
      </c>
      <c r="D100" s="5">
        <v>351000</v>
      </c>
      <c r="E100" s="5">
        <v>-1443000</v>
      </c>
    </row>
    <row r="101" spans="1:5">
      <c r="A101" s="4">
        <v>99</v>
      </c>
      <c r="B101" s="5">
        <v>-766000</v>
      </c>
      <c r="C101" s="5">
        <v>-353000</v>
      </c>
      <c r="D101" s="5">
        <v>302000</v>
      </c>
      <c r="E101" s="5">
        <v>-1498000</v>
      </c>
    </row>
    <row r="102" spans="1:5">
      <c r="A102" s="4">
        <v>100</v>
      </c>
      <c r="B102" s="5">
        <v>-818000</v>
      </c>
      <c r="C102" s="5">
        <v>-405000</v>
      </c>
      <c r="D102" s="5">
        <v>252000</v>
      </c>
      <c r="E102" s="5">
        <v>-1555000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0d8335-e414-497b-b6b2-10c650911aa3" xsi:nil="true"/>
    <lcf76f155ced4ddcb4097134ff3c332f xmlns="ddeb3276-f0d2-4dc8-a738-b015e156e8d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084A4626D84A98EDB8AFF445E440" ma:contentTypeVersion="12" ma:contentTypeDescription="Create a new document." ma:contentTypeScope="" ma:versionID="0e2d59e106bc889af93eb9051ee238a4">
  <xsd:schema xmlns:xsd="http://www.w3.org/2001/XMLSchema" xmlns:xs="http://www.w3.org/2001/XMLSchema" xmlns:p="http://schemas.microsoft.com/office/2006/metadata/properties" xmlns:ns2="ddeb3276-f0d2-4dc8-a738-b015e156e8d7" xmlns:ns3="160d8335-e414-497b-b6b2-10c650911aa3" targetNamespace="http://schemas.microsoft.com/office/2006/metadata/properties" ma:root="true" ma:fieldsID="5a615f014d591e51f3be3d7159b9f48f" ns2:_="" ns3:_="">
    <xsd:import namespace="ddeb3276-f0d2-4dc8-a738-b015e156e8d7"/>
    <xsd:import namespace="160d8335-e414-497b-b6b2-10c65091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b3276-f0d2-4dc8-a738-b015e156e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64bf66-3ab6-4740-8ae4-bf44781f38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8335-e414-497b-b6b2-10c650911aa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68e8d31-2799-4ff9-abf0-3119a6592127}" ma:internalName="TaxCatchAll" ma:showField="CatchAllData" ma:web="160d8335-e414-497b-b6b2-10c650911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176E44-29A8-4762-B1A8-425FB86E4F94}"/>
</file>

<file path=customXml/itemProps2.xml><?xml version="1.0" encoding="utf-8"?>
<ds:datastoreItem xmlns:ds="http://schemas.openxmlformats.org/officeDocument/2006/customXml" ds:itemID="{C20D7A9A-0A58-4800-A4B2-24F07BC39DF1}"/>
</file>

<file path=customXml/itemProps3.xml><?xml version="1.0" encoding="utf-8"?>
<ds:datastoreItem xmlns:ds="http://schemas.openxmlformats.org/officeDocument/2006/customXml" ds:itemID="{5617B577-2220-45DC-85BF-F0F5FC398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Brindle</dc:creator>
  <cp:keywords/>
  <dc:description/>
  <cp:lastModifiedBy/>
  <cp:revision/>
  <dcterms:created xsi:type="dcterms:W3CDTF">2025-10-17T11:11:12Z</dcterms:created>
  <dcterms:modified xsi:type="dcterms:W3CDTF">2025-10-25T15:09:15Z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0x0101005D96084A4626D84A98EDB8AFF445E440</vt:lpwstr>
  </property>
</Properties>
</file>