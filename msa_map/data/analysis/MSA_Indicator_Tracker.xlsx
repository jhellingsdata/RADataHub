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960" yWindow="-25020" windowWidth="44480" windowHeight="19240" tabRatio="600" firstSheet="0" activeTab="4" autoFilterDateGrouping="1"/>
  </bookViews>
  <sheets>
    <sheet xmlns:r="http://schemas.openxmlformats.org/officeDocument/2006/relationships" name="1. Indicator Registry" sheetId="1" state="visible" r:id="rId1"/>
    <sheet xmlns:r="http://schemas.openxmlformats.org/officeDocument/2006/relationships" name="2. YNYCA Profile" sheetId="2" state="visible" r:id="rId2"/>
    <sheet xmlns:r="http://schemas.openxmlformats.org/officeDocument/2006/relationships" name="3. MSA Comparison" sheetId="3" state="visible" r:id="rId3"/>
    <sheet xmlns:r="http://schemas.openxmlformats.org/officeDocument/2006/relationships" name="4. Codebook" sheetId="4" state="visible" r:id="rId4"/>
    <sheet xmlns:r="http://schemas.openxmlformats.org/officeDocument/2006/relationships" name="5. Sources" sheetId="5" state="visible" r:id="rId5"/>
  </sheets>
  <definedNames>
    <definedName name="_xlnm._FilterDatabase" localSheetId="0" hidden="1">'1. Indicator Registry'!$A$2:$N$32</definedName>
    <definedName name="_xlnm._FilterDatabase" localSheetId="1" hidden="1">'2. YNYCA Profile'!$A$3:$O$33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£#,##0"/>
    <numFmt numFmtId="166" formatCode="0.0&quot;%&quot;"/>
    <numFmt numFmtId="167" formatCode="0.0%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color rgb="FF1A1A1A"/>
      <sz val="9"/>
    </font>
    <font>
      <name val="Arial"/>
      <family val="2"/>
      <b val="1"/>
      <color rgb="FF1A1A1A"/>
      <sz val="9"/>
    </font>
    <font>
      <name val="Arial"/>
      <family val="2"/>
      <color rgb="FF2A9D8F"/>
      <sz val="9"/>
    </font>
    <font>
      <name val="Arial"/>
      <family val="2"/>
      <i val="1"/>
      <color rgb="FF555555"/>
      <sz val="9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8"/>
    </font>
    <font>
      <name val="Calibri"/>
      <family val="2"/>
      <color theme="10"/>
      <sz val="11"/>
      <u val="single"/>
      <scheme val="minor"/>
    </font>
    <font>
      <name val="Arial"/>
      <family val="2"/>
      <sz val="9"/>
    </font>
    <font>
      <name val="Arial"/>
      <family val="2"/>
      <color rgb="FF1A1A1A"/>
      <sz val="9"/>
    </font>
    <font>
      <name val="Arial"/>
      <family val="2"/>
      <b val="1"/>
      <color rgb="FF1A1A1A"/>
      <sz val="9"/>
    </font>
    <font>
      <name val="Arial"/>
      <color rgb="001A1A1A"/>
      <sz val="9"/>
    </font>
    <font>
      <name val="Arial"/>
      <b val="1"/>
      <color rgb="001A1A1A"/>
      <sz val="9"/>
    </font>
    <font>
      <name val="Arial"/>
      <sz val="9"/>
    </font>
  </fonts>
  <fills count="2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A9D8F"/>
      </patternFill>
    </fill>
    <fill>
      <patternFill patternType="solid">
        <fgColor rgb="FFEAF4EA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DE8EC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5F5F5"/>
      </patternFill>
    </fill>
    <fill>
      <patternFill patternType="solid">
        <fgColor rgb="FFFCE4EC"/>
      </patternFill>
    </fill>
    <fill>
      <patternFill patternType="solid">
        <fgColor rgb="FFC8E6C9"/>
      </patternFill>
    </fill>
    <fill>
      <patternFill patternType="solid">
        <fgColor rgb="FFFFCCBC"/>
      </patternFill>
    </fill>
    <fill>
      <patternFill patternType="solid">
        <fgColor rgb="FFFFF9C4"/>
      </patternFill>
    </fill>
    <fill>
      <patternFill patternType="solid">
        <fgColor rgb="FF444444"/>
      </patternFill>
    </fill>
    <fill>
      <patternFill patternType="solid">
        <fgColor rgb="FF888888"/>
      </patternFill>
    </fill>
    <fill>
      <patternFill patternType="solid">
        <fgColor rgb="FFF0F0F0"/>
      </patternFill>
    </fill>
    <fill>
      <patternFill patternType="solid">
        <fgColor rgb="FFEEF7FF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11" fillId="0" borderId="0"/>
  </cellStyleXfs>
  <cellXfs count="111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0" fillId="17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left" vertical="center"/>
    </xf>
    <xf numFmtId="0" fontId="11" fillId="0" borderId="1" applyAlignment="1" pivotButton="0" quotePrefix="0" xfId="1">
      <alignment horizontal="left" vertical="center"/>
    </xf>
    <xf numFmtId="3" fontId="13" fillId="13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left" vertical="center"/>
    </xf>
    <xf numFmtId="3" fontId="12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center" vertical="center"/>
    </xf>
    <xf numFmtId="164" fontId="13" fillId="14" borderId="1" applyAlignment="1" pivotButton="0" quotePrefix="0" xfId="0">
      <alignment horizontal="right" vertical="center"/>
    </xf>
    <xf numFmtId="0" fontId="13" fillId="14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right" vertical="center"/>
    </xf>
    <xf numFmtId="0" fontId="14" fillId="14" borderId="1" applyAlignment="1" pivotButton="0" quotePrefix="0" xfId="0">
      <alignment horizontal="center" vertical="center"/>
    </xf>
    <xf numFmtId="3" fontId="12" fillId="18" borderId="1" applyAlignment="1" pivotButton="0" quotePrefix="0" xfId="0">
      <alignment horizontal="center" vertical="center"/>
    </xf>
    <xf numFmtId="3" fontId="12" fillId="11" borderId="1" applyAlignment="1" pivotButton="0" quotePrefix="0" xfId="0">
      <alignment horizontal="center" vertical="center"/>
    </xf>
    <xf numFmtId="3" fontId="12" fillId="1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11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1" fillId="0" borderId="0" pivotButton="0" quotePrefix="0" xfId="1"/>
    <xf numFmtId="165" fontId="15" fillId="14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left" vertical="center"/>
    </xf>
    <xf numFmtId="165" fontId="15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0" fontId="17" fillId="22" borderId="1" applyAlignment="1" pivotButton="0" quotePrefix="0" xfId="0">
      <alignment horizontal="center" vertical="center"/>
    </xf>
    <xf numFmtId="166" fontId="15" fillId="13" borderId="1" applyAlignment="1" pivotButton="0" quotePrefix="0" xfId="0">
      <alignment horizontal="right" vertical="center"/>
    </xf>
    <xf numFmtId="0" fontId="15" fillId="13" borderId="1" applyAlignment="1" pivotButton="0" quotePrefix="0" xfId="0">
      <alignment horizontal="left" vertical="center"/>
    </xf>
    <xf numFmtId="166" fontId="15" fillId="0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center" vertical="center"/>
    </xf>
    <xf numFmtId="0" fontId="17" fillId="24" borderId="1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23" borderId="0" applyAlignment="1" pivotButton="0" quotePrefix="0" xfId="0">
      <alignment horizontal="center" vertical="center"/>
    </xf>
    <xf numFmtId="165" fontId="17" fillId="24" borderId="0" applyAlignment="1" pivotButton="0" quotePrefix="0" xfId="0">
      <alignment horizontal="center" vertical="center"/>
    </xf>
    <xf numFmtId="165" fontId="17" fillId="22" borderId="0" applyAlignment="1" pivotButton="0" quotePrefix="0" xfId="0">
      <alignment horizontal="center" vertical="center"/>
    </xf>
    <xf numFmtId="0" fontId="17" fillId="25" borderId="0" applyAlignment="1" pivotButton="0" quotePrefix="0" xfId="0">
      <alignment horizontal="left" vertical="center" wrapText="1"/>
    </xf>
    <xf numFmtId="165" fontId="15" fillId="14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166" fontId="15" fillId="13" borderId="1" applyAlignment="1" pivotButton="0" quotePrefix="0" xfId="0">
      <alignment horizontal="right" vertical="center"/>
    </xf>
    <xf numFmtId="0" fontId="15" fillId="13" borderId="1" applyAlignment="1" pivotButton="0" quotePrefix="0" xfId="0">
      <alignment horizontal="left" vertical="center"/>
    </xf>
    <xf numFmtId="0" fontId="16" fillId="13" borderId="1" applyAlignment="1" pivotButton="0" quotePrefix="0" xfId="0">
      <alignment horizontal="center" vertical="center"/>
    </xf>
    <xf numFmtId="166" fontId="15" fillId="14" borderId="1" applyAlignment="1" pivotButton="0" quotePrefix="0" xfId="0">
      <alignment horizontal="right" vertical="center"/>
    </xf>
    <xf numFmtId="166" fontId="17" fillId="0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right" vertical="center"/>
    </xf>
    <xf numFmtId="0" fontId="17" fillId="11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ns.gov.uk/releases/populationestimatesforenglandandwalesmid202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ons.gov.uk/economy/grossvalueaddedgva/datasets/regionalgrossvalueaddedbalancedbycombinedauthoritycityregionsandothereconomicandenterpriseregionsoftheuk/curren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zoomScale="139" workbookViewId="0">
      <pane ySplit="2" topLeftCell="A3" activePane="bottomLeft" state="frozen"/>
      <selection pane="bottomLeft" activeCell="H3" sqref="H3"/>
    </sheetView>
  </sheetViews>
  <sheetFormatPr baseColWidth="10" defaultColWidth="8.83203125" defaultRowHeight="15"/>
  <cols>
    <col width="14" customWidth="1" style="77" min="1" max="1"/>
    <col width="22" customWidth="1" style="77" min="2" max="2"/>
    <col width="42" customWidth="1" style="77" min="3" max="3"/>
    <col width="22" customWidth="1" style="77" min="4" max="4"/>
    <col width="12" customWidth="1" style="77" min="5" max="5"/>
    <col width="22" customWidth="1" style="77" min="6" max="6"/>
    <col width="28" customWidth="1" style="77" min="7" max="7"/>
    <col width="45" customWidth="1" style="77" min="8" max="8"/>
    <col width="18" customWidth="1" style="77" min="9" max="9"/>
    <col width="14" customWidth="1" style="77" min="10" max="10"/>
    <col width="16" customWidth="1" style="77" min="11" max="11"/>
    <col width="18" customWidth="1" style="77" min="12" max="12"/>
    <col width="40" customWidth="1" style="77" min="13" max="13"/>
    <col width="14" customWidth="1" style="77" min="14" max="14"/>
  </cols>
  <sheetData>
    <row r="1" ht="30" customHeight="1" s="77">
      <c r="A1" s="76" t="inlineStr">
        <is>
          <t>MSA Evidence Base — Indicator Registry</t>
        </is>
      </c>
    </row>
    <row r="2" ht="36" customHeight="1" s="77">
      <c r="A2" s="1" t="inlineStr">
        <is>
          <t>Indicator ID</t>
        </is>
      </c>
      <c r="B2" s="1" t="inlineStr">
        <is>
          <t>Competency Area</t>
        </is>
      </c>
      <c r="C2" s="1" t="inlineStr">
        <is>
          <t>Indicator Name</t>
        </is>
      </c>
      <c r="D2" s="1" t="inlineStr">
        <is>
          <t>Short Label</t>
        </is>
      </c>
      <c r="E2" s="1" t="inlineStr">
        <is>
          <t>Unit</t>
        </is>
      </c>
      <c r="F2" s="1" t="inlineStr">
        <is>
          <t>Geography Available</t>
        </is>
      </c>
      <c r="G2" s="1" t="inlineStr">
        <is>
          <t>Source</t>
        </is>
      </c>
      <c r="H2" s="1" t="inlineStr">
        <is>
          <t>Direct URL</t>
        </is>
      </c>
      <c r="I2" s="1" t="inlineStr">
        <is>
          <t>Update Frequency</t>
        </is>
      </c>
      <c r="J2" s="1" t="inlineStr">
        <is>
          <t>Latest Year</t>
        </is>
      </c>
      <c r="K2" s="1" t="inlineStr">
        <is>
          <t>Higher = Better?</t>
        </is>
      </c>
      <c r="L2" s="1" t="inlineStr">
        <is>
          <t>Include in Profile</t>
        </is>
      </c>
      <c r="M2" s="1" t="inlineStr">
        <is>
          <t>Notes / Caveats</t>
        </is>
      </c>
      <c r="N2" s="1" t="inlineStr">
        <is>
          <t>Added By</t>
        </is>
      </c>
    </row>
    <row r="3" ht="20" customHeight="1" s="77">
      <c r="A3" s="2" t="inlineStr">
        <is>
          <t>SNAP_001</t>
        </is>
      </c>
      <c r="B3" s="3" t="inlineStr">
        <is>
          <t>Snapshot</t>
        </is>
      </c>
      <c r="C3" s="4" t="inlineStr">
        <is>
          <t>Total population</t>
        </is>
      </c>
      <c r="D3" s="3" t="inlineStr">
        <is>
          <t>Population</t>
        </is>
      </c>
      <c r="E3" s="3" t="inlineStr">
        <is>
          <t>Count</t>
        </is>
      </c>
      <c r="F3" s="3" t="inlineStr">
        <is>
          <t>LA → CA</t>
        </is>
      </c>
      <c r="G3" s="3" t="inlineStr">
        <is>
          <t>ONS Mid-Year Population Estimates</t>
        </is>
      </c>
      <c r="H3" s="62" t="inlineStr">
        <is>
          <t>https://www.ons.gov.uk/releases/populationestimatesforenglandandwalesmid2024</t>
        </is>
      </c>
      <c r="I3" s="3" t="inlineStr">
        <is>
          <t>Annual</t>
        </is>
      </c>
      <c r="J3" s="3" t="inlineStr">
        <is>
          <t>Mid-2024</t>
        </is>
      </c>
      <c r="K3" s="3" t="inlineStr">
        <is>
          <t>N/A</t>
        </is>
      </c>
      <c r="L3" s="3" t="inlineStr">
        <is>
          <t>Yes</t>
        </is>
      </c>
      <c r="M3" s="4" t="inlineStr">
        <is>
          <t>Sum York (209,301) + North Yorkshire (635,270) for YNYCA total</t>
        </is>
      </c>
      <c r="N3" s="6" t="n"/>
    </row>
    <row r="4" ht="20" customHeight="1" s="77">
      <c r="A4" s="2" t="inlineStr">
        <is>
          <t>SNAP_002</t>
        </is>
      </c>
      <c r="B4" s="3" t="inlineStr">
        <is>
          <t>Snapshot</t>
        </is>
      </c>
      <c r="C4" s="4" t="inlineStr">
        <is>
          <t>Population density (persons per km²)</t>
        </is>
      </c>
      <c r="D4" s="3" t="inlineStr">
        <is>
          <t>Pop. density</t>
        </is>
      </c>
      <c r="E4" s="3" t="inlineStr">
        <is>
          <t>per km²</t>
        </is>
      </c>
      <c r="F4" s="3" t="inlineStr">
        <is>
          <t>LA → CA</t>
        </is>
      </c>
      <c r="G4" s="3" t="inlineStr">
        <is>
          <t>ONS Mid-Year Population Estimates</t>
        </is>
      </c>
      <c r="H4" s="5" t="inlineStr">
        <is>
          <t>https://www.ons.gov.uk/releases/populationestimatesforenglandandwalesmid2024</t>
        </is>
      </c>
      <c r="I4" s="3" t="inlineStr">
        <is>
          <t>Annual</t>
        </is>
      </c>
      <c r="J4" s="3" t="inlineStr">
        <is>
          <t>Mid-2024</t>
        </is>
      </c>
      <c r="K4" s="3" t="inlineStr">
        <is>
          <t>N/A</t>
        </is>
      </c>
      <c r="L4" s="3" t="inlineStr">
        <is>
          <t>Yes</t>
        </is>
      </c>
      <c r="M4" s="4" t="inlineStr">
        <is>
          <t>Auto-calculated from population / area. YNYCA is one of England's most rural MSAs</t>
        </is>
      </c>
      <c r="N4" s="6" t="n"/>
    </row>
    <row r="5" ht="20" customHeight="1" s="77">
      <c r="A5" s="2" t="inlineStr">
        <is>
          <t>SNAP_003</t>
        </is>
      </c>
      <c r="B5" s="3" t="inlineStr">
        <is>
          <t>Snapshot</t>
        </is>
      </c>
      <c r="C5" s="4" t="inlineStr">
        <is>
          <t>Total GVA (£bn)</t>
        </is>
      </c>
      <c r="D5" s="3" t="inlineStr">
        <is>
          <t>GVA total</t>
        </is>
      </c>
      <c r="E5" s="3" t="inlineStr">
        <is>
          <t>£bn</t>
        </is>
      </c>
      <c r="F5" s="3" t="inlineStr">
        <is>
          <t>LA → CA</t>
        </is>
      </c>
      <c r="G5" s="3" t="inlineStr">
        <is>
          <t>ONS Regional GVA (Balanced) by LA</t>
        </is>
      </c>
      <c r="H5" s="5" t="inlineStr">
        <is>
          <t>https://www.ons.gov.uk/economy/grossdomesticproductgdp/datasets/regionalgrossvalueaddedbalancedbyindustrylocalauthoritiesbyitl1region</t>
        </is>
      </c>
      <c r="I5" s="3" t="inlineStr">
        <is>
          <t>Annual</t>
        </is>
      </c>
      <c r="J5" s="3" t="inlineStr">
        <is>
          <t>2023</t>
        </is>
      </c>
      <c r="K5" s="3" t="inlineStr">
        <is>
          <t>Yes</t>
        </is>
      </c>
      <c r="L5" s="3" t="inlineStr">
        <is>
          <t>Yes</t>
        </is>
      </c>
      <c r="M5" s="4" t="inlineStr">
        <is>
          <t>Aggregate York + North Yorkshire LAs. Check CA-level dataset first</t>
        </is>
      </c>
      <c r="N5" s="6" t="n"/>
    </row>
    <row r="6" ht="20" customHeight="1" s="77">
      <c r="A6" s="2" t="inlineStr">
        <is>
          <t>SNAP_004</t>
        </is>
      </c>
      <c r="B6" s="3" t="inlineStr">
        <is>
          <t>Snapshot</t>
        </is>
      </c>
      <c r="C6" s="4" t="inlineStr">
        <is>
          <t>GVA per head (£)</t>
        </is>
      </c>
      <c r="D6" s="3" t="inlineStr">
        <is>
          <t>GVA per head</t>
        </is>
      </c>
      <c r="E6" s="3" t="inlineStr">
        <is>
          <t>£</t>
        </is>
      </c>
      <c r="F6" s="3" t="inlineStr">
        <is>
          <t>LA → CA</t>
        </is>
      </c>
      <c r="G6" s="3" t="inlineStr">
        <is>
          <t>ONS Regional GVA (Balanced) per head</t>
        </is>
      </c>
      <c r="H6" s="5" t="inlineStr">
        <is>
          <t>https://www.ons.gov.uk/economy/grossvalueaddedgva/datasets/nominalgrossvalueaddedbalancedperheadandincomecomponents/current</t>
        </is>
      </c>
      <c r="I6" s="3" t="inlineStr">
        <is>
          <t>Annual</t>
        </is>
      </c>
      <c r="J6" s="3" t="inlineStr">
        <is>
          <t>2023</t>
        </is>
      </c>
      <c r="K6" s="3" t="inlineStr">
        <is>
          <t>Yes</t>
        </is>
      </c>
      <c r="L6" s="3" t="inlineStr">
        <is>
          <t>Yes</t>
        </is>
      </c>
      <c r="M6" s="4" t="inlineStr">
        <is>
          <t>Key productivity headline. England avg ~£33,000</t>
        </is>
      </c>
      <c r="N6" s="6" t="n"/>
    </row>
    <row r="7" ht="20" customHeight="1" s="77">
      <c r="A7" s="2" t="inlineStr">
        <is>
          <t>SNAP_005</t>
        </is>
      </c>
      <c r="B7" s="3" t="inlineStr">
        <is>
          <t>Snapshot</t>
        </is>
      </c>
      <c r="C7" s="4" t="inlineStr">
        <is>
          <t>GVA per hour worked (£)</t>
        </is>
      </c>
      <c r="D7" s="3" t="inlineStr">
        <is>
          <t>GVA per hour</t>
        </is>
      </c>
      <c r="E7" s="3" t="inlineStr">
        <is>
          <t>£</t>
        </is>
      </c>
      <c r="F7" s="3" t="inlineStr">
        <is>
          <t>LA → CA</t>
        </is>
      </c>
      <c r="G7" s="3" t="inlineStr">
        <is>
          <t>ONS / YNYCA Labour Market Analysis 2025</t>
        </is>
      </c>
      <c r="H7" s="5" t="inlineStr">
        <is>
          <t>https://yorknorthyorks-ca.gov.uk/wp-content/uploads/2025/09/Labour-Market-Analysis-YNYCA-July-2025.pdf</t>
        </is>
      </c>
      <c r="I7" s="3" t="inlineStr">
        <is>
          <t>Annual</t>
        </is>
      </c>
      <c r="J7" s="3" t="inlineStr">
        <is>
          <t>2023</t>
        </is>
      </c>
      <c r="K7" s="3" t="inlineStr">
        <is>
          <t>Yes</t>
        </is>
      </c>
      <c r="L7" s="3" t="inlineStr">
        <is>
          <t>Yes</t>
        </is>
      </c>
      <c r="M7" s="4" t="inlineStr">
        <is>
          <t>YNYCA: £37.40 vs England avg £40.30. Better productivity measure than GVA per head</t>
        </is>
      </c>
      <c r="N7" s="6" t="n"/>
    </row>
    <row r="8" ht="20" customHeight="1" s="77">
      <c r="A8" s="2" t="inlineStr">
        <is>
          <t>SNAP_006</t>
        </is>
      </c>
      <c r="B8" s="3" t="inlineStr">
        <is>
          <t>Snapshot</t>
        </is>
      </c>
      <c r="C8" s="4" t="inlineStr">
        <is>
          <t>Median gross weekly earnings — full-time, residence-based (£)</t>
        </is>
      </c>
      <c r="D8" s="3" t="inlineStr">
        <is>
          <t>Median weekly pay</t>
        </is>
      </c>
      <c r="E8" s="3" t="inlineStr">
        <is>
          <t>£</t>
        </is>
      </c>
      <c r="F8" s="3" t="inlineStr">
        <is>
          <t>LA → CA</t>
        </is>
      </c>
      <c r="G8" s="3" t="inlineStr">
        <is>
          <t>ONS ASHE Table 8 (residence-based)</t>
        </is>
      </c>
      <c r="H8" s="5" t="inlineStr">
        <is>
          <t>https://www.ons.gov.uk/employmentandlabourmarket/peopleinwork/earningsandworkinghours/datasets/placeofresidencebylocalauthorityashetable8</t>
        </is>
      </c>
      <c r="I8" s="3" t="inlineStr">
        <is>
          <t>Annual</t>
        </is>
      </c>
      <c r="J8" s="3" t="inlineStr">
        <is>
          <t>April 2025</t>
        </is>
      </c>
      <c r="K8" s="3" t="inlineStr">
        <is>
          <t>Yes</t>
        </is>
      </c>
      <c r="L8" s="3" t="inlineStr">
        <is>
          <t>Yes</t>
        </is>
      </c>
      <c r="M8" s="4" t="inlineStr">
        <is>
          <t>Use residence-based (Table 8) not workplace (Table 7). YNYCA: £667 vs England £732</t>
        </is>
      </c>
      <c r="N8" s="6" t="n"/>
    </row>
    <row r="9" ht="20" customHeight="1" s="77">
      <c r="A9" s="7" t="inlineStr">
        <is>
          <t>SNAP_007</t>
        </is>
      </c>
      <c r="B9" s="8" t="inlineStr">
        <is>
          <t>Skills &amp; Employment</t>
        </is>
      </c>
      <c r="C9" s="9" t="inlineStr">
        <is>
          <t>Employment rate — 16-64 (%)</t>
        </is>
      </c>
      <c r="D9" s="8" t="inlineStr">
        <is>
          <t>Employment rate</t>
        </is>
      </c>
      <c r="E9" s="8" t="inlineStr">
        <is>
          <t>%</t>
        </is>
      </c>
      <c r="F9" s="8" t="inlineStr">
        <is>
          <t>LA → CA</t>
        </is>
      </c>
      <c r="G9" s="8" t="inlineStr">
        <is>
          <t>Nomis — Annual Population Survey</t>
        </is>
      </c>
      <c r="H9" s="5" t="inlineStr">
        <is>
          <t>https://www.nomisweb.co.uk/query/select/getdatasetbytheme.asp?theme=14</t>
        </is>
      </c>
      <c r="I9" s="8" t="inlineStr">
        <is>
          <t>Quarterly</t>
        </is>
      </c>
      <c r="J9" s="8" t="inlineStr">
        <is>
          <t>Jan-Dec 2024</t>
        </is>
      </c>
      <c r="K9" s="8" t="inlineStr">
        <is>
          <t>Yes</t>
        </is>
      </c>
      <c r="L9" s="8" t="inlineStr">
        <is>
          <t>Yes</t>
        </is>
      </c>
      <c r="M9" s="9" t="inlineStr">
        <is>
          <t>YNYCA: ~79%. England avg ~75%. APS estimates less reliable at LA level — note confidence intervals</t>
        </is>
      </c>
      <c r="N9" s="6" t="n"/>
    </row>
    <row r="10" ht="20" customHeight="1" s="77">
      <c r="A10" s="7" t="inlineStr">
        <is>
          <t>SNAP_008</t>
        </is>
      </c>
      <c r="B10" s="8" t="inlineStr">
        <is>
          <t>Skills &amp; Employment</t>
        </is>
      </c>
      <c r="C10" s="9" t="inlineStr">
        <is>
          <t>Economic inactivity rate — 16-64 (%)</t>
        </is>
      </c>
      <c r="D10" s="8" t="inlineStr">
        <is>
          <t>Inactivity rate</t>
        </is>
      </c>
      <c r="E10" s="8" t="inlineStr">
        <is>
          <t>%</t>
        </is>
      </c>
      <c r="F10" s="8" t="inlineStr">
        <is>
          <t>LA → CA</t>
        </is>
      </c>
      <c r="G10" s="8" t="inlineStr">
        <is>
          <t>Nomis — Annual Population Survey</t>
        </is>
      </c>
      <c r="H10" s="5" t="inlineStr">
        <is>
          <t>https://www.nomisweb.co.uk/query/select/getdatasetbytheme.asp?theme=14</t>
        </is>
      </c>
      <c r="I10" s="8" t="inlineStr">
        <is>
          <t>Quarterly</t>
        </is>
      </c>
      <c r="J10" s="8" t="inlineStr">
        <is>
          <t>Jan-Dec 2024</t>
        </is>
      </c>
      <c r="K10" s="8" t="inlineStr">
        <is>
          <t>No</t>
        </is>
      </c>
      <c r="L10" s="8" t="inlineStr">
        <is>
          <t>Yes</t>
        </is>
      </c>
      <c r="M10" s="9" t="inlineStr">
        <is>
          <t>YNYCA: ~20%. Early retirement (21% of inactive) significantly above national avg (13%)</t>
        </is>
      </c>
      <c r="N10" s="6" t="n"/>
    </row>
    <row r="11" ht="20" customHeight="1" s="77">
      <c r="A11" s="7" t="inlineStr">
        <is>
          <t>SNAP_009</t>
        </is>
      </c>
      <c r="B11" s="8" t="inlineStr">
        <is>
          <t>Skills &amp; Employment</t>
        </is>
      </c>
      <c r="C11" s="9" t="inlineStr">
        <is>
          <t>Unemployment rate — 16-64 (%)</t>
        </is>
      </c>
      <c r="D11" s="8" t="inlineStr">
        <is>
          <t>Unemployment rate</t>
        </is>
      </c>
      <c r="E11" s="8" t="inlineStr">
        <is>
          <t>%</t>
        </is>
      </c>
      <c r="F11" s="8" t="inlineStr">
        <is>
          <t>LA → CA</t>
        </is>
      </c>
      <c r="G11" s="8" t="inlineStr">
        <is>
          <t>Nomis — Annual Population Survey</t>
        </is>
      </c>
      <c r="H11" s="5" t="inlineStr">
        <is>
          <t>https://www.nomisweb.co.uk/query/select/getdatasetbytheme.asp?theme=14</t>
        </is>
      </c>
      <c r="I11" s="8" t="inlineStr">
        <is>
          <t>Quarterly</t>
        </is>
      </c>
      <c r="J11" s="8" t="inlineStr">
        <is>
          <t>Jan-Dec 2024</t>
        </is>
      </c>
      <c r="K11" s="8" t="inlineStr">
        <is>
          <t>No</t>
        </is>
      </c>
      <c r="L11" s="8" t="inlineStr">
        <is>
          <t>Yes</t>
        </is>
      </c>
      <c r="M11" s="9" t="inlineStr">
        <is>
          <t>YNYCA: 1.8% vs England 3.9%. Low unemployment masks inactivity challenge</t>
        </is>
      </c>
      <c r="N11" s="6" t="n"/>
    </row>
    <row r="12" ht="20" customHeight="1" s="77">
      <c r="A12" s="7" t="inlineStr">
        <is>
          <t>SNAP_010</t>
        </is>
      </c>
      <c r="B12" s="8" t="inlineStr">
        <is>
          <t>Skills &amp; Employment</t>
        </is>
      </c>
      <c r="C12" s="9" t="inlineStr">
        <is>
          <t>Claimant count rate — % of 16-64 population</t>
        </is>
      </c>
      <c r="D12" s="8" t="inlineStr">
        <is>
          <t>Claimant rate</t>
        </is>
      </c>
      <c r="E12" s="8" t="inlineStr">
        <is>
          <t>%</t>
        </is>
      </c>
      <c r="F12" s="8" t="inlineStr">
        <is>
          <t>LSOA → LA → CA</t>
        </is>
      </c>
      <c r="G12" s="8" t="inlineStr">
        <is>
          <t>Nomis — Claimant Count (UC + JSA)</t>
        </is>
      </c>
      <c r="H12" s="5" t="inlineStr">
        <is>
          <t>https://www.nomisweb.co.uk/datasets/ucjsa</t>
        </is>
      </c>
      <c r="I12" s="8" t="inlineStr">
        <is>
          <t>Monthly</t>
        </is>
      </c>
      <c r="J12" s="8" t="inlineStr">
        <is>
          <t>Latest monthly</t>
        </is>
      </c>
      <c r="K12" s="8" t="inlineStr">
        <is>
          <t>No</t>
        </is>
      </c>
      <c r="L12" s="8" t="inlineStr">
        <is>
          <t>Yes</t>
        </is>
      </c>
      <c r="M12" s="9" t="inlineStr">
        <is>
          <t>Most granular and current labour market indicator. Available at LSOA level</t>
        </is>
      </c>
      <c r="N12" s="6" t="n"/>
    </row>
    <row r="13" ht="20" customHeight="1" s="77">
      <c r="A13" s="10" t="inlineStr">
        <is>
          <t>ECON_001</t>
        </is>
      </c>
      <c r="B13" s="11" t="inlineStr">
        <is>
          <t>Economic Development</t>
        </is>
      </c>
      <c r="C13" s="12" t="inlineStr">
        <is>
          <t>Active enterprises per 1,000 residents</t>
        </is>
      </c>
      <c r="D13" s="11" t="inlineStr">
        <is>
          <t>Business density</t>
        </is>
      </c>
      <c r="E13" s="11" t="inlineStr">
        <is>
          <t>per 1,000</t>
        </is>
      </c>
      <c r="F13" s="11" t="inlineStr">
        <is>
          <t>LA → CA</t>
        </is>
      </c>
      <c r="G13" s="11" t="inlineStr">
        <is>
          <t>ONS UK Business Counts via Nomis</t>
        </is>
      </c>
      <c r="H13" s="5" t="inlineStr">
        <is>
          <t>https://www.nomisweb.co.uk/datasets/idbr</t>
        </is>
      </c>
      <c r="I13" s="11" t="inlineStr">
        <is>
          <t>Annual</t>
        </is>
      </c>
      <c r="J13" s="11" t="inlineStr">
        <is>
          <t>2024</t>
        </is>
      </c>
      <c r="K13" s="11" t="inlineStr">
        <is>
          <t>Yes</t>
        </is>
      </c>
      <c r="L13" s="11" t="inlineStr">
        <is>
          <t>Yes</t>
        </is>
      </c>
      <c r="M13" s="12" t="inlineStr">
        <is>
          <t>YNYCA: 47.7 vs England avg. High density reflects rural self-employment</t>
        </is>
      </c>
      <c r="N13" s="6" t="n"/>
    </row>
    <row r="14" ht="20" customHeight="1" s="77">
      <c r="A14" s="10" t="inlineStr">
        <is>
          <t>ECON_002</t>
        </is>
      </c>
      <c r="B14" s="11" t="inlineStr">
        <is>
          <t>Economic Development</t>
        </is>
      </c>
      <c r="C14" s="12" t="inlineStr">
        <is>
          <t>Enterprise birth rate (%)</t>
        </is>
      </c>
      <c r="D14" s="11" t="inlineStr">
        <is>
          <t>Business birth rate</t>
        </is>
      </c>
      <c r="E14" s="11" t="inlineStr">
        <is>
          <t>%</t>
        </is>
      </c>
      <c r="F14" s="11" t="inlineStr">
        <is>
          <t>LA → CA</t>
        </is>
      </c>
      <c r="G14" s="11" t="inlineStr">
        <is>
          <t>ONS UK Business Counts via Nomis</t>
        </is>
      </c>
      <c r="H14" s="5" t="inlineStr">
        <is>
          <t>https://www.nomisweb.co.uk/datasets/idbr</t>
        </is>
      </c>
      <c r="I14" s="11" t="inlineStr">
        <is>
          <t>Annual</t>
        </is>
      </c>
      <c r="J14" s="11" t="inlineStr">
        <is>
          <t>2024</t>
        </is>
      </c>
      <c r="K14" s="11" t="inlineStr">
        <is>
          <t>Yes</t>
        </is>
      </c>
      <c r="L14" s="11" t="inlineStr">
        <is>
          <t>Yes</t>
        </is>
      </c>
      <c r="M14" s="12" t="inlineStr">
        <is>
          <t>YNYCA growth 5.2% (2015-2024) vs England 11.9%. Weak business dynamism</t>
        </is>
      </c>
      <c r="N14" s="6" t="n"/>
    </row>
    <row r="15" ht="20" customHeight="1" s="77">
      <c r="A15" s="10" t="inlineStr">
        <is>
          <t>ECON_003</t>
        </is>
      </c>
      <c r="B15" s="11" t="inlineStr">
        <is>
          <t>Economic Development</t>
        </is>
      </c>
      <c r="C15" s="12" t="inlineStr">
        <is>
          <t>Job density (jobs per working age resident)</t>
        </is>
      </c>
      <c r="D15" s="11" t="inlineStr">
        <is>
          <t>Job density</t>
        </is>
      </c>
      <c r="E15" s="11" t="inlineStr">
        <is>
          <t>ratio</t>
        </is>
      </c>
      <c r="F15" s="11" t="inlineStr">
        <is>
          <t>LA → CA</t>
        </is>
      </c>
      <c r="G15" s="11" t="inlineStr">
        <is>
          <t>ONS Jobs Density via Nomis</t>
        </is>
      </c>
      <c r="H15" s="5" t="inlineStr">
        <is>
          <t>https://www.nomisweb.co.uk/datasets/jobsd</t>
        </is>
      </c>
      <c r="I15" s="11" t="inlineStr">
        <is>
          <t>Annual</t>
        </is>
      </c>
      <c r="J15" s="11" t="inlineStr">
        <is>
          <t>2023</t>
        </is>
      </c>
      <c r="K15" s="11" t="inlineStr">
        <is>
          <t>Yes</t>
        </is>
      </c>
      <c r="L15" s="11" t="inlineStr">
        <is>
          <t>Yes</t>
        </is>
      </c>
      <c r="M15" s="12" t="inlineStr">
        <is>
          <t>YNYCA: 0.98 vs England avg 0.87. Above average but improving</t>
        </is>
      </c>
      <c r="N15" s="6" t="n"/>
    </row>
    <row r="16" ht="20" customHeight="1" s="77">
      <c r="A16" s="7" t="inlineStr">
        <is>
          <t>SKILLS_001</t>
        </is>
      </c>
      <c r="B16" s="8" t="inlineStr">
        <is>
          <t>Skills &amp; Employment</t>
        </is>
      </c>
      <c r="C16" s="9" t="inlineStr">
        <is>
          <t>% working-age population with Level 4+ qualifications</t>
        </is>
      </c>
      <c r="D16" s="8" t="inlineStr">
        <is>
          <t>Level 4+ quals</t>
        </is>
      </c>
      <c r="E16" s="8" t="inlineStr">
        <is>
          <t>%</t>
        </is>
      </c>
      <c r="F16" s="8" t="inlineStr">
        <is>
          <t>LA → CA</t>
        </is>
      </c>
      <c r="G16" s="8" t="inlineStr">
        <is>
          <t>Nomis — Annual Population Survey</t>
        </is>
      </c>
      <c r="H16" s="5" t="inlineStr">
        <is>
          <t>https://www.nomisweb.co.uk/query/select/getdatasetbytheme.asp?theme=14</t>
        </is>
      </c>
      <c r="I16" s="8" t="inlineStr">
        <is>
          <t>Annual</t>
        </is>
      </c>
      <c r="J16" s="8" t="inlineStr">
        <is>
          <t>2024</t>
        </is>
      </c>
      <c r="K16" s="8" t="inlineStr">
        <is>
          <t>Yes</t>
        </is>
      </c>
      <c r="L16" s="8" t="inlineStr">
        <is>
          <t>Yes</t>
        </is>
      </c>
      <c r="M16" s="9" t="inlineStr">
        <is>
          <t>YNYCA: 48% vs England avg ~43%. Strong overall but masks York vs rural split</t>
        </is>
      </c>
      <c r="N16" s="6" t="n"/>
    </row>
    <row r="17" ht="20" customHeight="1" s="77">
      <c r="A17" s="7" t="inlineStr">
        <is>
          <t>SKILLS_002</t>
        </is>
      </c>
      <c r="B17" s="8" t="inlineStr">
        <is>
          <t>Skills &amp; Employment</t>
        </is>
      </c>
      <c r="C17" s="9" t="inlineStr">
        <is>
          <t>% working-age population with no qualifications</t>
        </is>
      </c>
      <c r="D17" s="8" t="inlineStr">
        <is>
          <t>No qualifications</t>
        </is>
      </c>
      <c r="E17" s="8" t="inlineStr">
        <is>
          <t>%</t>
        </is>
      </c>
      <c r="F17" s="8" t="inlineStr">
        <is>
          <t>LA → CA</t>
        </is>
      </c>
      <c r="G17" s="8" t="inlineStr">
        <is>
          <t>Nomis — Annual Population Survey</t>
        </is>
      </c>
      <c r="H17" s="5" t="inlineStr">
        <is>
          <t>https://www.nomisweb.co.uk/query/select/getdatasetbytheme.asp?theme=14</t>
        </is>
      </c>
      <c r="I17" s="8" t="inlineStr">
        <is>
          <t>Annual</t>
        </is>
      </c>
      <c r="J17" s="8" t="inlineStr">
        <is>
          <t>2024</t>
        </is>
      </c>
      <c r="K17" s="8" t="inlineStr">
        <is>
          <t>No</t>
        </is>
      </c>
      <c r="L17" s="8" t="inlineStr">
        <is>
          <t>Yes</t>
        </is>
      </c>
      <c r="M17" s="9" t="inlineStr">
        <is>
          <t>Complement to Level 4+ indicator. Identify skills deprivation pockets</t>
        </is>
      </c>
      <c r="N17" s="6" t="n"/>
    </row>
    <row r="18" ht="20" customHeight="1" s="77">
      <c r="A18" s="7" t="inlineStr">
        <is>
          <t>SKILLS_003</t>
        </is>
      </c>
      <c r="B18" s="8" t="inlineStr">
        <is>
          <t>Skills &amp; Employment</t>
        </is>
      </c>
      <c r="C18" s="9" t="inlineStr">
        <is>
          <t>Apprenticeship starts per 1,000 working age population</t>
        </is>
      </c>
      <c r="D18" s="8" t="inlineStr">
        <is>
          <t>Apprenticeship starts</t>
        </is>
      </c>
      <c r="E18" s="8" t="inlineStr">
        <is>
          <t>per 1,000</t>
        </is>
      </c>
      <c r="F18" s="8" t="inlineStr">
        <is>
          <t>LA → CA</t>
        </is>
      </c>
      <c r="G18" s="8" t="inlineStr">
        <is>
          <t>DfE Apprenticeships and Traineeships</t>
        </is>
      </c>
      <c r="H18" s="5" t="inlineStr">
        <is>
          <t>https://explore-education-statistics.service.gov.uk/find-statistics/apprenticeships-and-traineeships</t>
        </is>
      </c>
      <c r="I18" s="8" t="inlineStr">
        <is>
          <t>Annual</t>
        </is>
      </c>
      <c r="J18" s="8" t="inlineStr">
        <is>
          <t>2023/24</t>
        </is>
      </c>
      <c r="K18" s="8" t="inlineStr">
        <is>
          <t>Yes</t>
        </is>
      </c>
      <c r="L18" s="8" t="inlineStr">
        <is>
          <t>Yes</t>
        </is>
      </c>
      <c r="M18" s="9" t="inlineStr">
        <is>
          <t>Direct measure of MSA skills investment. Devolved adult skills funding is key lever</t>
        </is>
      </c>
      <c r="N18" s="6" t="n"/>
    </row>
    <row r="19" ht="20" customHeight="1" s="77">
      <c r="A19" s="13" t="inlineStr">
        <is>
          <t>HOUS_001</t>
        </is>
      </c>
      <c r="B19" s="14" t="inlineStr">
        <is>
          <t>Housing &amp; Strategic Planning</t>
        </is>
      </c>
      <c r="C19" s="15" t="inlineStr">
        <is>
          <t>House price to earnings ratio</t>
        </is>
      </c>
      <c r="D19" s="14" t="inlineStr">
        <is>
          <t>Price:earnings ratio</t>
        </is>
      </c>
      <c r="E19" s="14" t="inlineStr">
        <is>
          <t>ratio</t>
        </is>
      </c>
      <c r="F19" s="14" t="inlineStr">
        <is>
          <t>LA → CA</t>
        </is>
      </c>
      <c r="G19" s="14" t="inlineStr">
        <is>
          <t>ONS HPSSA Dataset 9</t>
        </is>
      </c>
      <c r="H19" s="5" t="inlineStr">
        <is>
          <t>https://www.ons.gov.uk/peoplepopulationandcommunity/housing/datasets/ratioofhousepricetoresidencebasedearningslowerquartileandmedian</t>
        </is>
      </c>
      <c r="I19" s="14" t="inlineStr">
        <is>
          <t>Annual</t>
        </is>
      </c>
      <c r="J19" s="14" t="inlineStr">
        <is>
          <t>2024</t>
        </is>
      </c>
      <c r="K19" s="14" t="inlineStr">
        <is>
          <t>No</t>
        </is>
      </c>
      <c r="L19" s="14" t="inlineStr">
        <is>
          <t>Yes</t>
        </is>
      </c>
      <c r="M19" s="15" t="inlineStr">
        <is>
          <t>Median house price divided by median earnings. Key affordability metric for housing powers</t>
        </is>
      </c>
      <c r="N19" s="6" t="n"/>
    </row>
    <row r="20" ht="20" customHeight="1" s="77">
      <c r="A20" s="13" t="inlineStr">
        <is>
          <t>HOUS_002</t>
        </is>
      </c>
      <c r="B20" s="14" t="inlineStr">
        <is>
          <t>Housing &amp; Strategic Planning</t>
        </is>
      </c>
      <c r="C20" s="15" t="inlineStr">
        <is>
          <t>Net additional dwellings as % of local housing need</t>
        </is>
      </c>
      <c r="D20" s="14" t="inlineStr">
        <is>
          <t>Dwellings vs target</t>
        </is>
      </c>
      <c r="E20" s="14" t="inlineStr">
        <is>
          <t>%</t>
        </is>
      </c>
      <c r="F20" s="14" t="inlineStr">
        <is>
          <t>LA → CA</t>
        </is>
      </c>
      <c r="G20" s="14" t="inlineStr">
        <is>
          <t>MHCLG Live Tables on Housing Supply</t>
        </is>
      </c>
      <c r="H20" s="5" t="inlineStr">
        <is>
          <t>https://www.gov.uk/government/statistical-data-sets/live-tables-on-housing-supply</t>
        </is>
      </c>
      <c r="I20" s="14" t="inlineStr">
        <is>
          <t>Annual</t>
        </is>
      </c>
      <c r="J20" s="14" t="inlineStr">
        <is>
          <t>2023/24</t>
        </is>
      </c>
      <c r="K20" s="14" t="inlineStr">
        <is>
          <t>Yes</t>
        </is>
      </c>
      <c r="L20" s="14" t="inlineStr">
        <is>
          <t>Yes</t>
        </is>
      </c>
      <c r="M20" s="15" t="inlineStr">
        <is>
          <t>Measures planning delivery against target. Direct reflection of spatial strategy effectiveness</t>
        </is>
      </c>
      <c r="N20" s="6" t="n"/>
    </row>
    <row r="21" ht="20" customHeight="1" s="77">
      <c r="A21" s="13" t="inlineStr">
        <is>
          <t>HOUS_003</t>
        </is>
      </c>
      <c r="B21" s="14" t="inlineStr">
        <is>
          <t>Housing &amp; Strategic Planning</t>
        </is>
      </c>
      <c r="C21" s="15" t="inlineStr">
        <is>
          <t>% households in social rented housing</t>
        </is>
      </c>
      <c r="D21" s="14" t="inlineStr">
        <is>
          <t>Social renting</t>
        </is>
      </c>
      <c r="E21" s="14" t="inlineStr">
        <is>
          <t>%</t>
        </is>
      </c>
      <c r="F21" s="14" t="inlineStr">
        <is>
          <t>LSOA → LA → CA</t>
        </is>
      </c>
      <c r="G21" s="14" t="inlineStr">
        <is>
          <t>Census 2021 — Tenure</t>
        </is>
      </c>
      <c r="H21" s="5" t="inlineStr">
        <is>
          <t>https://www.nomisweb.co.uk/sources/census_2021</t>
        </is>
      </c>
      <c r="I21" s="14" t="inlineStr">
        <is>
          <t>Census</t>
        </is>
      </c>
      <c r="J21" s="14" t="inlineStr">
        <is>
          <t>2021</t>
        </is>
      </c>
      <c r="K21" s="14" t="inlineStr">
        <is>
          <t>N/A</t>
        </is>
      </c>
      <c r="L21" s="14" t="inlineStr">
        <is>
          <t>Yes</t>
        </is>
      </c>
      <c r="M21" s="15" t="inlineStr">
        <is>
          <t>Tenure mix indicator. Available at LSOA, MSOA and LA level from Census 2021</t>
        </is>
      </c>
      <c r="N21" s="6" t="n"/>
    </row>
    <row r="22" ht="20" customHeight="1" s="77">
      <c r="A22" s="16" t="inlineStr">
        <is>
          <t>TRANS_001</t>
        </is>
      </c>
      <c r="B22" s="17" t="inlineStr">
        <is>
          <t>Transport &amp; Local Infrastructure</t>
        </is>
      </c>
      <c r="C22" s="18" t="inlineStr">
        <is>
          <t>% households with no car or van</t>
        </is>
      </c>
      <c r="D22" s="17" t="inlineStr">
        <is>
          <t>No car households</t>
        </is>
      </c>
      <c r="E22" s="17" t="inlineStr">
        <is>
          <t>%</t>
        </is>
      </c>
      <c r="F22" s="17" t="inlineStr">
        <is>
          <t>LSOA → LA → CA</t>
        </is>
      </c>
      <c r="G22" s="17" t="inlineStr">
        <is>
          <t>Census 2021 — Car or Van Availability</t>
        </is>
      </c>
      <c r="H22" s="5" t="inlineStr">
        <is>
          <t>https://www.nomisweb.co.uk/sources/census_2021</t>
        </is>
      </c>
      <c r="I22" s="17" t="inlineStr">
        <is>
          <t>Census</t>
        </is>
      </c>
      <c r="J22" s="17" t="inlineStr">
        <is>
          <t>2021</t>
        </is>
      </c>
      <c r="K22" s="17" t="inlineStr">
        <is>
          <t>N/A</t>
        </is>
      </c>
      <c r="L22" s="17" t="inlineStr">
        <is>
          <t>Yes</t>
        </is>
      </c>
      <c r="M22" s="18" t="inlineStr">
        <is>
          <t>Proxy for public transport dependency. Particularly important in rural YNYCA areas</t>
        </is>
      </c>
      <c r="N22" s="6" t="n"/>
    </row>
    <row r="23" ht="20" customHeight="1" s="77">
      <c r="A23" s="16" t="inlineStr">
        <is>
          <t>TRANS_002</t>
        </is>
      </c>
      <c r="B23" s="17" t="inlineStr">
        <is>
          <t>Transport &amp; Local Infrastructure</t>
        </is>
      </c>
      <c r="C23" s="18" t="inlineStr">
        <is>
          <t>Bus passenger journeys per head</t>
        </is>
      </c>
      <c r="D23" s="17" t="inlineStr">
        <is>
          <t>Bus journeys</t>
        </is>
      </c>
      <c r="E23" s="17" t="inlineStr">
        <is>
          <t>per head</t>
        </is>
      </c>
      <c r="F23" s="17" t="inlineStr">
        <is>
          <t>LA → CA</t>
        </is>
      </c>
      <c r="G23" s="17" t="inlineStr">
        <is>
          <t>DfT Bus Statistics Table BUS0109</t>
        </is>
      </c>
      <c r="H23" s="5" t="inlineStr">
        <is>
          <t>https://www.gov.uk/government/statistical-data-sets/bus01-local-bus-passenger-journeys</t>
        </is>
      </c>
      <c r="I23" s="17" t="inlineStr">
        <is>
          <t>Annual</t>
        </is>
      </c>
      <c r="J23" s="17" t="inlineStr">
        <is>
          <t>2023/24</t>
        </is>
      </c>
      <c r="K23" s="17" t="inlineStr">
        <is>
          <t>Yes</t>
        </is>
      </c>
      <c r="L23" s="17" t="inlineStr">
        <is>
          <t>Yes</t>
        </is>
      </c>
      <c r="M23" s="18" t="inlineStr">
        <is>
          <t>Most direct measure of bus use. Bus franchising is a key devolved power</t>
        </is>
      </c>
      <c r="N23" s="6" t="n"/>
    </row>
    <row r="24" ht="20" customHeight="1" s="77">
      <c r="A24" s="19" t="inlineStr">
        <is>
          <t>ENV_001</t>
        </is>
      </c>
      <c r="B24" s="20" t="inlineStr">
        <is>
          <t>Environment &amp; Climate Change</t>
        </is>
      </c>
      <c r="C24" s="21" t="inlineStr">
        <is>
          <t>CO₂ emissions per capita (tonnes)</t>
        </is>
      </c>
      <c r="D24" s="20" t="inlineStr">
        <is>
          <t>CO₂ per head</t>
        </is>
      </c>
      <c r="E24" s="20" t="inlineStr">
        <is>
          <t>tonnes</t>
        </is>
      </c>
      <c r="F24" s="20" t="inlineStr">
        <is>
          <t>LA → CA</t>
        </is>
      </c>
      <c r="G24" s="20" t="inlineStr">
        <is>
          <t>DESNZ Local Authority CO2 Emissions</t>
        </is>
      </c>
      <c r="H24" s="5" t="inlineStr">
        <is>
          <t>https://www.gov.uk/government/collections/uk-local-authority-and-regional-greenhouse-gas-emissions-national-statistics</t>
        </is>
      </c>
      <c r="I24" s="20" t="inlineStr">
        <is>
          <t>Annual</t>
        </is>
      </c>
      <c r="J24" s="20" t="inlineStr">
        <is>
          <t>2022</t>
        </is>
      </c>
      <c r="K24" s="20" t="inlineStr">
        <is>
          <t>No</t>
        </is>
      </c>
      <c r="L24" s="20" t="inlineStr">
        <is>
          <t>Yes</t>
        </is>
      </c>
      <c r="M24" s="21" t="inlineStr">
        <is>
          <t>Headline climate metric. MSA levers via transport, planning and retrofit programmes</t>
        </is>
      </c>
      <c r="N24" s="6" t="n"/>
    </row>
    <row r="25" ht="20" customHeight="1" s="77">
      <c r="A25" s="19" t="inlineStr">
        <is>
          <t>ENV_002</t>
        </is>
      </c>
      <c r="B25" s="20" t="inlineStr">
        <is>
          <t>Environment &amp; Climate Change</t>
        </is>
      </c>
      <c r="C25" s="21" t="inlineStr">
        <is>
          <t>Fuel poverty rate — % of households</t>
        </is>
      </c>
      <c r="D25" s="20" t="inlineStr">
        <is>
          <t>Fuel poverty</t>
        </is>
      </c>
      <c r="E25" s="20" t="inlineStr">
        <is>
          <t>%</t>
        </is>
      </c>
      <c r="F25" s="20" t="inlineStr">
        <is>
          <t>LSOA → LA → CA</t>
        </is>
      </c>
      <c r="G25" s="20" t="inlineStr">
        <is>
          <t>DESNZ Sub-regional Fuel Poverty</t>
        </is>
      </c>
      <c r="H25" s="5" t="inlineStr">
        <is>
          <t>https://www.gov.uk/government/collections/fuel-poverty-sub-regional-statistics</t>
        </is>
      </c>
      <c r="I25" s="20" t="inlineStr">
        <is>
          <t>Annual</t>
        </is>
      </c>
      <c r="J25" s="20" t="inlineStr">
        <is>
          <t>2023</t>
        </is>
      </c>
      <c r="K25" s="20" t="inlineStr">
        <is>
          <t>No</t>
        </is>
      </c>
      <c r="L25" s="20" t="inlineStr">
        <is>
          <t>Yes</t>
        </is>
      </c>
      <c r="M25" s="21" t="inlineStr">
        <is>
          <t>Available at LSOA level. Directly relevant to MSA retrofit and energy efficiency programmes</t>
        </is>
      </c>
      <c r="N25" s="6" t="n"/>
    </row>
    <row r="26" ht="20" customHeight="1" s="77">
      <c r="A26" s="22" t="inlineStr">
        <is>
          <t>HEALTH_001</t>
        </is>
      </c>
      <c r="B26" s="23" t="inlineStr">
        <is>
          <t>Health &amp; Wellbeing</t>
        </is>
      </c>
      <c r="C26" s="24" t="inlineStr">
        <is>
          <t>Healthy life expectancy at birth (years)</t>
        </is>
      </c>
      <c r="D26" s="23" t="inlineStr">
        <is>
          <t>Healthy life expectancy</t>
        </is>
      </c>
      <c r="E26" s="23" t="inlineStr">
        <is>
          <t>years</t>
        </is>
      </c>
      <c r="F26" s="23" t="inlineStr">
        <is>
          <t>MSOA → LA → CA</t>
        </is>
      </c>
      <c r="G26" s="23" t="inlineStr">
        <is>
          <t>OHID Fingertips</t>
        </is>
      </c>
      <c r="H26" s="5" t="inlineStr">
        <is>
          <t>https://fingertips.phe.org.uk/profile/public-health-outcomes-framework</t>
        </is>
      </c>
      <c r="I26" s="23" t="inlineStr">
        <is>
          <t>Annual</t>
        </is>
      </c>
      <c r="J26" s="23" t="inlineStr">
        <is>
          <t>2020-22</t>
        </is>
      </c>
      <c r="K26" s="23" t="inlineStr">
        <is>
          <t>Yes</t>
        </is>
      </c>
      <c r="L26" s="23" t="inlineStr">
        <is>
          <t>Yes</t>
        </is>
      </c>
      <c r="M26" s="24" t="inlineStr">
        <is>
          <t>Headline population health outcome. Available at MSOA level — use for within-MSA variation</t>
        </is>
      </c>
      <c r="N26" s="6" t="n"/>
    </row>
    <row r="27" ht="20" customHeight="1" s="77">
      <c r="A27" s="22" t="inlineStr">
        <is>
          <t>HEALTH_002</t>
        </is>
      </c>
      <c r="B27" s="23" t="inlineStr">
        <is>
          <t>Health &amp; Wellbeing</t>
        </is>
      </c>
      <c r="C27" s="24" t="inlineStr">
        <is>
          <t>Preventable mortality rate (per 100,000)</t>
        </is>
      </c>
      <c r="D27" s="23" t="inlineStr">
        <is>
          <t>Preventable mortality</t>
        </is>
      </c>
      <c r="E27" s="23" t="inlineStr">
        <is>
          <t>per 100,000</t>
        </is>
      </c>
      <c r="F27" s="23" t="inlineStr">
        <is>
          <t>LA → CA</t>
        </is>
      </c>
      <c r="G27" s="23" t="inlineStr">
        <is>
          <t>OHID Fingertips</t>
        </is>
      </c>
      <c r="H27" s="5" t="inlineStr">
        <is>
          <t>https://fingertips.phe.org.uk/profile/public-health-outcomes-framework</t>
        </is>
      </c>
      <c r="I27" s="23" t="inlineStr">
        <is>
          <t>Annual</t>
        </is>
      </c>
      <c r="J27" s="23" t="inlineStr">
        <is>
          <t>2021-23</t>
        </is>
      </c>
      <c r="K27" s="23" t="inlineStr">
        <is>
          <t>No</t>
        </is>
      </c>
      <c r="L27" s="23" t="inlineStr">
        <is>
          <t>Yes</t>
        </is>
      </c>
      <c r="M27" s="24" t="inlineStr">
        <is>
          <t>Measures avoidable deaths. Linked to public health programmes MSAs commission</t>
        </is>
      </c>
      <c r="N27" s="6" t="n"/>
    </row>
    <row r="28" ht="20" customHeight="1" s="77">
      <c r="A28" s="22" t="inlineStr">
        <is>
          <t>HEALTH_003</t>
        </is>
      </c>
      <c r="B28" s="23" t="inlineStr">
        <is>
          <t>Health &amp; Wellbeing</t>
        </is>
      </c>
      <c r="C28" s="24" t="inlineStr">
        <is>
          <t>% working-age population with limiting long-term illness</t>
        </is>
      </c>
      <c r="D28" s="23" t="inlineStr">
        <is>
          <t>Long-term illness</t>
        </is>
      </c>
      <c r="E28" s="23" t="inlineStr">
        <is>
          <t>%</t>
        </is>
      </c>
      <c r="F28" s="23" t="inlineStr">
        <is>
          <t>LSOA → LA → CA</t>
        </is>
      </c>
      <c r="G28" s="23" t="inlineStr">
        <is>
          <t>Census 2021</t>
        </is>
      </c>
      <c r="H28" s="5" t="inlineStr">
        <is>
          <t>https://www.nomisweb.co.uk/sources/census_2021</t>
        </is>
      </c>
      <c r="I28" s="23" t="inlineStr">
        <is>
          <t>Census</t>
        </is>
      </c>
      <c r="J28" s="23" t="inlineStr">
        <is>
          <t>2021</t>
        </is>
      </c>
      <c r="K28" s="23" t="inlineStr">
        <is>
          <t>No</t>
        </is>
      </c>
      <c r="L28" s="23" t="inlineStr">
        <is>
          <t>Yes</t>
        </is>
      </c>
      <c r="M28" s="24" t="inlineStr">
        <is>
          <t>Health-as-barrier-to-work indicator. Priority in nearly every MSA growth plan</t>
        </is>
      </c>
      <c r="N28" s="6" t="n"/>
    </row>
    <row r="29" ht="20" customHeight="1" s="77">
      <c r="A29" s="25" t="inlineStr">
        <is>
          <t>IMD_001</t>
        </is>
      </c>
      <c r="B29" s="26" t="inlineStr">
        <is>
          <t>Deprivation (IMD)</t>
        </is>
      </c>
      <c r="C29" s="27" t="inlineStr">
        <is>
          <t>IMD 2025 — overall average rank</t>
        </is>
      </c>
      <c r="D29" s="26" t="inlineStr">
        <is>
          <t>IMD avg rank</t>
        </is>
      </c>
      <c r="E29" s="26" t="inlineStr">
        <is>
          <t>rank</t>
        </is>
      </c>
      <c r="F29" s="26" t="inlineStr">
        <is>
          <t>LSOA → LA → CA</t>
        </is>
      </c>
      <c r="G29" s="26" t="inlineStr">
        <is>
          <t>MHCLG IMD 2025 File 10</t>
        </is>
      </c>
      <c r="H29" s="5" t="inlineStr">
        <is>
          <t>https://www.gov.uk/government/statistics/english-indices-of-deprivation-2025</t>
        </is>
      </c>
      <c r="I29" s="26" t="inlineStr">
        <is>
          <t>Periodic</t>
        </is>
      </c>
      <c r="J29" s="26" t="inlineStr">
        <is>
          <t>2025</t>
        </is>
      </c>
      <c r="K29" s="26" t="inlineStr">
        <is>
          <t>Yes</t>
        </is>
      </c>
      <c r="L29" s="26" t="inlineStr">
        <is>
          <t>Yes</t>
        </is>
      </c>
      <c r="M29" s="27" t="inlineStr">
        <is>
          <t>Higher rank = less deprived. Use as baseline deprivation reference not primary focus</t>
        </is>
      </c>
      <c r="N29" s="6" t="n"/>
    </row>
    <row r="30" ht="20" customHeight="1" s="77">
      <c r="A30" s="25" t="inlineStr">
        <is>
          <t>IMD_002</t>
        </is>
      </c>
      <c r="B30" s="26" t="inlineStr">
        <is>
          <t>Deprivation (IMD)</t>
        </is>
      </c>
      <c r="C30" s="27" t="inlineStr">
        <is>
          <t>IMD 2025 — % LSOAs in most deprived 10% nationally</t>
        </is>
      </c>
      <c r="D30" s="26" t="inlineStr">
        <is>
          <t>% in decile 1</t>
        </is>
      </c>
      <c r="E30" s="26" t="inlineStr">
        <is>
          <t>%</t>
        </is>
      </c>
      <c r="F30" s="26" t="inlineStr">
        <is>
          <t>LSOA → LA → CA</t>
        </is>
      </c>
      <c r="G30" s="26" t="inlineStr">
        <is>
          <t>MHCLG IMD 2025 File 10</t>
        </is>
      </c>
      <c r="H30" s="5" t="inlineStr">
        <is>
          <t>https://www.gov.uk/government/statistics/english-indices-of-deprivation-2025</t>
        </is>
      </c>
      <c r="I30" s="26" t="inlineStr">
        <is>
          <t>Periodic</t>
        </is>
      </c>
      <c r="J30" s="26" t="inlineStr">
        <is>
          <t>2025</t>
        </is>
      </c>
      <c r="K30" s="26" t="inlineStr">
        <is>
          <t>No</t>
        </is>
      </c>
      <c r="L30" s="26" t="inlineStr">
        <is>
          <t>Yes</t>
        </is>
      </c>
      <c r="M30" s="27" t="inlineStr">
        <is>
          <t>Measures concentration of deprivation. Complement to average rank</t>
        </is>
      </c>
      <c r="N30" s="6" t="n"/>
    </row>
    <row r="31" ht="20" customHeight="1" s="77">
      <c r="A31" s="28" t="inlineStr">
        <is>
          <t>SAFETY_001</t>
        </is>
      </c>
      <c r="B31" s="29" t="inlineStr">
        <is>
          <t>Public Safety</t>
        </is>
      </c>
      <c r="C31" s="30" t="inlineStr">
        <is>
          <t>Total notifiable offences per 1,000 population</t>
        </is>
      </c>
      <c r="D31" s="29" t="inlineStr">
        <is>
          <t>Offences rate</t>
        </is>
      </c>
      <c r="E31" s="29" t="inlineStr">
        <is>
          <t>per 1,000</t>
        </is>
      </c>
      <c r="F31" s="29" t="inlineStr">
        <is>
          <t>LA → CA</t>
        </is>
      </c>
      <c r="G31" s="29" t="inlineStr">
        <is>
          <t>Home Office Crime Open Data</t>
        </is>
      </c>
      <c r="H31" s="5" t="inlineStr">
        <is>
          <t>https://www.gov.uk/government/statistics/police-recorded-crime-open-data-tables</t>
        </is>
      </c>
      <c r="I31" s="29" t="inlineStr">
        <is>
          <t>Quarterly</t>
        </is>
      </c>
      <c r="J31" s="29" t="inlineStr">
        <is>
          <t>2024/25</t>
        </is>
      </c>
      <c r="K31" s="29" t="inlineStr">
        <is>
          <t>No</t>
        </is>
      </c>
      <c r="L31" s="29" t="inlineStr">
        <is>
          <t>Yes</t>
        </is>
      </c>
      <c r="M31" s="30" t="inlineStr">
        <is>
          <t>Headline crime measure. Particularly relevant where mayor holds PCC role</t>
        </is>
      </c>
      <c r="N31" s="6" t="n"/>
    </row>
    <row r="32" ht="20" customHeight="1" s="77">
      <c r="A32" s="28" t="inlineStr">
        <is>
          <t>SAFETY_002</t>
        </is>
      </c>
      <c r="B32" s="29" t="inlineStr">
        <is>
          <t>Public Safety</t>
        </is>
      </c>
      <c r="C32" s="30" t="inlineStr">
        <is>
          <t>Road killed or seriously injured (KSI) casualties per billion vehicle miles</t>
        </is>
      </c>
      <c r="D32" s="29" t="inlineStr">
        <is>
          <t>Road KSI rate</t>
        </is>
      </c>
      <c r="E32" s="29" t="inlineStr">
        <is>
          <t>per bn miles</t>
        </is>
      </c>
      <c r="F32" s="29" t="inlineStr">
        <is>
          <t>LA → CA</t>
        </is>
      </c>
      <c r="G32" s="29" t="inlineStr">
        <is>
          <t>DfT STATS19 Road Safety Data</t>
        </is>
      </c>
      <c r="H32" s="5" t="inlineStr">
        <is>
          <t>https://www.gov.uk/government/collections/road-accidents-and-safety-statistics</t>
        </is>
      </c>
      <c r="I32" s="29" t="inlineStr">
        <is>
          <t>Annual</t>
        </is>
      </c>
      <c r="J32" s="29" t="inlineStr">
        <is>
          <t>2023</t>
        </is>
      </c>
      <c r="K32" s="29" t="inlineStr">
        <is>
          <t>No</t>
        </is>
      </c>
      <c r="L32" s="29" t="inlineStr">
        <is>
          <t>Yes</t>
        </is>
      </c>
      <c r="M32" s="30" t="inlineStr">
        <is>
          <t>Transport safety is a direct MSA responsibility under local transport plan powers</t>
        </is>
      </c>
      <c r="N32" s="6" t="n"/>
    </row>
  </sheetData>
  <autoFilter ref="A2:N32"/>
  <mergeCells count="1">
    <mergeCell ref="A1:N1"/>
  </mergeCells>
  <hyperlinks>
    <hyperlink xmlns:r="http://schemas.openxmlformats.org/officeDocument/2006/relationships" ref="H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zoomScale="156" workbookViewId="0">
      <pane ySplit="3" topLeftCell="A4" activePane="bottomLeft" state="frozen"/>
      <selection pane="bottomLeft" activeCell="G14" sqref="G14:G15"/>
    </sheetView>
  </sheetViews>
  <sheetFormatPr baseColWidth="10" defaultColWidth="8.83203125" defaultRowHeight="15"/>
  <cols>
    <col width="14" customWidth="1" style="77" min="1" max="1"/>
    <col width="22" customWidth="1" style="77" min="2" max="2"/>
    <col width="40" customWidth="1" style="77" min="3" max="3"/>
    <col width="16" customWidth="1" style="77" min="4" max="4"/>
    <col width="10" customWidth="1" style="77" min="5" max="5"/>
    <col width="12" customWidth="1" style="77" min="6" max="6"/>
    <col width="14" customWidth="1" style="77" min="7" max="7"/>
    <col width="20" customWidth="1" style="77" min="8" max="8"/>
    <col width="12" customWidth="1" style="77" min="9" max="9"/>
    <col width="18" customWidth="1" style="77" min="10" max="10"/>
    <col width="14" customWidth="1" style="77" min="11" max="11"/>
    <col width="18" customWidth="1" style="77" min="12" max="13"/>
    <col width="14" customWidth="1" style="77" min="14" max="14"/>
    <col width="35" customWidth="1" style="77" min="15" max="15"/>
  </cols>
  <sheetData>
    <row r="1" ht="30" customHeight="1" s="77">
      <c r="A1" s="76" t="inlineStr">
        <is>
          <t>York &amp; North Yorkshire Combined Authority (YNYCA) — Indicator Profile</t>
        </is>
      </c>
    </row>
    <row r="2" ht="18" customHeight="1" s="77">
      <c r="A2" s="78" t="inlineStr">
        <is>
          <t>GSS Code: E47000012  |  Mayor: David Skaith  |  Established: February 2024  |  Deal Level: Level 3  |  Constituent LAs: City of York (E06000014), North Yorkshire (E06000065)</t>
        </is>
      </c>
    </row>
    <row r="3" ht="42" customHeight="1" s="77">
      <c r="A3" s="31" t="inlineStr">
        <is>
          <t>Indicator ID</t>
        </is>
      </c>
      <c r="B3" s="31" t="inlineStr">
        <is>
          <t>Competency Area</t>
        </is>
      </c>
      <c r="C3" s="31" t="inlineStr">
        <is>
          <t>Indicator Name</t>
        </is>
      </c>
      <c r="D3" s="31" t="inlineStr">
        <is>
          <t>YNYCA Value</t>
        </is>
      </c>
      <c r="E3" s="31" t="inlineStr">
        <is>
          <t>Unit</t>
        </is>
      </c>
      <c r="F3" s="31" t="inlineStr">
        <is>
          <t>Data Year</t>
        </is>
      </c>
      <c r="G3" s="31" t="inlineStr">
        <is>
          <t>England Avg</t>
        </is>
      </c>
      <c r="H3" s="31" t="inlineStr">
        <is>
          <t>Difference vs England</t>
        </is>
      </c>
      <c r="I3" s="31" t="inlineStr">
        <is>
          <t>Direction</t>
        </is>
      </c>
      <c r="J3" s="31" t="inlineStr">
        <is>
          <t>Prev Year (YNYCA)</t>
        </is>
      </c>
      <c r="K3" s="31" t="inlineStr">
        <is>
          <t>Change YoY</t>
        </is>
      </c>
      <c r="L3" s="31" t="inlineStr">
        <is>
          <t>England Change YoY</t>
        </is>
      </c>
      <c r="M3" s="31" t="inlineStr">
        <is>
          <t>Rank among MSAs
(1 = high, 20 = low)</t>
        </is>
      </c>
      <c r="N3" s="31" t="inlineStr">
        <is>
          <t>Status</t>
        </is>
      </c>
      <c r="O3" s="31" t="inlineStr">
        <is>
          <t>Source Note</t>
        </is>
      </c>
    </row>
    <row r="4" ht="20" customHeight="1" s="77">
      <c r="A4" s="32" t="inlineStr">
        <is>
          <t>SNAP_001</t>
        </is>
      </c>
      <c r="B4" s="33" t="inlineStr">
        <is>
          <t>Snapshot</t>
        </is>
      </c>
      <c r="C4" s="33" t="inlineStr">
        <is>
          <t>Total population</t>
        </is>
      </c>
      <c r="D4" s="63" t="n">
        <v>844571</v>
      </c>
      <c r="E4" s="33" t="inlineStr">
        <is>
          <t>Count</t>
        </is>
      </c>
      <c r="F4" s="64" t="inlineStr">
        <is>
          <t>Mid-2024</t>
        </is>
      </c>
      <c r="G4" s="63" t="n">
        <v>58620101</v>
      </c>
      <c r="H4" s="65">
        <f>D4-G4</f>
        <v/>
      </c>
      <c r="I4" s="66" t="inlineStr">
        <is>
          <t>N/A — size measure</t>
        </is>
      </c>
      <c r="J4" s="63" t="n">
        <v>835592</v>
      </c>
      <c r="K4" s="65">
        <f>D4-J4</f>
        <v/>
      </c>
      <c r="L4" s="33" t="n"/>
      <c r="M4" s="67" t="n">
        <v>17</v>
      </c>
      <c r="N4" s="68" t="inlineStr">
        <is>
          <t>Populated</t>
        </is>
      </c>
      <c r="O4" s="64" t="inlineStr">
        <is>
          <t>ONS Mid-Year Population Estimates mid-2024. Sum York (209,301) + North Yorkshire (635,270). Rank 17 of 20 MSAs (smallest statutory CA).</t>
        </is>
      </c>
    </row>
    <row r="5" ht="20" customHeight="1" s="77">
      <c r="A5" s="38" t="inlineStr">
        <is>
          <t>SNAP_002</t>
        </is>
      </c>
      <c r="B5" s="39" t="inlineStr">
        <is>
          <t>Snapshot</t>
        </is>
      </c>
      <c r="C5" s="39" t="inlineStr">
        <is>
          <t>Population density</t>
        </is>
      </c>
      <c r="D5" s="69" t="n">
        <v>101.6</v>
      </c>
      <c r="E5" s="39" t="inlineStr">
        <is>
          <t>per km²</t>
        </is>
      </c>
      <c r="F5" s="70" t="inlineStr">
        <is>
          <t>Mid-2024</t>
        </is>
      </c>
      <c r="G5" s="69" t="n">
        <v>449.8</v>
      </c>
      <c r="H5" s="71">
        <f>D5-G5</f>
        <v/>
      </c>
      <c r="I5" s="66" t="inlineStr">
        <is>
          <t>N/A — context measure</t>
        </is>
      </c>
      <c r="J5" s="69" t="n">
        <v>100.6</v>
      </c>
      <c r="K5" s="71">
        <f>D5-J5</f>
        <v/>
      </c>
      <c r="L5" s="39" t="n"/>
      <c r="M5" s="72" t="n">
        <v>19</v>
      </c>
      <c r="N5" s="68" t="inlineStr">
        <is>
          <t>Populated</t>
        </is>
      </c>
      <c r="O5" s="70" t="inlineStr">
        <is>
          <t>Calculated: 844,571 pop / 8,309 km². Rank 19 of 20 — second least dense MSA after Cumbria (75.5/km²). England avg 449.8/km².</t>
        </is>
      </c>
      <c r="P5" t="inlineStr">
        <is>
          <t>https://www.ons.gov.uk/peoplepopulationandcommunity/populationandmigration/populationestimates/datasets/estimatesofthepopulationforenglandandwales</t>
        </is>
      </c>
    </row>
    <row r="6" ht="20" customHeight="1" s="77">
      <c r="A6" s="38" t="inlineStr">
        <is>
          <t>SNAP_003</t>
        </is>
      </c>
      <c r="B6" s="39" t="inlineStr">
        <is>
          <t>Snapshot</t>
        </is>
      </c>
      <c r="C6" s="39" t="inlineStr">
        <is>
          <t>Total GVA (£bn)</t>
        </is>
      </c>
      <c r="D6" s="40" t="n"/>
      <c r="E6" s="39" t="inlineStr">
        <is>
          <t>£bn</t>
        </is>
      </c>
      <c r="F6" s="39" t="inlineStr">
        <is>
          <t>2023</t>
        </is>
      </c>
      <c r="G6" s="39" t="n"/>
      <c r="H6" s="36" t="n"/>
      <c r="I6" s="36" t="n"/>
      <c r="J6" s="39" t="n"/>
      <c r="K6" s="36" t="n"/>
      <c r="L6" s="39" t="n"/>
      <c r="M6" s="39" t="n"/>
      <c r="N6" s="41" t="inlineStr">
        <is>
          <t>To do</t>
        </is>
      </c>
      <c r="O6" s="39" t="inlineStr">
        <is>
          <t>ONS Regional GVA Balanced LA dataset</t>
        </is>
      </c>
    </row>
    <row r="7" ht="20" customHeight="1" s="77">
      <c r="A7" s="38" t="inlineStr">
        <is>
          <t>SNAP_004</t>
        </is>
      </c>
      <c r="B7" s="39" t="inlineStr">
        <is>
          <t>Snapshot</t>
        </is>
      </c>
      <c r="C7" s="39" t="inlineStr">
        <is>
          <t>GVA per head (£)</t>
        </is>
      </c>
      <c r="D7" s="97" t="n">
        <v>34100</v>
      </c>
      <c r="E7" s="98" t="inlineStr">
        <is>
          <t>£</t>
        </is>
      </c>
      <c r="F7" s="98" t="inlineStr">
        <is>
          <t>2023</t>
        </is>
      </c>
      <c r="G7" s="97" t="n">
        <v>36632</v>
      </c>
      <c r="H7" s="83">
        <f>D7-G7</f>
        <v/>
      </c>
      <c r="I7" s="99" t="inlineStr">
        <is>
          <t>Higher = better</t>
        </is>
      </c>
      <c r="J7" s="97" t="n">
        <v>26505</v>
      </c>
      <c r="K7" s="83">
        <f>D7-J7</f>
        <v/>
      </c>
      <c r="L7" s="97" t="n">
        <v>6118</v>
      </c>
      <c r="M7" s="100" t="n">
        <v>5</v>
      </c>
      <c r="N7" s="86" t="inlineStr">
        <is>
          <t>Populated</t>
        </is>
      </c>
      <c r="O7" s="98" t="inlineStr">
        <is>
          <t>ONS Regional GVA (Balanced) Table 2, 2023. Pop-weighted avg of ITL3 areas TLE21 (York £41,162) and TLE22 (North Yorks £31,778) using MYE 2023 populations. England index: 93.1. See Codebook for methodology caveat.</t>
        </is>
      </c>
    </row>
    <row r="8" ht="20" customHeight="1" s="77">
      <c r="A8" s="32" t="inlineStr">
        <is>
          <t>SNAP_005</t>
        </is>
      </c>
      <c r="B8" s="33" t="inlineStr">
        <is>
          <t>Snapshot</t>
        </is>
      </c>
      <c r="C8" s="33" t="inlineStr">
        <is>
          <t>GVA per hour worked (£)</t>
        </is>
      </c>
      <c r="D8" s="101" t="n">
        <v>33</v>
      </c>
      <c r="E8" s="102" t="inlineStr">
        <is>
          <t>%</t>
        </is>
      </c>
      <c r="F8" s="102" t="inlineStr">
        <is>
          <t>2018-2023</t>
        </is>
      </c>
      <c r="G8" s="101" t="n">
        <v>24.2</v>
      </c>
      <c r="H8" s="89">
        <f>D8-G8</f>
        <v/>
      </c>
      <c r="I8" s="99" t="inlineStr">
        <is>
          <t>Higher = better</t>
        </is>
      </c>
      <c r="J8" s="101" t="n">
        <v>28.6</v>
      </c>
      <c r="K8" s="36" t="n"/>
      <c r="L8" s="33" t="n"/>
      <c r="M8" s="103" t="n">
        <v>2</v>
      </c>
      <c r="N8" s="86" t="inlineStr">
        <is>
          <t>Populated</t>
        </is>
      </c>
      <c r="O8" s="102" t="inlineStr">
        <is>
          <t>ONS GVA growth 2018-2023 preferred over 2019-2023 to avoid COVID base distortion. YNYCA rank 2/20 on 2018-23 measure (behind West of England at 34.1%); rank 1/20 on 2019-23 measure. Growth reflects recovery trajectory not starting level — YNYCA still below England avg.</t>
        </is>
      </c>
    </row>
    <row r="9" ht="20" customHeight="1" s="77">
      <c r="A9" s="32" t="inlineStr">
        <is>
          <t>SNAP_006</t>
        </is>
      </c>
      <c r="B9" s="33" t="inlineStr">
        <is>
          <t>Snapshot</t>
        </is>
      </c>
      <c r="C9" s="33" t="inlineStr">
        <is>
          <t>Median gross weekly earnings (£)</t>
        </is>
      </c>
      <c r="D9" s="34" t="n">
        <v>667</v>
      </c>
      <c r="E9" s="33" t="inlineStr">
        <is>
          <t>£</t>
        </is>
      </c>
      <c r="F9" s="33" t="inlineStr">
        <is>
          <t>Apr 2025</t>
        </is>
      </c>
      <c r="G9" s="33" t="n">
        <v>766.6</v>
      </c>
      <c r="H9" s="35">
        <f>D9-G9</f>
        <v/>
      </c>
      <c r="I9" s="36" t="n"/>
      <c r="J9" s="33" t="n">
        <v>645</v>
      </c>
      <c r="K9" s="35">
        <f>D9-J9</f>
        <v/>
      </c>
      <c r="L9" s="33" t="n"/>
      <c r="M9" s="33" t="n"/>
      <c r="N9" s="37" t="inlineStr">
        <is>
          <t>Populated</t>
        </is>
      </c>
      <c r="O9" s="33" t="inlineStr">
        <is>
          <t>ONS ASHE Table 8 (residence-based) 2025</t>
        </is>
      </c>
    </row>
    <row r="10" ht="20" customHeight="1" s="77">
      <c r="A10" s="32" t="inlineStr">
        <is>
          <t>SNAP_007</t>
        </is>
      </c>
      <c r="B10" s="33" t="inlineStr">
        <is>
          <t>Skills &amp; Employment</t>
        </is>
      </c>
      <c r="C10" s="33" t="inlineStr">
        <is>
          <t>Employment rate (%)</t>
        </is>
      </c>
      <c r="D10" s="34" t="n">
        <v>79</v>
      </c>
      <c r="E10" s="33" t="inlineStr">
        <is>
          <t>%</t>
        </is>
      </c>
      <c r="F10" s="33" t="inlineStr">
        <is>
          <t>2024</t>
        </is>
      </c>
      <c r="G10" s="33" t="n">
        <v>75</v>
      </c>
      <c r="H10" s="35">
        <f>D10-G10</f>
        <v/>
      </c>
      <c r="I10" s="36" t="n"/>
      <c r="J10" s="33" t="n">
        <v>78.8</v>
      </c>
      <c r="K10" s="35">
        <f>D10-J10</f>
        <v/>
      </c>
      <c r="L10" s="33" t="n"/>
      <c r="M10" s="33" t="n"/>
      <c r="N10" s="37" t="inlineStr">
        <is>
          <t>Populated</t>
        </is>
      </c>
      <c r="O10" s="33" t="inlineStr">
        <is>
          <t>Nomis APS Jan-Dec 2024</t>
        </is>
      </c>
    </row>
    <row r="11" ht="20" customHeight="1" s="77">
      <c r="A11" s="32" t="inlineStr">
        <is>
          <t>SNAP_008</t>
        </is>
      </c>
      <c r="B11" s="33" t="inlineStr">
        <is>
          <t>Skills &amp; Employment</t>
        </is>
      </c>
      <c r="C11" s="33" t="inlineStr">
        <is>
          <t>Economic inactivity rate (%)</t>
        </is>
      </c>
      <c r="D11" s="34" t="n">
        <v>20</v>
      </c>
      <c r="E11" s="33" t="inlineStr">
        <is>
          <t>%</t>
        </is>
      </c>
      <c r="F11" s="33" t="inlineStr">
        <is>
          <t>2024</t>
        </is>
      </c>
      <c r="G11" s="33" t="n">
        <v>21.8</v>
      </c>
      <c r="H11" s="35">
        <f>D11-G11</f>
        <v/>
      </c>
      <c r="I11" s="36" t="n"/>
      <c r="J11" s="33" t="n">
        <v>19.5</v>
      </c>
      <c r="K11" s="35">
        <f>D11-J11</f>
        <v/>
      </c>
      <c r="L11" s="33" t="n"/>
      <c r="M11" s="33" t="n"/>
      <c r="N11" s="37" t="inlineStr">
        <is>
          <t>Populated</t>
        </is>
      </c>
      <c r="O11" s="33" t="inlineStr">
        <is>
          <t>Nomis APS Jan-Dec 2024</t>
        </is>
      </c>
    </row>
    <row r="12" ht="20" customHeight="1" s="77">
      <c r="A12" s="32" t="inlineStr">
        <is>
          <t>SNAP_009</t>
        </is>
      </c>
      <c r="B12" s="33" t="inlineStr">
        <is>
          <t>Skills &amp; Employment</t>
        </is>
      </c>
      <c r="C12" s="33" t="inlineStr">
        <is>
          <t>Unemployment rate (%)</t>
        </is>
      </c>
      <c r="D12" s="34" t="n">
        <v>1.8</v>
      </c>
      <c r="E12" s="33" t="inlineStr">
        <is>
          <t>%</t>
        </is>
      </c>
      <c r="F12" s="33" t="inlineStr">
        <is>
          <t>2024</t>
        </is>
      </c>
      <c r="G12" s="33" t="n">
        <v>3.9</v>
      </c>
      <c r="H12" s="35">
        <f>D12-G12</f>
        <v/>
      </c>
      <c r="I12" s="36" t="n"/>
      <c r="J12" s="33" t="n">
        <v>2.1</v>
      </c>
      <c r="K12" s="35">
        <f>D12-J12</f>
        <v/>
      </c>
      <c r="L12" s="33" t="n"/>
      <c r="M12" s="33" t="n"/>
      <c r="N12" s="37" t="inlineStr">
        <is>
          <t>Populated</t>
        </is>
      </c>
      <c r="O12" s="33" t="inlineStr">
        <is>
          <t>YNYCA Labour Market Analysis 2025</t>
        </is>
      </c>
    </row>
    <row r="13" ht="20" customHeight="1" s="77">
      <c r="A13" s="38" t="inlineStr">
        <is>
          <t>SNAP_010</t>
        </is>
      </c>
      <c r="B13" s="39" t="inlineStr">
        <is>
          <t>Skills &amp; Employment</t>
        </is>
      </c>
      <c r="C13" s="39" t="inlineStr">
        <is>
          <t>Claimant count rate (%)</t>
        </is>
      </c>
      <c r="D13" s="40" t="n"/>
      <c r="E13" s="39" t="inlineStr">
        <is>
          <t>%</t>
        </is>
      </c>
      <c r="F13" s="39" t="inlineStr">
        <is>
          <t>Latest</t>
        </is>
      </c>
      <c r="G13" s="39" t="n"/>
      <c r="H13" s="36" t="n"/>
      <c r="I13" s="36" t="n"/>
      <c r="J13" s="39" t="n"/>
      <c r="K13" s="36" t="n"/>
      <c r="L13" s="39" t="n"/>
      <c r="M13" s="39" t="n"/>
      <c r="N13" s="41" t="inlineStr">
        <is>
          <t>To do</t>
        </is>
      </c>
      <c r="O13" s="39" t="inlineStr">
        <is>
          <t>Nomis Claimant Count — pull via API</t>
        </is>
      </c>
    </row>
    <row r="14" ht="20" customHeight="1" s="77">
      <c r="A14" s="42" t="inlineStr">
        <is>
          <t>ECON_001</t>
        </is>
      </c>
      <c r="B14" s="43" t="inlineStr">
        <is>
          <t>Economic Development</t>
        </is>
      </c>
      <c r="C14" s="43" t="inlineStr">
        <is>
          <t>Business density (per 1,000)</t>
        </is>
      </c>
      <c r="D14" s="44" t="n">
        <v>47.7</v>
      </c>
      <c r="E14" s="43" t="inlineStr">
        <is>
          <t>per 1,000</t>
        </is>
      </c>
      <c r="F14" s="43" t="inlineStr">
        <is>
          <t>2024</t>
        </is>
      </c>
      <c r="G14" s="43" t="n"/>
      <c r="H14" s="36" t="n"/>
      <c r="I14" s="36" t="n"/>
      <c r="J14" s="43" t="n"/>
      <c r="K14" s="36" t="n"/>
      <c r="L14" s="43" t="n"/>
      <c r="M14" s="43" t="n"/>
      <c r="N14" s="45" t="inlineStr">
        <is>
          <t>Partial</t>
        </is>
      </c>
      <c r="O14" s="43" t="inlineStr">
        <is>
          <t>YNYCA Labour Market Analysis 2025 / ONS Business Counts</t>
        </is>
      </c>
    </row>
    <row r="15" ht="20" customHeight="1" s="77">
      <c r="A15" s="38" t="inlineStr">
        <is>
          <t>ECON_002</t>
        </is>
      </c>
      <c r="B15" s="39" t="inlineStr">
        <is>
          <t>Economic Development</t>
        </is>
      </c>
      <c r="C15" s="39" t="inlineStr">
        <is>
          <t>Enterprise birth rate (%)</t>
        </is>
      </c>
      <c r="D15" s="40" t="n"/>
      <c r="E15" s="39" t="inlineStr">
        <is>
          <t>%</t>
        </is>
      </c>
      <c r="F15" s="39" t="inlineStr">
        <is>
          <t>2024</t>
        </is>
      </c>
      <c r="G15" s="39" t="n"/>
      <c r="H15" s="36" t="n"/>
      <c r="I15" s="36" t="n"/>
      <c r="J15" s="39" t="n"/>
      <c r="K15" s="36" t="n"/>
      <c r="L15" s="39" t="n"/>
      <c r="M15" s="39" t="n"/>
      <c r="N15" s="41" t="inlineStr">
        <is>
          <t>To do</t>
        </is>
      </c>
      <c r="O15" s="39" t="inlineStr">
        <is>
          <t>ONS UK Business Counts via Nomis</t>
        </is>
      </c>
    </row>
    <row r="16" ht="20" customHeight="1" s="77">
      <c r="A16" s="32" t="inlineStr">
        <is>
          <t>ECON_003</t>
        </is>
      </c>
      <c r="B16" s="33" t="inlineStr">
        <is>
          <t>Economic Development</t>
        </is>
      </c>
      <c r="C16" s="33" t="inlineStr">
        <is>
          <t>Job density</t>
        </is>
      </c>
      <c r="D16" s="34" t="n">
        <v>0.98</v>
      </c>
      <c r="E16" s="33" t="inlineStr">
        <is>
          <t>ratio</t>
        </is>
      </c>
      <c r="F16" s="33" t="inlineStr">
        <is>
          <t>2023</t>
        </is>
      </c>
      <c r="G16" s="33" t="n">
        <v>0.87</v>
      </c>
      <c r="H16" s="35">
        <f>D16-G16</f>
        <v/>
      </c>
      <c r="I16" s="36" t="n"/>
      <c r="J16" s="33" t="n"/>
      <c r="K16" s="36" t="n"/>
      <c r="L16" s="33" t="n"/>
      <c r="M16" s="33" t="n"/>
      <c r="N16" s="37" t="inlineStr">
        <is>
          <t>Populated</t>
        </is>
      </c>
      <c r="O16" s="33" t="inlineStr">
        <is>
          <t>ONS Jobs Density via Nomis</t>
        </is>
      </c>
    </row>
    <row r="17" ht="20" customHeight="1" s="77">
      <c r="A17" s="32" t="inlineStr">
        <is>
          <t>SKILLS_001</t>
        </is>
      </c>
      <c r="B17" s="33" t="inlineStr">
        <is>
          <t>Skills &amp; Employment</t>
        </is>
      </c>
      <c r="C17" s="33" t="inlineStr">
        <is>
          <t>Level 4+ qualifications (%)</t>
        </is>
      </c>
      <c r="D17" s="34" t="n">
        <v>48</v>
      </c>
      <c r="E17" s="33" t="inlineStr">
        <is>
          <t>%</t>
        </is>
      </c>
      <c r="F17" s="33" t="inlineStr">
        <is>
          <t>2024</t>
        </is>
      </c>
      <c r="G17" s="33" t="n">
        <v>43</v>
      </c>
      <c r="H17" s="35">
        <f>D17-G17</f>
        <v/>
      </c>
      <c r="I17" s="36" t="n"/>
      <c r="J17" s="33" t="n"/>
      <c r="K17" s="36" t="n"/>
      <c r="L17" s="33" t="n"/>
      <c r="M17" s="33" t="n"/>
      <c r="N17" s="37" t="inlineStr">
        <is>
          <t>Populated</t>
        </is>
      </c>
      <c r="O17" s="33" t="inlineStr">
        <is>
          <t>Nomis APS 2024</t>
        </is>
      </c>
    </row>
    <row r="18" ht="20" customHeight="1" s="77">
      <c r="A18" s="38" t="inlineStr">
        <is>
          <t>SKILLS_002</t>
        </is>
      </c>
      <c r="B18" s="39" t="inlineStr">
        <is>
          <t>Skills &amp; Employment</t>
        </is>
      </c>
      <c r="C18" s="39" t="inlineStr">
        <is>
          <t>No qualifications (%)</t>
        </is>
      </c>
      <c r="D18" s="40" t="n"/>
      <c r="E18" s="39" t="inlineStr">
        <is>
          <t>%</t>
        </is>
      </c>
      <c r="F18" s="39" t="inlineStr">
        <is>
          <t>2024</t>
        </is>
      </c>
      <c r="G18" s="39" t="n"/>
      <c r="H18" s="36" t="n"/>
      <c r="I18" s="36" t="n"/>
      <c r="J18" s="39" t="n"/>
      <c r="K18" s="36" t="n"/>
      <c r="L18" s="39" t="n"/>
      <c r="M18" s="39" t="n"/>
      <c r="N18" s="41" t="inlineStr">
        <is>
          <t>To do</t>
        </is>
      </c>
      <c r="O18" s="39" t="inlineStr">
        <is>
          <t>Nomis APS 2024</t>
        </is>
      </c>
    </row>
    <row r="19" ht="20" customHeight="1" s="77">
      <c r="A19" s="38" t="inlineStr">
        <is>
          <t>SKILLS_003</t>
        </is>
      </c>
      <c r="B19" s="39" t="inlineStr">
        <is>
          <t>Skills &amp; Employment</t>
        </is>
      </c>
      <c r="C19" s="39" t="inlineStr">
        <is>
          <t>Apprenticeship starts (per 1,000)</t>
        </is>
      </c>
      <c r="D19" s="40" t="n"/>
      <c r="E19" s="39" t="inlineStr">
        <is>
          <t>per 1,000</t>
        </is>
      </c>
      <c r="F19" s="39" t="inlineStr">
        <is>
          <t>2023/24</t>
        </is>
      </c>
      <c r="G19" s="39" t="n"/>
      <c r="H19" s="36" t="n"/>
      <c r="I19" s="36" t="n"/>
      <c r="J19" s="39" t="n"/>
      <c r="K19" s="36" t="n"/>
      <c r="L19" s="39" t="n"/>
      <c r="M19" s="39" t="n"/>
      <c r="N19" s="41" t="inlineStr">
        <is>
          <t>To do</t>
        </is>
      </c>
      <c r="O19" s="39" t="inlineStr">
        <is>
          <t>DfE Apprenticeships and Traineeships</t>
        </is>
      </c>
    </row>
    <row r="20" ht="20" customHeight="1" s="77">
      <c r="A20" s="38" t="inlineStr">
        <is>
          <t>HOUS_001</t>
        </is>
      </c>
      <c r="B20" s="39" t="inlineStr">
        <is>
          <t>Housing</t>
        </is>
      </c>
      <c r="C20" s="39" t="inlineStr">
        <is>
          <t>House price:earnings ratio</t>
        </is>
      </c>
      <c r="D20" s="40" t="n"/>
      <c r="E20" s="39" t="inlineStr">
        <is>
          <t>ratio</t>
        </is>
      </c>
      <c r="F20" s="39" t="inlineStr">
        <is>
          <t>2024</t>
        </is>
      </c>
      <c r="G20" s="39" t="n"/>
      <c r="H20" s="36" t="n"/>
      <c r="I20" s="36" t="n"/>
      <c r="J20" s="39" t="n"/>
      <c r="K20" s="36" t="n"/>
      <c r="L20" s="39" t="n"/>
      <c r="M20" s="39" t="n"/>
      <c r="N20" s="41" t="inlineStr">
        <is>
          <t>To do</t>
        </is>
      </c>
      <c r="O20" s="39" t="inlineStr">
        <is>
          <t>ONS HPSSA Dataset 9</t>
        </is>
      </c>
    </row>
    <row r="21" ht="20" customHeight="1" s="77">
      <c r="A21" s="38" t="inlineStr">
        <is>
          <t>HOUS_002</t>
        </is>
      </c>
      <c r="B21" s="39" t="inlineStr">
        <is>
          <t>Housing</t>
        </is>
      </c>
      <c r="C21" s="39" t="inlineStr">
        <is>
          <t>Net additional dwellings vs need (%)</t>
        </is>
      </c>
      <c r="D21" s="40" t="n"/>
      <c r="E21" s="39" t="inlineStr">
        <is>
          <t>%</t>
        </is>
      </c>
      <c r="F21" s="39" t="inlineStr">
        <is>
          <t>2023/24</t>
        </is>
      </c>
      <c r="G21" s="39" t="n"/>
      <c r="H21" s="36" t="n"/>
      <c r="I21" s="36" t="n"/>
      <c r="J21" s="39" t="n"/>
      <c r="K21" s="36" t="n"/>
      <c r="L21" s="39" t="n"/>
      <c r="M21" s="39" t="n"/>
      <c r="N21" s="41" t="inlineStr">
        <is>
          <t>To do</t>
        </is>
      </c>
      <c r="O21" s="39" t="inlineStr">
        <is>
          <t>MHCLG Live Tables on Housing Supply</t>
        </is>
      </c>
    </row>
    <row r="22" ht="20" customHeight="1" s="77">
      <c r="A22" s="38" t="inlineStr">
        <is>
          <t>HOUS_003</t>
        </is>
      </c>
      <c r="B22" s="39" t="inlineStr">
        <is>
          <t>Housing</t>
        </is>
      </c>
      <c r="C22" s="39" t="inlineStr">
        <is>
          <t>% social rented households</t>
        </is>
      </c>
      <c r="D22" s="40" t="n"/>
      <c r="E22" s="39" t="inlineStr">
        <is>
          <t>%</t>
        </is>
      </c>
      <c r="F22" s="39" t="inlineStr">
        <is>
          <t>2021</t>
        </is>
      </c>
      <c r="G22" s="39" t="n"/>
      <c r="H22" s="36" t="n"/>
      <c r="I22" s="36" t="n"/>
      <c r="J22" s="39" t="n"/>
      <c r="K22" s="36" t="n"/>
      <c r="L22" s="39" t="n"/>
      <c r="M22" s="39" t="n"/>
      <c r="N22" s="41" t="inlineStr">
        <is>
          <t>To do</t>
        </is>
      </c>
      <c r="O22" s="39" t="inlineStr">
        <is>
          <t>Census 2021 — Tenure</t>
        </is>
      </c>
    </row>
    <row r="23" ht="20" customHeight="1" s="77">
      <c r="A23" s="38" t="inlineStr">
        <is>
          <t>TRANS_001</t>
        </is>
      </c>
      <c r="B23" s="39" t="inlineStr">
        <is>
          <t>Transport</t>
        </is>
      </c>
      <c r="C23" s="39" t="inlineStr">
        <is>
          <t>% households with no car</t>
        </is>
      </c>
      <c r="D23" s="40" t="n"/>
      <c r="E23" s="39" t="inlineStr">
        <is>
          <t>%</t>
        </is>
      </c>
      <c r="F23" s="39" t="inlineStr">
        <is>
          <t>2021</t>
        </is>
      </c>
      <c r="G23" s="39" t="n"/>
      <c r="H23" s="36" t="n"/>
      <c r="I23" s="36" t="n"/>
      <c r="J23" s="39" t="n"/>
      <c r="K23" s="36" t="n"/>
      <c r="L23" s="39" t="n"/>
      <c r="M23" s="39" t="n"/>
      <c r="N23" s="41" t="inlineStr">
        <is>
          <t>To do</t>
        </is>
      </c>
      <c r="O23" s="39" t="inlineStr">
        <is>
          <t>Census 2021 — Car Availability</t>
        </is>
      </c>
    </row>
    <row r="24" ht="20" customHeight="1" s="77">
      <c r="A24" s="38" t="inlineStr">
        <is>
          <t>TRANS_002</t>
        </is>
      </c>
      <c r="B24" s="39" t="inlineStr">
        <is>
          <t>Transport</t>
        </is>
      </c>
      <c r="C24" s="39" t="inlineStr">
        <is>
          <t>Bus journeys per head</t>
        </is>
      </c>
      <c r="D24" s="40" t="n"/>
      <c r="E24" s="39" t="inlineStr">
        <is>
          <t>per head</t>
        </is>
      </c>
      <c r="F24" s="39" t="inlineStr">
        <is>
          <t>2023/24</t>
        </is>
      </c>
      <c r="G24" s="39" t="n"/>
      <c r="H24" s="36" t="n"/>
      <c r="I24" s="36" t="n"/>
      <c r="J24" s="39" t="n"/>
      <c r="K24" s="36" t="n"/>
      <c r="L24" s="39" t="n"/>
      <c r="M24" s="39" t="n"/>
      <c r="N24" s="41" t="inlineStr">
        <is>
          <t>To do</t>
        </is>
      </c>
      <c r="O24" s="39" t="inlineStr">
        <is>
          <t>DfT Bus Statistics BUS0109</t>
        </is>
      </c>
    </row>
    <row r="25" ht="20" customHeight="1" s="77">
      <c r="A25" s="38" t="inlineStr">
        <is>
          <t>ENV_001</t>
        </is>
      </c>
      <c r="B25" s="39" t="inlineStr">
        <is>
          <t>Environment</t>
        </is>
      </c>
      <c r="C25" s="39" t="inlineStr">
        <is>
          <t>CO₂ per capita (tonnes)</t>
        </is>
      </c>
      <c r="D25" s="40" t="n"/>
      <c r="E25" s="39" t="inlineStr">
        <is>
          <t>tonnes</t>
        </is>
      </c>
      <c r="F25" s="39" t="inlineStr">
        <is>
          <t>2022</t>
        </is>
      </c>
      <c r="G25" s="39" t="n"/>
      <c r="H25" s="36" t="n"/>
      <c r="I25" s="36" t="n"/>
      <c r="J25" s="39" t="n"/>
      <c r="K25" s="36" t="n"/>
      <c r="L25" s="39" t="n"/>
      <c r="M25" s="39" t="n"/>
      <c r="N25" s="41" t="inlineStr">
        <is>
          <t>To do</t>
        </is>
      </c>
      <c r="O25" s="39" t="inlineStr">
        <is>
          <t>DESNZ Local Authority CO2 Emissions</t>
        </is>
      </c>
    </row>
    <row r="26" ht="20" customHeight="1" s="77">
      <c r="A26" s="38" t="inlineStr">
        <is>
          <t>ENV_002</t>
        </is>
      </c>
      <c r="B26" s="39" t="inlineStr">
        <is>
          <t>Environment</t>
        </is>
      </c>
      <c r="C26" s="39" t="inlineStr">
        <is>
          <t>Fuel poverty rate (%)</t>
        </is>
      </c>
      <c r="D26" s="40" t="n"/>
      <c r="E26" s="39" t="inlineStr">
        <is>
          <t>%</t>
        </is>
      </c>
      <c r="F26" s="39" t="inlineStr">
        <is>
          <t>2023</t>
        </is>
      </c>
      <c r="G26" s="39" t="n"/>
      <c r="H26" s="36" t="n"/>
      <c r="I26" s="36" t="n"/>
      <c r="J26" s="39" t="n"/>
      <c r="K26" s="36" t="n"/>
      <c r="L26" s="39" t="n"/>
      <c r="M26" s="39" t="n"/>
      <c r="N26" s="41" t="inlineStr">
        <is>
          <t>To do</t>
        </is>
      </c>
      <c r="O26" s="39" t="inlineStr">
        <is>
          <t>DESNZ Sub-regional Fuel Poverty</t>
        </is>
      </c>
    </row>
    <row r="27" ht="20" customHeight="1" s="77">
      <c r="A27" s="38" t="inlineStr">
        <is>
          <t>HEALTH_001</t>
        </is>
      </c>
      <c r="B27" s="39" t="inlineStr">
        <is>
          <t>Health</t>
        </is>
      </c>
      <c r="C27" s="39" t="inlineStr">
        <is>
          <t>Healthy life expectancy (years)</t>
        </is>
      </c>
      <c r="D27" s="40" t="n"/>
      <c r="E27" s="39" t="inlineStr">
        <is>
          <t>years</t>
        </is>
      </c>
      <c r="F27" s="39" t="inlineStr">
        <is>
          <t>2020-22</t>
        </is>
      </c>
      <c r="G27" s="39" t="n"/>
      <c r="H27" s="36" t="n"/>
      <c r="I27" s="36" t="n"/>
      <c r="J27" s="39" t="n"/>
      <c r="K27" s="36" t="n"/>
      <c r="L27" s="39" t="n"/>
      <c r="M27" s="39" t="n"/>
      <c r="N27" s="41" t="inlineStr">
        <is>
          <t>To do</t>
        </is>
      </c>
      <c r="O27" s="39" t="inlineStr">
        <is>
          <t>OHID Fingertips</t>
        </is>
      </c>
    </row>
    <row r="28" ht="20" customHeight="1" s="77">
      <c r="A28" s="38" t="inlineStr">
        <is>
          <t>HEALTH_002</t>
        </is>
      </c>
      <c r="B28" s="39" t="inlineStr">
        <is>
          <t>Health</t>
        </is>
      </c>
      <c r="C28" s="39" t="inlineStr">
        <is>
          <t>Preventable mortality (per 100,000)</t>
        </is>
      </c>
      <c r="D28" s="40" t="n"/>
      <c r="E28" s="39" t="inlineStr">
        <is>
          <t>per 100k</t>
        </is>
      </c>
      <c r="F28" s="39" t="inlineStr">
        <is>
          <t>2021-23</t>
        </is>
      </c>
      <c r="G28" s="39" t="n"/>
      <c r="H28" s="36" t="n"/>
      <c r="I28" s="36" t="n"/>
      <c r="J28" s="39" t="n"/>
      <c r="K28" s="36" t="n"/>
      <c r="L28" s="39" t="n"/>
      <c r="M28" s="39" t="n"/>
      <c r="N28" s="41" t="inlineStr">
        <is>
          <t>To do</t>
        </is>
      </c>
      <c r="O28" s="39" t="inlineStr">
        <is>
          <t>OHID Fingertips</t>
        </is>
      </c>
    </row>
    <row r="29" ht="20" customHeight="1" s="77">
      <c r="A29" s="38" t="inlineStr">
        <is>
          <t>HEALTH_003</t>
        </is>
      </c>
      <c r="B29" s="39" t="inlineStr">
        <is>
          <t>Health</t>
        </is>
      </c>
      <c r="C29" s="39" t="inlineStr">
        <is>
          <t>% with limiting long-term illness</t>
        </is>
      </c>
      <c r="D29" s="40" t="n"/>
      <c r="E29" s="39" t="inlineStr">
        <is>
          <t>%</t>
        </is>
      </c>
      <c r="F29" s="39" t="inlineStr">
        <is>
          <t>2021</t>
        </is>
      </c>
      <c r="G29" s="39" t="n"/>
      <c r="H29" s="36" t="n"/>
      <c r="I29" s="36" t="n"/>
      <c r="J29" s="39" t="n"/>
      <c r="K29" s="36" t="n"/>
      <c r="L29" s="39" t="n"/>
      <c r="M29" s="39" t="n"/>
      <c r="N29" s="41" t="inlineStr">
        <is>
          <t>To do</t>
        </is>
      </c>
      <c r="O29" s="39" t="inlineStr">
        <is>
          <t>Census 2021</t>
        </is>
      </c>
    </row>
    <row r="30" ht="20" customHeight="1" s="77">
      <c r="A30" s="38" t="inlineStr">
        <is>
          <t>IMD_001</t>
        </is>
      </c>
      <c r="B30" s="39" t="inlineStr">
        <is>
          <t>Deprivation</t>
        </is>
      </c>
      <c r="C30" s="39" t="inlineStr">
        <is>
          <t>IMD 2025 average rank</t>
        </is>
      </c>
      <c r="D30" s="104" t="n">
        <v>2</v>
      </c>
      <c r="E30" s="98" t="inlineStr">
        <is>
          <t>% LSOAs</t>
        </is>
      </c>
      <c r="F30" s="98" t="inlineStr">
        <is>
          <t>2025</t>
        </is>
      </c>
      <c r="G30" s="104" t="n">
        <v>10</v>
      </c>
      <c r="H30" s="105">
        <f>D30-G30</f>
        <v/>
      </c>
      <c r="I30" s="99" t="inlineStr">
        <is>
          <t>Higher = more deprived</t>
        </is>
      </c>
      <c r="J30" s="39" t="n"/>
      <c r="K30" s="36" t="n"/>
      <c r="L30" s="39" t="n"/>
      <c r="M30" s="100" t="n">
        <v>20</v>
      </c>
      <c r="N30" s="86" t="inlineStr">
        <is>
          <t>Populated</t>
        </is>
      </c>
      <c r="O30" s="98" t="inlineStr">
        <is>
          <t>IMD 2025. % of 500 LSOAs in YNYCA falling in most deprived 10% nationally. England benchmark = 10.0% by definition. YNYCA rank 20/20 — least deprived MSA. Decile distribution heavily skewed toward less deprived end (median rank 21,730 vs England 16,878).</t>
        </is>
      </c>
    </row>
    <row r="31" ht="20" customHeight="1" s="77">
      <c r="A31" s="38" t="inlineStr">
        <is>
          <t>IMD_002</t>
        </is>
      </c>
      <c r="B31" s="39" t="inlineStr">
        <is>
          <t>Deprivation</t>
        </is>
      </c>
      <c r="C31" s="39" t="inlineStr">
        <is>
          <t>% LSOAs in most deprived 10%</t>
        </is>
      </c>
      <c r="D31" s="106" t="n">
        <v>6.2</v>
      </c>
      <c r="E31" s="98" t="inlineStr">
        <is>
          <t>% LSOAs</t>
        </is>
      </c>
      <c r="F31" s="98" t="inlineStr">
        <is>
          <t>2025</t>
        </is>
      </c>
      <c r="G31" s="106" t="n">
        <v>20</v>
      </c>
      <c r="H31" s="107">
        <f>D31-G31</f>
        <v/>
      </c>
      <c r="I31" s="99" t="inlineStr">
        <is>
          <t>Higher = more deprived</t>
        </is>
      </c>
      <c r="J31" s="39" t="n"/>
      <c r="K31" s="36" t="n"/>
      <c r="L31" s="39" t="n"/>
      <c r="M31" s="39" t="n"/>
      <c r="N31" s="86" t="inlineStr">
        <is>
          <t>Populated</t>
        </is>
      </c>
      <c r="O31" s="98" t="inlineStr">
        <is>
          <t>IMD 2025. % of LSOAs in deciles 1 or 2 (most deprived 20% nationally). England benchmark = 20.0% by definition. YNYCA 6.2% — well below benchmark, consistent with rural affluent character. Avg IMD rank 21,081 vs England avg 16,878.</t>
        </is>
      </c>
    </row>
    <row r="32" ht="20" customHeight="1" s="77">
      <c r="A32" s="38" t="inlineStr">
        <is>
          <t>SAFETY_001</t>
        </is>
      </c>
      <c r="B32" s="39" t="inlineStr">
        <is>
          <t>Public Safety</t>
        </is>
      </c>
      <c r="C32" s="39" t="inlineStr">
        <is>
          <t>Notifiable offences (per 1,000)</t>
        </is>
      </c>
      <c r="D32" s="40" t="n"/>
      <c r="E32" s="39" t="inlineStr">
        <is>
          <t>per 1,000</t>
        </is>
      </c>
      <c r="F32" s="39" t="inlineStr">
        <is>
          <t>2024/25</t>
        </is>
      </c>
      <c r="G32" s="39" t="n"/>
      <c r="H32" s="36" t="n"/>
      <c r="I32" s="36" t="n"/>
      <c r="J32" s="39" t="n"/>
      <c r="K32" s="36" t="n"/>
      <c r="L32" s="39" t="n"/>
      <c r="M32" s="39" t="n"/>
      <c r="N32" s="41" t="inlineStr">
        <is>
          <t>To do</t>
        </is>
      </c>
      <c r="O32" s="39" t="inlineStr">
        <is>
          <t>Home Office Crime Open Data</t>
        </is>
      </c>
    </row>
    <row r="33" ht="20" customHeight="1" s="77">
      <c r="A33" s="38" t="inlineStr">
        <is>
          <t>SAFETY_002</t>
        </is>
      </c>
      <c r="B33" s="39" t="inlineStr">
        <is>
          <t>Public Safety</t>
        </is>
      </c>
      <c r="C33" s="39" t="inlineStr">
        <is>
          <t>Road KSI rate</t>
        </is>
      </c>
      <c r="D33" s="40" t="n"/>
      <c r="E33" s="39" t="inlineStr">
        <is>
          <t>per bn mi</t>
        </is>
      </c>
      <c r="F33" s="39" t="inlineStr">
        <is>
          <t>2023</t>
        </is>
      </c>
      <c r="G33" s="39" t="n"/>
      <c r="H33" s="36" t="n"/>
      <c r="I33" s="36" t="n"/>
      <c r="J33" s="39" t="n"/>
      <c r="K33" s="36" t="n"/>
      <c r="L33" s="39" t="n"/>
      <c r="M33" s="39" t="n"/>
      <c r="N33" s="41" t="inlineStr">
        <is>
          <t>To do</t>
        </is>
      </c>
      <c r="O33" s="39" t="inlineStr">
        <is>
          <t>DfT STATS19</t>
        </is>
      </c>
    </row>
  </sheetData>
  <autoFilter ref="A3:O33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:U1"/>
    </sheetView>
  </sheetViews>
  <sheetFormatPr baseColWidth="10" defaultColWidth="8.83203125" defaultRowHeight="15"/>
  <cols>
    <col width="14" customWidth="1" style="77" min="1" max="1"/>
    <col width="38" customWidth="1" style="77" min="2" max="2"/>
    <col width="10" customWidth="1" style="77" min="3" max="3"/>
    <col width="13" customWidth="1" style="77" min="4" max="24"/>
  </cols>
  <sheetData>
    <row r="1" ht="28" customHeight="1" s="77">
      <c r="A1" s="79" t="inlineStr">
        <is>
          <t>MSA Comparison — Add one column per MSA as profiles are completed. Rank column in Sheet 2 auto-ranks once populated.</t>
        </is>
      </c>
    </row>
    <row r="2" ht="50" customHeight="1" s="77">
      <c r="A2" s="31" t="inlineStr">
        <is>
          <t>Indicator ID</t>
        </is>
      </c>
      <c r="B2" s="31" t="inlineStr">
        <is>
          <t>Indicator Name</t>
        </is>
      </c>
      <c r="C2" s="31" t="inlineStr">
        <is>
          <t>Unit</t>
        </is>
      </c>
      <c r="D2" s="46" t="inlineStr">
        <is>
          <t>England Avg</t>
        </is>
      </c>
      <c r="E2" s="47" t="inlineStr">
        <is>
          <t>GMCA
Greater Manchester</t>
        </is>
      </c>
      <c r="F2" s="47" t="inlineStr">
        <is>
          <t>WMCA
West Midlands</t>
        </is>
      </c>
      <c r="G2" s="47" t="inlineStr">
        <is>
          <t>NECA
North East</t>
        </is>
      </c>
      <c r="H2" s="47" t="inlineStr">
        <is>
          <t>LCRCA
Liverpool City Region</t>
        </is>
      </c>
      <c r="I2" s="47" t="inlineStr">
        <is>
          <t>SYMCA
South Yorkshire</t>
        </is>
      </c>
      <c r="J2" s="47" t="inlineStr">
        <is>
          <t>WYCA
West Yorkshire</t>
        </is>
      </c>
      <c r="K2" s="47" t="inlineStr">
        <is>
          <t>WECA
West of England</t>
        </is>
      </c>
      <c r="L2" s="47" t="inlineStr">
        <is>
          <t>LCCA
Lancashire</t>
        </is>
      </c>
      <c r="M2" s="48" t="inlineStr">
        <is>
          <t>TVCA
Tees Valley</t>
        </is>
      </c>
      <c r="N2" s="48" t="inlineStr">
        <is>
          <t>YNYCA
York &amp; North Yorkshire</t>
        </is>
      </c>
      <c r="O2" s="48" t="inlineStr">
        <is>
          <t>HEYCA
Hull &amp; East Yorkshire</t>
        </is>
      </c>
      <c r="P2" s="48" t="inlineStr">
        <is>
          <t>GLCCA
Greater Lincolnshire</t>
        </is>
      </c>
      <c r="Q2" s="48" t="inlineStr">
        <is>
          <t>EMCCA
East Midlands</t>
        </is>
      </c>
      <c r="R2" s="48" t="inlineStr">
        <is>
          <t>CPCA
Cambridgeshire &amp; Pboro</t>
        </is>
      </c>
      <c r="S2" s="49" t="inlineStr">
        <is>
          <t>SUS
Sussex &amp; Brighton</t>
        </is>
      </c>
      <c r="T2" s="49" t="inlineStr">
        <is>
          <t>HAM
Hampshire &amp; Solent</t>
        </is>
      </c>
      <c r="U2" s="49" t="inlineStr">
        <is>
          <t>CHE
Cheshire &amp; Warrington</t>
        </is>
      </c>
      <c r="V2" s="49" t="inlineStr">
        <is>
          <t>CUM
Cumbria</t>
        </is>
      </c>
      <c r="W2" s="49" t="inlineStr">
        <is>
          <t>ESS
Greater Essex</t>
        </is>
      </c>
      <c r="X2" s="49" t="inlineStr">
        <is>
          <t>NAS
Norfolk &amp; Suffolk</t>
        </is>
      </c>
    </row>
    <row r="3" ht="20" customHeight="1" s="77">
      <c r="A3" s="25" t="inlineStr">
        <is>
          <t>SNAP_001</t>
        </is>
      </c>
      <c r="B3" s="26" t="inlineStr">
        <is>
          <t>Total population</t>
        </is>
      </c>
      <c r="C3" s="50" t="inlineStr">
        <is>
          <t>Count</t>
        </is>
      </c>
      <c r="D3" s="73" t="n">
        <v>58620101</v>
      </c>
      <c r="E3" s="74" t="n">
        <v>3009664</v>
      </c>
      <c r="F3" s="74" t="n">
        <v>3036605</v>
      </c>
      <c r="G3" s="74" t="n">
        <v>2760678</v>
      </c>
      <c r="H3" s="74" t="n">
        <v>1607084</v>
      </c>
      <c r="I3" s="74" t="n">
        <v>1430623</v>
      </c>
      <c r="J3" s="74" t="n">
        <v>2435236</v>
      </c>
      <c r="K3" s="74" t="n">
        <v>1225337</v>
      </c>
      <c r="L3" s="74" t="n">
        <v>1601645</v>
      </c>
      <c r="M3" s="74" t="n">
        <v>712858</v>
      </c>
      <c r="N3" s="75" t="n">
        <v>844571</v>
      </c>
      <c r="O3" s="74" t="n">
        <v>631285</v>
      </c>
      <c r="P3" s="74" t="n">
        <v>1120749</v>
      </c>
      <c r="Q3" s="74" t="n">
        <v>3400821</v>
      </c>
      <c r="R3" s="74" t="n">
        <v>933972</v>
      </c>
      <c r="S3" s="74" t="n">
        <v>1759789</v>
      </c>
      <c r="T3" s="74" t="n">
        <v>1920959</v>
      </c>
      <c r="U3" s="74" t="n">
        <v>1008341</v>
      </c>
      <c r="V3" s="74" t="n">
        <v>510680</v>
      </c>
      <c r="W3" s="74" t="n">
        <v>1929610</v>
      </c>
      <c r="X3" s="74" t="n">
        <v>1726590</v>
      </c>
    </row>
    <row r="4" ht="20" customHeight="1" s="77">
      <c r="A4" s="53" t="inlineStr">
        <is>
          <t>SNAP_005</t>
        </is>
      </c>
      <c r="B4" s="54" t="inlineStr">
        <is>
          <t>GVA per hour worked (£)</t>
        </is>
      </c>
      <c r="C4" s="55" t="inlineStr">
        <is>
          <t>£</t>
        </is>
      </c>
      <c r="D4" s="51" t="n"/>
      <c r="E4" s="86" t="n">
        <v>32.2</v>
      </c>
      <c r="F4" s="91" t="n">
        <v>18.3</v>
      </c>
      <c r="G4" s="86" t="n">
        <v>24.8</v>
      </c>
      <c r="H4" s="86" t="n">
        <v>29.9</v>
      </c>
      <c r="I4" s="86" t="n">
        <v>29.2</v>
      </c>
      <c r="J4" s="86" t="n">
        <v>26.4</v>
      </c>
      <c r="K4" s="86" t="n">
        <v>34.1</v>
      </c>
      <c r="L4" s="86" t="n">
        <v>24.6</v>
      </c>
      <c r="M4" s="91" t="n">
        <v>19.1</v>
      </c>
      <c r="N4" s="86" t="n">
        <v>33</v>
      </c>
      <c r="O4" s="86" t="n">
        <v>27.9</v>
      </c>
      <c r="P4" s="86" t="n">
        <v>25.1</v>
      </c>
      <c r="Q4" s="86" t="n">
        <v>24.3</v>
      </c>
      <c r="R4" s="91" t="n">
        <v>24.1</v>
      </c>
      <c r="S4" s="91" t="n">
        <v>23.9</v>
      </c>
      <c r="T4" s="91" t="n">
        <v>20.9</v>
      </c>
      <c r="U4" s="86" t="n">
        <v>24.5</v>
      </c>
      <c r="V4" s="86" t="n">
        <v>26.5</v>
      </c>
      <c r="W4" s="91" t="n">
        <v>21.6</v>
      </c>
      <c r="X4" s="86" t="n">
        <v>26.6</v>
      </c>
    </row>
    <row r="5" ht="20" customHeight="1" s="77">
      <c r="A5" s="25" t="inlineStr">
        <is>
          <t>SNAP_006</t>
        </is>
      </c>
      <c r="B5" s="26" t="inlineStr">
        <is>
          <t>Median weekly earnings (£)</t>
        </is>
      </c>
      <c r="C5" s="50" t="inlineStr">
        <is>
          <t>£</t>
        </is>
      </c>
      <c r="D5" s="51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2" t="n">
        <v>667</v>
      </c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</row>
    <row r="6" ht="20" customHeight="1" s="77">
      <c r="A6" s="53" t="inlineStr">
        <is>
          <t>SNAP_007</t>
        </is>
      </c>
      <c r="B6" s="54" t="inlineStr">
        <is>
          <t>Employment rate (%)</t>
        </is>
      </c>
      <c r="C6" s="55" t="inlineStr">
        <is>
          <t>%</t>
        </is>
      </c>
      <c r="D6" s="51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2" t="n">
        <v>79</v>
      </c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</row>
    <row r="7" ht="20" customHeight="1" s="77">
      <c r="A7" s="25" t="inlineStr">
        <is>
          <t>SNAP_008</t>
        </is>
      </c>
      <c r="B7" s="26" t="inlineStr">
        <is>
          <t>Economic inactivity (%)</t>
        </is>
      </c>
      <c r="C7" s="50" t="inlineStr">
        <is>
          <t>%</t>
        </is>
      </c>
      <c r="D7" s="51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2" t="n">
        <v>20</v>
      </c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</row>
    <row r="8" ht="20" customHeight="1" s="77">
      <c r="A8" s="53" t="inlineStr">
        <is>
          <t>SNAP_009</t>
        </is>
      </c>
      <c r="B8" s="54" t="inlineStr">
        <is>
          <t>Unemployment rate (%)</t>
        </is>
      </c>
      <c r="C8" s="55" t="inlineStr">
        <is>
          <t>%</t>
        </is>
      </c>
      <c r="D8" s="51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2" t="n">
        <v>1.8</v>
      </c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</row>
    <row r="9" ht="20" customHeight="1" s="77">
      <c r="A9" s="25" t="inlineStr">
        <is>
          <t>SNAP_010</t>
        </is>
      </c>
      <c r="B9" s="26" t="inlineStr">
        <is>
          <t>Claimant count rate (%)</t>
        </is>
      </c>
      <c r="C9" s="50" t="inlineStr">
        <is>
          <t>%</t>
        </is>
      </c>
      <c r="D9" s="51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2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</row>
    <row r="10" ht="20" customHeight="1" s="77">
      <c r="A10" s="53" t="inlineStr">
        <is>
          <t>ECON_001</t>
        </is>
      </c>
      <c r="B10" s="54" t="inlineStr">
        <is>
          <t>Business density</t>
        </is>
      </c>
      <c r="C10" s="55" t="inlineStr">
        <is>
          <t>per 1,000</t>
        </is>
      </c>
      <c r="D10" s="51" t="n"/>
      <c r="E10" s="55" t="n"/>
      <c r="F10" s="55" t="n"/>
      <c r="G10" s="55" t="n"/>
      <c r="H10" s="55" t="n"/>
      <c r="I10" s="55" t="n"/>
      <c r="J10" s="55" t="n"/>
      <c r="K10" s="55" t="n"/>
      <c r="L10" s="55" t="n"/>
      <c r="M10" s="55" t="n"/>
      <c r="N10" s="52" t="n">
        <v>47.7</v>
      </c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</row>
    <row r="11" ht="20" customHeight="1" s="77">
      <c r="A11" s="25" t="inlineStr">
        <is>
          <t>ECON_003</t>
        </is>
      </c>
      <c r="B11" s="26" t="inlineStr">
        <is>
          <t>Job density</t>
        </is>
      </c>
      <c r="C11" s="50" t="inlineStr">
        <is>
          <t>ratio</t>
        </is>
      </c>
      <c r="D11" s="51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2" t="n">
        <v>0.98</v>
      </c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</row>
    <row r="12" ht="20" customHeight="1" s="77">
      <c r="A12" s="53" t="inlineStr">
        <is>
          <t>SKILLS_001</t>
        </is>
      </c>
      <c r="B12" s="54" t="inlineStr">
        <is>
          <t>Level 4+ quals (%)</t>
        </is>
      </c>
      <c r="C12" s="55" t="inlineStr">
        <is>
          <t>%</t>
        </is>
      </c>
      <c r="D12" s="51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2" t="n">
        <v>48</v>
      </c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</row>
    <row r="13" ht="20" customHeight="1" s="77">
      <c r="A13" s="25" t="inlineStr">
        <is>
          <t>HOUS_001</t>
        </is>
      </c>
      <c r="B13" s="26" t="inlineStr">
        <is>
          <t>House price:earnings</t>
        </is>
      </c>
      <c r="C13" s="50" t="inlineStr">
        <is>
          <t>ratio</t>
        </is>
      </c>
      <c r="D13" s="51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2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</row>
    <row r="14" ht="20" customHeight="1" s="77">
      <c r="A14" s="53" t="inlineStr">
        <is>
          <t>TRANS_002</t>
        </is>
      </c>
      <c r="B14" s="54" t="inlineStr">
        <is>
          <t>Bus journeys per head</t>
        </is>
      </c>
      <c r="C14" s="55" t="inlineStr">
        <is>
          <t>per head</t>
        </is>
      </c>
      <c r="D14" s="51" t="n"/>
      <c r="E14" s="55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2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</row>
    <row r="15" ht="20" customHeight="1" s="77">
      <c r="A15" s="25" t="inlineStr">
        <is>
          <t>ENV_001</t>
        </is>
      </c>
      <c r="B15" s="26" t="inlineStr">
        <is>
          <t>CO₂ per capita (tonnes)</t>
        </is>
      </c>
      <c r="C15" s="50" t="inlineStr">
        <is>
          <t>tonnes</t>
        </is>
      </c>
      <c r="D15" s="51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2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</row>
    <row r="16" ht="20" customHeight="1" s="77">
      <c r="A16" s="53" t="inlineStr">
        <is>
          <t>ENV_002</t>
        </is>
      </c>
      <c r="B16" s="54" t="inlineStr">
        <is>
          <t>Fuel poverty (%)</t>
        </is>
      </c>
      <c r="C16" s="55" t="inlineStr">
        <is>
          <t>%</t>
        </is>
      </c>
      <c r="D16" s="51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2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</row>
    <row r="17" ht="20" customHeight="1" s="77">
      <c r="A17" s="25" t="inlineStr">
        <is>
          <t>HEALTH_001</t>
        </is>
      </c>
      <c r="B17" s="26" t="inlineStr">
        <is>
          <t>Healthy life expectancy</t>
        </is>
      </c>
      <c r="C17" s="50" t="inlineStr">
        <is>
          <t>years</t>
        </is>
      </c>
      <c r="D17" s="51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2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</row>
    <row r="18" ht="20" customHeight="1" s="77">
      <c r="A18" s="53" t="inlineStr">
        <is>
          <t>HEALTH_002</t>
        </is>
      </c>
      <c r="B18" s="54" t="inlineStr">
        <is>
          <t>Preventable mortality</t>
        </is>
      </c>
      <c r="C18" s="55" t="inlineStr">
        <is>
          <t>per 100k</t>
        </is>
      </c>
      <c r="D18" s="51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2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</row>
    <row r="19" ht="20" customHeight="1" s="77">
      <c r="A19" s="25" t="inlineStr">
        <is>
          <t>IMD_001</t>
        </is>
      </c>
      <c r="B19" s="26" t="inlineStr">
        <is>
          <t>IMD avg rank</t>
        </is>
      </c>
      <c r="C19" s="50" t="inlineStr">
        <is>
          <t>rank</t>
        </is>
      </c>
      <c r="D19" s="51" t="n"/>
      <c r="E19" s="91" t="n">
        <v>23</v>
      </c>
      <c r="F19" s="91" t="n">
        <v>27.1</v>
      </c>
      <c r="G19" s="108" t="n">
        <v>18.5</v>
      </c>
      <c r="H19" s="91" t="n">
        <v>28.8</v>
      </c>
      <c r="I19" s="91" t="n">
        <v>22.2</v>
      </c>
      <c r="J19" s="108" t="n">
        <v>21.1</v>
      </c>
      <c r="K19" s="108" t="n">
        <v>5.9</v>
      </c>
      <c r="L19" s="108" t="n">
        <v>19.3</v>
      </c>
      <c r="M19" s="91" t="n">
        <v>30.1</v>
      </c>
      <c r="N19" s="86" t="n">
        <v>2</v>
      </c>
      <c r="O19" s="108" t="n">
        <v>21.8</v>
      </c>
      <c r="P19" s="108" t="n">
        <v>12.4</v>
      </c>
      <c r="Q19" s="108" t="n">
        <v>10.3</v>
      </c>
      <c r="R19" s="86" t="n">
        <v>4.1</v>
      </c>
      <c r="S19" s="86" t="n">
        <v>4.7</v>
      </c>
      <c r="T19" s="86" t="n">
        <v>4.3</v>
      </c>
      <c r="U19" s="108" t="n">
        <v>5.5</v>
      </c>
      <c r="V19" s="108" t="n">
        <v>8.5</v>
      </c>
      <c r="W19" s="86" t="n">
        <v>4.2</v>
      </c>
      <c r="X19" s="108" t="n">
        <v>5.4</v>
      </c>
    </row>
    <row r="20" ht="20" customHeight="1" s="77">
      <c r="A20" s="53" t="inlineStr">
        <is>
          <t>IMD_002</t>
        </is>
      </c>
      <c r="B20" s="54" t="inlineStr">
        <is>
          <t>% LSOAs in most deprived 20%</t>
        </is>
      </c>
      <c r="C20" s="55" t="inlineStr">
        <is>
          <t>%</t>
        </is>
      </c>
      <c r="D20" s="51" t="n">
        <v>20</v>
      </c>
      <c r="E20" s="109" t="n">
        <v>37</v>
      </c>
      <c r="F20" s="109" t="n">
        <v>44.7</v>
      </c>
      <c r="G20" s="109" t="n">
        <v>35.8</v>
      </c>
      <c r="H20" s="109" t="n">
        <v>41.5</v>
      </c>
      <c r="I20" s="109" t="n">
        <v>36.6</v>
      </c>
      <c r="J20" s="109" t="n">
        <v>34.8</v>
      </c>
      <c r="K20" s="109" t="n">
        <v>12.3</v>
      </c>
      <c r="L20" s="109" t="n">
        <v>31.9</v>
      </c>
      <c r="M20" s="109" t="n">
        <v>41.4</v>
      </c>
      <c r="N20" s="110" t="n">
        <v>6.2</v>
      </c>
      <c r="O20" s="109" t="n">
        <v>28.6</v>
      </c>
      <c r="P20" s="109" t="n">
        <v>21.6</v>
      </c>
      <c r="Q20" s="109" t="n">
        <v>22.3</v>
      </c>
      <c r="R20" s="109" t="n">
        <v>11.1</v>
      </c>
      <c r="S20" s="109" t="n">
        <v>8.800000000000001</v>
      </c>
      <c r="T20" s="109" t="n">
        <v>10.2</v>
      </c>
      <c r="U20" s="109" t="n">
        <v>13.1</v>
      </c>
      <c r="V20" s="109" t="n">
        <v>17.9</v>
      </c>
      <c r="W20" s="109" t="n">
        <v>11.5</v>
      </c>
      <c r="X20" s="109" t="n">
        <v>12.6</v>
      </c>
    </row>
    <row r="21">
      <c r="A21" t="inlineStr">
        <is>
          <t>SNAP_004</t>
        </is>
      </c>
      <c r="B21" t="inlineStr">
        <is>
          <t>GVA per head (£)</t>
        </is>
      </c>
      <c r="C21" t="inlineStr">
        <is>
          <t>£</t>
        </is>
      </c>
      <c r="D21" s="92" t="n">
        <v>36632</v>
      </c>
      <c r="E21" s="93" t="n">
        <v>34017</v>
      </c>
      <c r="F21" s="94" t="n">
        <v>27950</v>
      </c>
      <c r="G21" s="94" t="n">
        <v>25412</v>
      </c>
      <c r="H21" s="94" t="n">
        <v>27297</v>
      </c>
      <c r="I21" s="94" t="n">
        <v>24977</v>
      </c>
      <c r="J21" s="93" t="n">
        <v>30665</v>
      </c>
      <c r="K21" s="95" t="n">
        <v>40793</v>
      </c>
      <c r="L21" s="94" t="n">
        <v>27439</v>
      </c>
      <c r="M21" s="94" t="n">
        <v>23935</v>
      </c>
      <c r="N21" s="93" t="n">
        <v>34100</v>
      </c>
      <c r="O21" s="94" t="n">
        <v>26972</v>
      </c>
      <c r="P21" s="94" t="n">
        <v>25994</v>
      </c>
      <c r="Q21" s="93" t="n">
        <v>31570</v>
      </c>
      <c r="R21" s="95" t="n">
        <v>37085</v>
      </c>
      <c r="S21" s="93" t="n">
        <v>29823</v>
      </c>
      <c r="T21" s="95" t="n">
        <v>36619</v>
      </c>
      <c r="U21" s="95" t="n">
        <v>42015</v>
      </c>
      <c r="V21" s="93" t="n">
        <v>29808</v>
      </c>
      <c r="W21" s="94" t="n">
        <v>28891</v>
      </c>
      <c r="X21" s="94" t="n">
        <v>27828</v>
      </c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10" defaultColWidth="8.83203125" defaultRowHeight="15"/>
  <cols>
    <col width="14" customWidth="1" style="77" min="1" max="1"/>
    <col width="38" customWidth="1" style="77" min="2" max="2"/>
    <col width="45" customWidth="1" style="77" min="3" max="4"/>
    <col width="25" customWidth="1" style="77" min="5" max="5"/>
    <col width="50" customWidth="1" style="77" min="6" max="6"/>
    <col width="14" customWidth="1" style="77" min="7" max="7"/>
  </cols>
  <sheetData>
    <row r="1" ht="30" customHeight="1" s="77">
      <c r="A1" s="76" t="inlineStr">
        <is>
          <t>Codebook — Methodology Notes and Decisions</t>
        </is>
      </c>
    </row>
    <row r="2" ht="30" customHeight="1" s="77">
      <c r="A2" s="1" t="inlineStr">
        <is>
          <t>Indicator ID</t>
        </is>
      </c>
      <c r="B2" s="1" t="inlineStr">
        <is>
          <t>Indicator Name</t>
        </is>
      </c>
      <c r="C2" s="1" t="inlineStr">
        <is>
          <t>Why Selected</t>
        </is>
      </c>
      <c r="D2" s="1" t="inlineStr">
        <is>
          <t>How Calculated / Derived</t>
        </is>
      </c>
      <c r="E2" s="1" t="inlineStr">
        <is>
          <t>Rank Direction</t>
        </is>
      </c>
      <c r="F2" s="1" t="inlineStr">
        <is>
          <t>Key Caveats</t>
        </is>
      </c>
      <c r="G2" s="1" t="inlineStr">
        <is>
          <t>Last Reviewed</t>
        </is>
      </c>
    </row>
    <row r="3" ht="48" customHeight="1" s="77">
      <c r="A3" s="56" t="inlineStr">
        <is>
          <t>SNAP_005</t>
        </is>
      </c>
      <c r="B3" s="27" t="inlineStr">
        <is>
          <t>GVA per hour worked</t>
        </is>
      </c>
      <c r="C3" s="27" t="inlineStr">
        <is>
          <t>Better productivity measure than GVA per head as it accounts for part-time and flexible working</t>
        </is>
      </c>
      <c r="D3" s="27" t="inlineStr">
        <is>
          <t>ONS publishes directly. For YNYCA aggregate York and North Yorkshire LA values</t>
        </is>
      </c>
      <c r="E3" s="27" t="inlineStr">
        <is>
          <t>Higher = better (more productive)</t>
        </is>
      </c>
      <c r="F3" s="27" t="inlineStr">
        <is>
          <t>Does not account for industrial mix. YNYCA tourism/agriculture base depresses vs urban authorities</t>
        </is>
      </c>
      <c r="G3" s="27" t="inlineStr">
        <is>
          <t>Jun 2026</t>
        </is>
      </c>
    </row>
    <row r="4" ht="48" customHeight="1" s="77">
      <c r="A4" s="57" t="inlineStr">
        <is>
          <t>SNAP_006</t>
        </is>
      </c>
      <c r="B4" s="58" t="inlineStr">
        <is>
          <t>Median weekly earnings</t>
        </is>
      </c>
      <c r="C4" s="58" t="inlineStr">
        <is>
          <t>Measures actual worker living standards. Directly relevant to skills and economic development powers</t>
        </is>
      </c>
      <c r="D4" s="58" t="inlineStr">
        <is>
          <t>ONS ASHE Table 8 (residence-based). Captures what residents earn, not what jobs in the area pay</t>
        </is>
      </c>
      <c r="E4" s="58" t="inlineStr">
        <is>
          <t>Higher = better</t>
        </is>
      </c>
      <c r="F4" s="58" t="inlineStr">
        <is>
          <t>Residence vs workplace distinction matters for commuter areas. YNYCA has significant out-commuting to Leeds</t>
        </is>
      </c>
      <c r="G4" s="58" t="inlineStr">
        <is>
          <t>Jun 2026</t>
        </is>
      </c>
    </row>
    <row r="5" ht="48" customHeight="1" s="77">
      <c r="A5" s="56" t="inlineStr">
        <is>
          <t>SNAP_008</t>
        </is>
      </c>
      <c r="B5" s="27" t="inlineStr">
        <is>
          <t>Economic inactivity rate</t>
        </is>
      </c>
      <c r="C5" s="27" t="inlineStr">
        <is>
          <t>Central policy challenge for all MSAs. MSAs have direct skills and employment support powers</t>
        </is>
      </c>
      <c r="D5" s="27" t="inlineStr">
        <is>
          <t>APS Jan-Dec annual period. 16-64 age group. Note: high early retirement in YNYCA inflates rate</t>
        </is>
      </c>
      <c r="E5" s="27" t="inlineStr">
        <is>
          <t>Lower = better</t>
        </is>
      </c>
      <c r="F5" s="27" t="inlineStr">
        <is>
          <t>APS estimates less reliable at LA level due to small samples. Use with confidence intervals</t>
        </is>
      </c>
      <c r="G5" s="27" t="inlineStr">
        <is>
          <t>Jun 2026</t>
        </is>
      </c>
    </row>
    <row r="6" ht="48" customHeight="1" s="77">
      <c r="A6" s="57" t="inlineStr">
        <is>
          <t>SNAP_009</t>
        </is>
      </c>
      <c r="B6" s="58" t="inlineStr">
        <is>
          <t>Unemployment rate</t>
        </is>
      </c>
      <c r="C6" s="58" t="inlineStr">
        <is>
          <t>Standard labour market headline. Low unemployment in YNYCA masks inactivity challenge</t>
        </is>
      </c>
      <c r="D6" s="58" t="inlineStr">
        <is>
          <t>APS Jan-Dec annual period. Model-based estimates also available for small LAs</t>
        </is>
      </c>
      <c r="E6" s="58" t="inlineStr">
        <is>
          <t>Lower = better</t>
        </is>
      </c>
      <c r="F6" s="58" t="inlineStr">
        <is>
          <t>YNYCA 1.8% vs 3.9% England. Low rate driven partly by rural economy structure not just strong labour market</t>
        </is>
      </c>
      <c r="G6" s="58" t="inlineStr">
        <is>
          <t>Jun 2026</t>
        </is>
      </c>
    </row>
    <row r="7" ht="48" customHeight="1" s="77">
      <c r="A7" s="56" t="inlineStr">
        <is>
          <t>IMD_001</t>
        </is>
      </c>
      <c r="B7" s="27" t="inlineStr">
        <is>
          <t>IMD 2025 average rank</t>
        </is>
      </c>
      <c r="C7" s="27" t="inlineStr">
        <is>
          <t>Useful baseline deprivation reference. Covers 6 of 7 competency areas from single source</t>
        </is>
      </c>
      <c r="D7" s="27" t="inlineStr">
        <is>
          <t>File 10 from IMD 2025 release. Average of LSOA ranks within LA, then weighted average to CA</t>
        </is>
      </c>
      <c r="E7" s="27" t="inlineStr">
        <is>
          <t>Higher rank = less deprived = better</t>
        </is>
      </c>
      <c r="F7" s="27" t="inlineStr">
        <is>
          <t>Relative measure only. Does not indicate absolute change. IMD well-covered in existing research so not primary focus</t>
        </is>
      </c>
      <c r="G7" s="27" t="inlineStr">
        <is>
          <t>Jun 2026</t>
        </is>
      </c>
    </row>
    <row r="8" ht="48" customHeight="1" s="77">
      <c r="A8" s="57" t="inlineStr">
        <is>
          <t>HOUS_001</t>
        </is>
      </c>
      <c r="B8" s="58" t="inlineStr">
        <is>
          <t>House price:earnings ratio</t>
        </is>
      </c>
      <c r="C8" s="58" t="inlineStr">
        <is>
          <t>Most direct measure of housing affordability. Core problem MSAs are expected to address via planning powers</t>
        </is>
      </c>
      <c r="D8" s="58" t="inlineStr">
        <is>
          <t>ONS HPSSA median house price / ONS ASHE median earnings. Aggregate LA values to CA</t>
        </is>
      </c>
      <c r="E8" s="58" t="inlineStr">
        <is>
          <t>Lower = better (more affordable)</t>
        </is>
      </c>
      <c r="F8" s="58" t="inlineStr">
        <is>
          <t>Significant within-YNYCA variation — York market much less affordable than rural North Yorkshire</t>
        </is>
      </c>
      <c r="G8" s="58" t="inlineStr">
        <is>
          <t>Jun 2026</t>
        </is>
      </c>
    </row>
    <row r="9" ht="80" customHeight="1" s="77">
      <c r="A9" s="96" t="inlineStr">
        <is>
          <t>SNAP_004</t>
        </is>
      </c>
      <c r="B9" s="96" t="inlineStr">
        <is>
          <t>GVA per head (£)</t>
        </is>
      </c>
      <c r="C9" s="96" t="inlineStr">
        <is>
          <t>Standard cross-MSA productivity measure. Directly cited in all MSA growth plans and ONS Subnational Indicators Explorer. Normalises for authority size.</t>
        </is>
      </c>
      <c r="D9" s="96" t="inlineStr">
        <is>
          <t>ONS Regional GVA (Balanced) Table 2 (ITL level). Where MSA spans multiple ITL3 areas, population-weighted average of ITL3 per head figures using ONS MYE 2023 LA populations aggregated to ITL3 via LAD→ITL3 lookup (Jan 2025). Boundary check confirmed ITL3 areas match MSA LAD boundaries exactly for all 20 MSAs.</t>
        </is>
      </c>
      <c r="E9" s="96" t="inlineStr">
        <is>
          <t>Higher = better (more productive economy)</t>
        </is>
      </c>
      <c r="F9" s="96" t="inlineStr">
        <is>
          <t>IMPORTANT: ITL3 GVA figures are ONS estimates via top-down apportionment from higher geographies — not direct measures at MSA level. Use for comparative ranking and trajectory analysis, not as precise absolute figures. Growth: use 2018-2023 not 2019-2023 to avoid COVID base effect distortion — 2019 was the pre-COVID peak and 2020 was anomalously low, making 2019-23 growth partly a recovery measure rather than genuine economic growth.</t>
        </is>
      </c>
      <c r="G9" s="96" t="inlineStr">
        <is>
          <t>Jun 2026</t>
        </is>
      </c>
    </row>
    <row r="10" ht="60" customHeight="1" s="77">
      <c r="A10" s="96" t="inlineStr">
        <is>
          <t>SNAP_005</t>
        </is>
      </c>
      <c r="B10" s="96" t="inlineStr">
        <is>
          <t>GVA per head growth 2018-23 (%)</t>
        </is>
      </c>
      <c r="C10" s="96" t="inlineStr">
        <is>
          <t>Captures economic growth trajectory. Preferred over 2019-23 to avoid COVID distortion. Key for assessing whether below-average MSAs are converging toward England average.</t>
        </is>
      </c>
      <c r="D10" s="96" t="inlineStr">
        <is>
          <t>Derived from SNAP_004 values: (GVA_2023 / GVA_2018 - 1) × 100.</t>
        </is>
      </c>
      <c r="E10" s="96" t="inlineStr">
        <is>
          <t>Higher = better (faster growing economy)</t>
        </is>
      </c>
      <c r="F10" s="96" t="inlineStr">
        <is>
          <t>Note that high growth from a low base (e.g. Tees Valley, South Yorkshire) does not imply convergence toward England average — check absolute level alongside growth rate. YNYCA is rank 2/20 on this measure (behind West of England at 34.1%) but still 6.9% below England average on level (index 93.1).</t>
        </is>
      </c>
      <c r="G10" s="96" t="inlineStr">
        <is>
          <t>Jun 2026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tabSelected="1" workbookViewId="0">
      <selection activeCell="D5" sqref="D5"/>
    </sheetView>
  </sheetViews>
  <sheetFormatPr baseColWidth="10" defaultColWidth="8.83203125" defaultRowHeight="15"/>
  <cols>
    <col width="35" customWidth="1" style="77" min="1" max="1"/>
    <col width="18" customWidth="1" style="77" min="2" max="2"/>
    <col width="45" customWidth="1" style="77" min="3" max="3"/>
    <col width="65" customWidth="1" style="77" min="4" max="4"/>
    <col width="25" customWidth="1" style="77" min="5" max="5"/>
  </cols>
  <sheetData>
    <row r="1" ht="30" customHeight="1" s="77">
      <c r="A1" s="76" t="inlineStr">
        <is>
          <t>Source Quick Reference — Direct Download Links</t>
        </is>
      </c>
    </row>
    <row r="2" ht="28" customHeight="1" s="77">
      <c r="A2" s="59" t="inlineStr">
        <is>
          <t>Source Name</t>
        </is>
      </c>
      <c r="B2" s="59" t="inlineStr">
        <is>
          <t>Provider</t>
        </is>
      </c>
      <c r="C2" s="59" t="inlineStr">
        <is>
          <t>Key Indicators</t>
        </is>
      </c>
      <c r="D2" s="59" t="inlineStr">
        <is>
          <t>Direct URL</t>
        </is>
      </c>
      <c r="E2" s="59" t="inlineStr">
        <is>
          <t>Geography</t>
        </is>
      </c>
    </row>
    <row r="3" ht="22" customHeight="1" s="77">
      <c r="A3" s="26" t="inlineStr">
        <is>
          <t>ONS Mid-Year Population Estimates 2024</t>
        </is>
      </c>
      <c r="B3" s="26" t="inlineStr">
        <is>
          <t>ONS</t>
        </is>
      </c>
      <c r="C3" s="27" t="inlineStr">
        <is>
          <t>Population, population density, age structure</t>
        </is>
      </c>
      <c r="D3" s="60" t="inlineStr">
        <is>
          <t>https://www.ons.gov.uk/releases/populationestimatesforenglandandwalesmid2024</t>
        </is>
      </c>
      <c r="E3" s="26" t="inlineStr">
        <is>
          <t>LA → Region → England</t>
        </is>
      </c>
    </row>
    <row r="4" ht="22" customHeight="1" s="77">
      <c r="A4" s="54" t="inlineStr">
        <is>
          <t>ONS Regional GVA (Balanced) by LA</t>
        </is>
      </c>
      <c r="B4" s="54" t="inlineStr">
        <is>
          <t>ONS</t>
        </is>
      </c>
      <c r="C4" s="58" t="inlineStr">
        <is>
          <t>GVA total, GVA per head, GVA by industry</t>
        </is>
      </c>
      <c r="D4" s="61" t="inlineStr">
        <is>
          <t>https://www.ons.gov.uk/economy/grossdomesticproductgdp/datasets/regionalgrossvalueaddedbalancedbyindustrylocalauthoritiesbyitl1region</t>
        </is>
      </c>
      <c r="E4" s="54" t="inlineStr">
        <is>
          <t>LA → CA → ITL</t>
        </is>
      </c>
    </row>
    <row r="5" ht="22" customHeight="1" s="77">
      <c r="A5" s="26" t="inlineStr">
        <is>
          <t>ONS Regional GVA by Combined Authority</t>
        </is>
      </c>
      <c r="B5" s="26" t="inlineStr">
        <is>
          <t>ONS</t>
        </is>
      </c>
      <c r="C5" s="27" t="inlineStr">
        <is>
          <t>GVA total and per head at CA level direct</t>
        </is>
      </c>
      <c r="D5" s="80" t="inlineStr">
        <is>
          <t>https://www.ons.gov.uk/economy/grossvalueaddedgva/datasets/regionalgrossvalueaddedbalancedbycombinedauthoritycityregionsandothereconomicandenterpriseregionsoftheuk/current</t>
        </is>
      </c>
      <c r="E5" s="26" t="inlineStr">
        <is>
          <t>CA / City Regions</t>
        </is>
      </c>
    </row>
    <row r="6" ht="22" customHeight="1" s="77">
      <c r="A6" s="54" t="inlineStr">
        <is>
          <t>ONS ASHE Table 8 — Earnings by Residence</t>
        </is>
      </c>
      <c r="B6" s="54" t="inlineStr">
        <is>
          <t>ONS</t>
        </is>
      </c>
      <c r="C6" s="58" t="inlineStr">
        <is>
          <t>Median weekly/hourly/annual earnings (residence-based)</t>
        </is>
      </c>
      <c r="D6" s="61" t="inlineStr">
        <is>
          <t>https://www.ons.gov.uk/employmentandlabourmarket/peopleinwork/earningsandworkinghours/datasets/placeofresidencebylocalauthorityashetable8</t>
        </is>
      </c>
      <c r="E6" s="54" t="inlineStr">
        <is>
          <t>LA (UK)</t>
        </is>
      </c>
    </row>
    <row r="7" ht="22" customHeight="1" s="77">
      <c r="A7" s="26" t="inlineStr">
        <is>
          <t>ONS ASHE Table 7 — Earnings by Workplace</t>
        </is>
      </c>
      <c r="B7" s="26" t="inlineStr">
        <is>
          <t>ONS</t>
        </is>
      </c>
      <c r="C7" s="27" t="inlineStr">
        <is>
          <t>Median weekly/hourly/annual earnings (workplace-based)</t>
        </is>
      </c>
      <c r="D7" s="60" t="inlineStr">
        <is>
          <t>https://www.ons.gov.uk/employmentandlabourmarket/peopleinwork/earningsandworkinghours/datasets/placeofworkbylocalauthorityashetable7</t>
        </is>
      </c>
      <c r="E7" s="26" t="inlineStr">
        <is>
          <t>LA (UK)</t>
        </is>
      </c>
    </row>
    <row r="8" ht="22" customHeight="1" s="77">
      <c r="A8" s="54" t="inlineStr">
        <is>
          <t>Nomis — Annual Population Survey</t>
        </is>
      </c>
      <c r="B8" s="54" t="inlineStr">
        <is>
          <t>ONS/Nomis</t>
        </is>
      </c>
      <c r="C8" s="58" t="inlineStr">
        <is>
          <t>Employment, unemployment, inactivity, qualifications</t>
        </is>
      </c>
      <c r="D8" s="61" t="inlineStr">
        <is>
          <t>https://www.nomisweb.co.uk/query/select/getdatasetbytheme.asp?theme=14</t>
        </is>
      </c>
      <c r="E8" s="54" t="inlineStr">
        <is>
          <t>LA → CA</t>
        </is>
      </c>
    </row>
    <row r="9" ht="22" customHeight="1" s="77">
      <c r="A9" s="26" t="inlineStr">
        <is>
          <t>Nomis — Claimant Count (UC + JSA)</t>
        </is>
      </c>
      <c r="B9" s="26" t="inlineStr">
        <is>
          <t>DWP/Nomis</t>
        </is>
      </c>
      <c r="C9" s="27" t="inlineStr">
        <is>
          <t>Claimant count rate — monthly, granular</t>
        </is>
      </c>
      <c r="D9" s="60" t="inlineStr">
        <is>
          <t>https://www.nomisweb.co.uk/datasets/ucjsa</t>
        </is>
      </c>
      <c r="E9" s="26" t="inlineStr">
        <is>
          <t>LSOA → LA → CA</t>
        </is>
      </c>
    </row>
    <row r="10" ht="22" customHeight="1" s="77">
      <c r="A10" s="54" t="inlineStr">
        <is>
          <t>Nomis — UK Business Counts (IDBR)</t>
        </is>
      </c>
      <c r="B10" s="54" t="inlineStr">
        <is>
          <t>ONS/Nomis</t>
        </is>
      </c>
      <c r="C10" s="58" t="inlineStr">
        <is>
          <t>Enterprise counts, birth/death rates, by industry</t>
        </is>
      </c>
      <c r="D10" s="61" t="inlineStr">
        <is>
          <t>https://www.nomisweb.co.uk/datasets/idbr</t>
        </is>
      </c>
      <c r="E10" s="54" t="inlineStr">
        <is>
          <t>LA</t>
        </is>
      </c>
    </row>
    <row r="11" ht="22" customHeight="1" s="77">
      <c r="A11" s="26" t="inlineStr">
        <is>
          <t>Nomis — Jobs Density</t>
        </is>
      </c>
      <c r="B11" s="26" t="inlineStr">
        <is>
          <t>ONS/Nomis</t>
        </is>
      </c>
      <c r="C11" s="27" t="inlineStr">
        <is>
          <t>Jobs per working-age resident</t>
        </is>
      </c>
      <c r="D11" s="60" t="inlineStr">
        <is>
          <t>https://www.nomisweb.co.uk/datasets/jobsd</t>
        </is>
      </c>
      <c r="E11" s="26" t="inlineStr">
        <is>
          <t>LA</t>
        </is>
      </c>
    </row>
    <row r="12" ht="22" customHeight="1" s="77">
      <c r="A12" s="54" t="inlineStr">
        <is>
          <t>ONS House Price Statistics (HPSSA)</t>
        </is>
      </c>
      <c r="B12" s="54" t="inlineStr">
        <is>
          <t>ONS</t>
        </is>
      </c>
      <c r="C12" s="58" t="inlineStr">
        <is>
          <t>Median house prices, price:earnings ratios</t>
        </is>
      </c>
      <c r="D12" s="61" t="inlineStr">
        <is>
          <t>https://www.ons.gov.uk/peoplepopulationandcommunity/housing/datasets/ratioofhousepricetoresidencebasedearningslowerquartileandmedian</t>
        </is>
      </c>
      <c r="E12" s="54" t="inlineStr">
        <is>
          <t>LA</t>
        </is>
      </c>
    </row>
    <row r="13" ht="22" customHeight="1" s="77">
      <c r="A13" s="26" t="inlineStr">
        <is>
          <t>MHCLG Housing Supply Live Tables</t>
        </is>
      </c>
      <c r="B13" s="26" t="inlineStr">
        <is>
          <t>MHCLG</t>
        </is>
      </c>
      <c r="C13" s="27" t="inlineStr">
        <is>
          <t>Net additional dwellings, housing target delivery</t>
        </is>
      </c>
      <c r="D13" s="60" t="inlineStr">
        <is>
          <t>https://www.gov.uk/government/statistical-data-sets/live-tables-on-housing-supply</t>
        </is>
      </c>
      <c r="E13" s="26" t="inlineStr">
        <is>
          <t>LA</t>
        </is>
      </c>
    </row>
    <row r="14" ht="22" customHeight="1" s="77">
      <c r="A14" s="54" t="inlineStr">
        <is>
          <t>Census 2021 (Nomis)</t>
        </is>
      </c>
      <c r="B14" s="54" t="inlineStr">
        <is>
          <t>ONS/Nomis</t>
        </is>
      </c>
      <c r="C14" s="58" t="inlineStr">
        <is>
          <t>Tenure, car ownership, qualifications, health, employment</t>
        </is>
      </c>
      <c r="D14" s="61" t="inlineStr">
        <is>
          <t>https://www.nomisweb.co.uk/sources/census_2021</t>
        </is>
      </c>
      <c r="E14" s="54" t="inlineStr">
        <is>
          <t>OA → LSOA → MSOA → LA</t>
        </is>
      </c>
    </row>
    <row r="15" ht="22" customHeight="1" s="77">
      <c r="A15" s="26" t="inlineStr">
        <is>
          <t>DfT Bus Statistics BUS0109</t>
        </is>
      </c>
      <c r="B15" s="26" t="inlineStr">
        <is>
          <t>DfT</t>
        </is>
      </c>
      <c r="C15" s="27" t="inlineStr">
        <is>
          <t>Local bus passenger journeys per head</t>
        </is>
      </c>
      <c r="D15" s="60" t="inlineStr">
        <is>
          <t>https://www.gov.uk/government/statistical-data-sets/bus01-local-bus-passenger-journeys</t>
        </is>
      </c>
      <c r="E15" s="26" t="inlineStr">
        <is>
          <t>LA</t>
        </is>
      </c>
    </row>
    <row r="16" ht="22" customHeight="1" s="77">
      <c r="A16" s="54" t="inlineStr">
        <is>
          <t>DESNZ Local Authority CO2 Emissions</t>
        </is>
      </c>
      <c r="B16" s="54" t="inlineStr">
        <is>
          <t>DESNZ</t>
        </is>
      </c>
      <c r="C16" s="58" t="inlineStr">
        <is>
          <t>CO2 emissions per capita by sector</t>
        </is>
      </c>
      <c r="D16" s="61" t="inlineStr">
        <is>
          <t>https://www.gov.uk/government/collections/uk-local-authority-and-regional-greenhouse-gas-emissions-national-statistics</t>
        </is>
      </c>
      <c r="E16" s="54" t="inlineStr">
        <is>
          <t>LA</t>
        </is>
      </c>
    </row>
    <row r="17" ht="22" customHeight="1" s="77">
      <c r="A17" s="26" t="inlineStr">
        <is>
          <t>DESNZ Sub-regional Fuel Poverty</t>
        </is>
      </c>
      <c r="B17" s="26" t="inlineStr">
        <is>
          <t>DESNZ</t>
        </is>
      </c>
      <c r="C17" s="27" t="inlineStr">
        <is>
          <t>% households in fuel poverty</t>
        </is>
      </c>
      <c r="D17" s="60" t="inlineStr">
        <is>
          <t>https://www.gov.uk/government/collections/fuel-poverty-sub-regional-statistics</t>
        </is>
      </c>
      <c r="E17" s="26" t="inlineStr">
        <is>
          <t>LSOA → LA</t>
        </is>
      </c>
    </row>
    <row r="18" ht="22" customHeight="1" s="77">
      <c r="A18" s="54" t="inlineStr">
        <is>
          <t>OHID Fingertips</t>
        </is>
      </c>
      <c r="B18" s="54" t="inlineStr">
        <is>
          <t>OHID</t>
        </is>
      </c>
      <c r="C18" s="58" t="inlineStr">
        <is>
          <t>Healthy life expectancy, preventable mortality, emergency admissions</t>
        </is>
      </c>
      <c r="D18" s="61" t="inlineStr">
        <is>
          <t>https://fingertips.phe.org.uk/profile/public-health-outcomes-framework</t>
        </is>
      </c>
      <c r="E18" s="54" t="inlineStr">
        <is>
          <t>MSOA → LA → CA</t>
        </is>
      </c>
    </row>
    <row r="19" ht="22" customHeight="1" s="77">
      <c r="A19" s="26" t="inlineStr">
        <is>
          <t>MHCLG IMD 2025</t>
        </is>
      </c>
      <c r="B19" s="26" t="inlineStr">
        <is>
          <t>MHCLG</t>
        </is>
      </c>
      <c r="C19" s="27" t="inlineStr">
        <is>
          <t>Overall IMD, 7 domain scores, supplementary indices</t>
        </is>
      </c>
      <c r="D19" s="60" t="inlineStr">
        <is>
          <t>https://www.gov.uk/government/statistics/english-indices-of-deprivation-2025</t>
        </is>
      </c>
      <c r="E19" s="26" t="inlineStr">
        <is>
          <t>LSOA → LA → CA</t>
        </is>
      </c>
    </row>
    <row r="20" ht="22" customHeight="1" s="77">
      <c r="A20" s="54" t="inlineStr">
        <is>
          <t>DfE Apprenticeships &amp; Traineeships</t>
        </is>
      </c>
      <c r="B20" s="54" t="inlineStr">
        <is>
          <t>DfE</t>
        </is>
      </c>
      <c r="C20" s="58" t="inlineStr">
        <is>
          <t>Apprenticeship starts and achievements by level and sector</t>
        </is>
      </c>
      <c r="D20" s="61" t="inlineStr">
        <is>
          <t>https://explore-education-statistics.service.gov.uk/find-statistics/apprenticeships-and-traineeships</t>
        </is>
      </c>
      <c r="E20" s="54" t="inlineStr">
        <is>
          <t>LA</t>
        </is>
      </c>
    </row>
    <row r="21" ht="22" customHeight="1" s="77">
      <c r="A21" s="26" t="inlineStr">
        <is>
          <t>Home Office Crime Open Data</t>
        </is>
      </c>
      <c r="B21" s="26" t="inlineStr">
        <is>
          <t>Home Office</t>
        </is>
      </c>
      <c r="C21" s="27" t="inlineStr">
        <is>
          <t>Notifiable offences by crime type</t>
        </is>
      </c>
      <c r="D21" s="60" t="inlineStr">
        <is>
          <t>https://www.gov.uk/government/statistics/police-recorded-crime-open-data-tables</t>
        </is>
      </c>
      <c r="E21" s="26" t="inlineStr">
        <is>
          <t>Police force → LA</t>
        </is>
      </c>
    </row>
    <row r="22" ht="22" customHeight="1" s="77">
      <c r="A22" s="54" t="inlineStr">
        <is>
          <t>DfT STATS19 Road Safety Data</t>
        </is>
      </c>
      <c r="B22" s="54" t="inlineStr">
        <is>
          <t>DfT</t>
        </is>
      </c>
      <c r="C22" s="58" t="inlineStr">
        <is>
          <t>Road casualties — KSI and slight</t>
        </is>
      </c>
      <c r="D22" s="61" t="inlineStr">
        <is>
          <t>https://www.gov.uk/government/collections/road-accidents-and-safety-statistics</t>
        </is>
      </c>
      <c r="E22" s="54" t="inlineStr">
        <is>
          <t>LA</t>
        </is>
      </c>
    </row>
    <row r="23" ht="22" customHeight="1" s="77">
      <c r="A23" s="26" t="inlineStr">
        <is>
          <t>YNYCA Labour Market Analysis 2025</t>
        </is>
      </c>
      <c r="B23" s="26" t="inlineStr">
        <is>
          <t>YNYCA / U of York</t>
        </is>
      </c>
      <c r="C23" s="27" t="inlineStr">
        <is>
          <t>Comprehensive YNY labour market, GVA, skills, inactivity</t>
        </is>
      </c>
      <c r="D23" s="60" t="inlineStr">
        <is>
          <t>https://yorknorthyorks-ca.gov.uk/wp-content/uploads/2025/09/Labour-Market-Analysis-YNYCA-July-2025.pdf</t>
        </is>
      </c>
      <c r="E23" s="26" t="inlineStr">
        <is>
          <t>YNYCA (bespoke)</t>
        </is>
      </c>
    </row>
  </sheetData>
  <mergeCells count="1">
    <mergeCell ref="A1:E1"/>
  </mergeCells>
  <hyperlinks>
    <hyperlink xmlns:r="http://schemas.openxmlformats.org/officeDocument/2006/relationships" ref="D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2026-06-22T12:21:57Z</dcterms:created>
  <dcterms:modified xmlns:dcterms="http://purl.org/dc/terms/" xmlns:xsi="http://www.w3.org/2001/XMLSchema-instance" xsi:type="dcterms:W3CDTF">2026-07-31T11:47:44Z</dcterms:modified>
  <cp:lastModifiedBy>Hannah Cantekin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0x0101005D96084A4626D84A98EDB8AFF445E440</vt:lpwstr>
  </property>
  <property name="MediaServiceImageTags" fmtid="{D5CDD505-2E9C-101B-9397-08002B2CF9AE}" pid="3">
    <vt:lpwstr xmlns:vt="http://schemas.openxmlformats.org/officeDocument/2006/docPropsVTypes"/>
  </property>
</Properties>
</file>